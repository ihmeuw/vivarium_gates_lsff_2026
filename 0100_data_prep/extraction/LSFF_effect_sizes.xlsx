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https://uwnetid.sharepoint.com/sites/ihme_simulation_science_team/Shared Documents/Research/LSFF/Phase 3 (2026-2027)/Literature/"/>
    </mc:Choice>
  </mc:AlternateContent>
  <xr:revisionPtr revIDLastSave="0" documentId="8_{4BB281B6-C202-4DAC-B00B-ECC885F85582}" xr6:coauthVersionLast="47" xr6:coauthVersionMax="47" xr10:uidLastSave="{00000000-0000-0000-0000-000000000000}"/>
  <bookViews>
    <workbookView xWindow="-96" yWindow="0" windowWidth="11712" windowHeight="13776" firstSheet="3" activeTab="3" xr2:uid="{E4FDD644-5F65-E746-9A1B-54C2B87A6AA0}"/>
  </bookViews>
  <sheets>
    <sheet name="Fortification" sheetId="1" r:id="rId1"/>
    <sheet name="OLD vehicle consumption" sheetId="3" r:id="rId2"/>
    <sheet name="Vehicle Consumption" sheetId="4" r:id="rId3"/>
    <sheet name="MN baseline fortification" sheetId="5" r:id="rId4"/>
    <sheet name="MN intervention fortification" sheetId="6" r:id="rId5"/>
    <sheet name="Biology" sheetId="2" r:id="rId6"/>
    <sheet name="Sheet1" sheetId="7"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23" i="5" l="1"/>
  <c r="M22" i="5"/>
  <c r="M21" i="5"/>
  <c r="M20" i="5"/>
  <c r="M19" i="5"/>
  <c r="M18" i="5"/>
  <c r="M115" i="4"/>
  <c r="M114" i="4"/>
  <c r="M113" i="4"/>
  <c r="M109" i="4"/>
  <c r="M107" i="4"/>
  <c r="M106" i="4"/>
  <c r="M105" i="4"/>
  <c r="M104" i="4"/>
  <c r="M103" i="4"/>
  <c r="M102" i="4"/>
  <c r="M86" i="4"/>
  <c r="M85" i="4"/>
  <c r="M84" i="4"/>
  <c r="M80" i="4"/>
  <c r="M78" i="4"/>
  <c r="M77" i="4"/>
  <c r="M76" i="4"/>
  <c r="M74" i="4"/>
  <c r="M75" i="4"/>
  <c r="M73" i="4"/>
  <c r="M56" i="4"/>
  <c r="M55" i="4"/>
  <c r="M54" i="4"/>
  <c r="M50" i="4"/>
  <c r="M48" i="4"/>
  <c r="M47" i="4"/>
  <c r="M46" i="4"/>
  <c r="M45" i="4"/>
  <c r="M44" i="4"/>
  <c r="M43" i="4"/>
  <c r="M27" i="4"/>
  <c r="M26" i="4"/>
  <c r="M25" i="4"/>
  <c r="M21" i="4"/>
  <c r="M19" i="4"/>
  <c r="M18" i="4"/>
  <c r="M17" i="4"/>
  <c r="M16" i="4"/>
  <c r="M15" i="4"/>
  <c r="M14" i="4"/>
  <c r="I3" i="6"/>
  <c r="I2" i="6"/>
</calcChain>
</file>

<file path=xl/sharedStrings.xml><?xml version="1.0" encoding="utf-8"?>
<sst xmlns="http://schemas.openxmlformats.org/spreadsheetml/2006/main" count="2626" uniqueCount="367">
  <si>
    <t>Vehicle</t>
  </si>
  <si>
    <t>Nutrient</t>
  </si>
  <si>
    <t>Risk or Disease</t>
  </si>
  <si>
    <t>Data need</t>
  </si>
  <si>
    <t>Measure</t>
  </si>
  <si>
    <t>Units</t>
  </si>
  <si>
    <t>Value</t>
  </si>
  <si>
    <t>Uncertainty</t>
  </si>
  <si>
    <t>Year</t>
  </si>
  <si>
    <t>Data source author</t>
  </si>
  <si>
    <t>Data source Title</t>
  </si>
  <si>
    <t>URL</t>
  </si>
  <si>
    <t>Notes</t>
  </si>
  <si>
    <t>Rice</t>
  </si>
  <si>
    <t>iron + other</t>
  </si>
  <si>
    <t>anemia, birthweight, maternal disorders</t>
  </si>
  <si>
    <t>iron fortification/consumption effect on hemoglobin</t>
  </si>
  <si>
    <t>mean difference</t>
  </si>
  <si>
    <t>g/L</t>
  </si>
  <si>
    <t>0.9-5.7</t>
  </si>
  <si>
    <t>Dorbu et al.*</t>
  </si>
  <si>
    <t>Nutritional Anemia Reductions Due to Food Fortification Among Women of Childbearing Age: A Literature Review and Bayesian Meta-Analysis</t>
  </si>
  <si>
    <t>https://onlinelibrary.wiley.com/doi/full/10.1111/mcn.13801</t>
  </si>
  <si>
    <t>Included studies of foods fortified with any nutrient contributing to hemoglobin biology: iron, folic acid, B12, riboflavin, vitamin A, vitamin C, zinc, and or vitamin E</t>
  </si>
  <si>
    <t>Condiments</t>
  </si>
  <si>
    <t>g/dL</t>
  </si>
  <si>
    <t> 1.60-10.83</t>
  </si>
  <si>
    <t>Jalal et al.</t>
  </si>
  <si>
    <t>Fortification of condiments and seasonings with iron for preventing anaemia and improving health</t>
  </si>
  <si>
    <t>https://www.cochranelibrary.com/cdsr/doi/10.1002/14651858.CD009604.pub2/full</t>
  </si>
  <si>
    <t>Fortification of condiments, not specific to bouillon. very low‐certainty evidence</t>
  </si>
  <si>
    <t>Any</t>
  </si>
  <si>
    <t>iron</t>
  </si>
  <si>
    <t>2.8-5.6</t>
  </si>
  <si>
    <t>Gera et al.*</t>
  </si>
  <si>
    <t>Effect of iron-fortified foods on hematologic and biological outcomes: systematic review of randomized controlled trials</t>
  </si>
  <si>
    <t>https://www.sciencedirect.com/science/article/pii/S0002916523028915</t>
  </si>
  <si>
    <t>Fortification of any food, not specific to bouillon</t>
  </si>
  <si>
    <t>weighted mean difference</t>
  </si>
  <si>
    <t>2.73-6.17</t>
  </si>
  <si>
    <t>Athe et al.</t>
  </si>
  <si>
    <t>Meta-analysis approach on iron fortification and its effect on pregnancy and its outcome through randomized, controlled trials</t>
  </si>
  <si>
    <t>https://pmc.ncbi.nlm.nih.gov/articles/PMC7114015/</t>
  </si>
  <si>
    <t>Specific to pregnant women, also reports effects on iron deficiency anemia and LBW</t>
  </si>
  <si>
    <t>birthweight</t>
  </si>
  <si>
    <t>Iron fortification/consumption effect on birthweight</t>
  </si>
  <si>
    <t>Mean difference</t>
  </si>
  <si>
    <t>g/(mg/person-day)</t>
  </si>
  <si>
    <t>0.729-2.611</t>
  </si>
  <si>
    <t>Haider et al.*</t>
  </si>
  <si>
    <t>Anaemia, prenatal iron use, and risk of adverse pregnancy outcomes: systematic review and meta-analysis</t>
  </si>
  <si>
    <t>https://doi.org/10.1136/bmj.f3443</t>
  </si>
  <si>
    <t>From Table 4. This source also contains other iron effect sizes that could be useful for comparison, e.g., dose-response of Hb on birthweight, and effect on LBW</t>
  </si>
  <si>
    <t>Salt</t>
  </si>
  <si>
    <t>folic acid + iodine</t>
  </si>
  <si>
    <t>NTDs</t>
  </si>
  <si>
    <t>99 ppm folic acid fortification/consumption effect on RBC folate</t>
  </si>
  <si>
    <t>geometric mean ratio</t>
  </si>
  <si>
    <t>ratio</t>
  </si>
  <si>
    <t>2.58-3.01</t>
  </si>
  <si>
    <t>Tessema et al.</t>
  </si>
  <si>
    <t>Folic acid fortification of iodized salt improves the folate status of nonpregnant adult Ethiopian females and does not impair their iodine status: a community-based, household-randomized, dose-response trial</t>
  </si>
  <si>
    <t>https://pubmed.ncbi.nlm.nih.gov/41611087/</t>
  </si>
  <si>
    <t>Sounds extremely relevant to our Ethiopia/Salt/FA scenario</t>
  </si>
  <si>
    <t>36 ppm folic acid fortification/consumption effect on RBC folate</t>
  </si>
  <si>
    <t>1.85-2.15</t>
  </si>
  <si>
    <t>folic acid</t>
  </si>
  <si>
    <t>folic acid fortification/consumption effect on RBC folate</t>
  </si>
  <si>
    <t>Crider et al.</t>
  </si>
  <si>
    <t>Systematic Review and Bayesian Meta-analysis of the Dose-response Relationship between Folic Acid Intake and Changes in Blood Folate Concentrations</t>
  </si>
  <si>
    <t>https://pmc.ncbi.nlm.nih.gov/articles/PMC6356991/</t>
  </si>
  <si>
    <t>Natural foods</t>
  </si>
  <si>
    <t>folate</t>
  </si>
  <si>
    <t>Marchetta et al.*</t>
  </si>
  <si>
    <t>Assessing the association between natural food folate intake and blood folate concentrations: a systematic review and Bayesian meta-analysis of trials and observational studies</t>
  </si>
  <si>
    <t>https://pubmed.ncbi.nlm.nih.gov/25867949/</t>
  </si>
  <si>
    <t>iron, FA, other</t>
  </si>
  <si>
    <t>external validation comparison</t>
  </si>
  <si>
    <t>Tiwari et al</t>
  </si>
  <si>
    <t>Impact assessment of fortified rice under the public distribution system: evidence from the tribal regions of Gujarat</t>
  </si>
  <si>
    <t>https://pubmed.ncbi.nlm.nih.gov/41994527/</t>
  </si>
  <si>
    <t>Evaluation of PDS in Gujarat</t>
  </si>
  <si>
    <t>Thankachan et al</t>
  </si>
  <si>
    <t>Assessing the effect of Government of India’s pilot scheme on rice fortification and other etiological factors on the prevalence of anaemia among non-pregnant women in Odisha and Uttar Pradesh</t>
  </si>
  <si>
    <t>https://www.medrxiv.org/content/10.1101/2025.04.30.25326719v1.full</t>
  </si>
  <si>
    <t>another modeling study</t>
  </si>
  <si>
    <t>Luo et al</t>
  </si>
  <si>
    <t>Quantifying the Potential Impact of Food Fortification on Iron Intake, Hemoglobin Concentration and Anemia Prevalence Among Women of Reproductive Age in India</t>
  </si>
  <si>
    <t>https://pmc.ncbi.nlm.nih.gov/articles/PMC13501248/</t>
  </si>
  <si>
    <t>Multiple</t>
  </si>
  <si>
    <t>FA</t>
  </si>
  <si>
    <t>Moges et al</t>
  </si>
  <si>
    <t>The effectiveness of mandatory folic acid fortification compared with pre-fortification periods on reducing neural tube defects (NTDs): a systematic review and meta-analysis</t>
  </si>
  <si>
    <t>https://pmc.ncbi.nlm.nih.gov/articles/PMC12888319/</t>
  </si>
  <si>
    <t>See also https://pubmed.ncbi.nlm.nih.gov/42280401/ which criticizes this sort of approach</t>
  </si>
  <si>
    <t>Bouillon</t>
  </si>
  <si>
    <t>Vosti et al</t>
  </si>
  <si>
    <t>Cost‐Efficiency and Cost‐Effectiveness of Alternative Bouillon Fortification Programs: Evidence for Burkina Faso, Nigeria, and Senegal</t>
  </si>
  <si>
    <t>https://pmc.ncbi.nlm.nih.gov/articles/PMC12917931/</t>
  </si>
  <si>
    <t>https://nyaspubs.onlinelibrary.wiley.com/doi/epdf/10.1111/nyas.13511?getft_integrator=sciencedirect_contenthosting&amp;src=getftr&amp;utm_source=sciencedirect_contenthosting</t>
  </si>
  <si>
    <t>RBC folate &amp; NTD</t>
  </si>
  <si>
    <t>folate, Zn</t>
  </si>
  <si>
    <t>folate consumption by quintile</t>
  </si>
  <si>
    <t>Saje et al.*</t>
  </si>
  <si>
    <t>Modeling the Contribution of Multiple Micronutrient Fortification of Salt to Daily Nutrient Intake Among the Ethiopian Population</t>
  </si>
  <si>
    <t>https://cdn.nutrition.org/article/S2475-2991%2824%2901728-1/fulltext</t>
  </si>
  <si>
    <t>folate, other</t>
  </si>
  <si>
    <t>folate consumption in India</t>
  </si>
  <si>
    <t>Mediratta et al.*</t>
  </si>
  <si>
    <t>Intake of ultra-processed food, dietary diversity and the risk of nutritional inadequacy among adults in India</t>
  </si>
  <si>
    <t>https://pmc.ncbi.nlm.nih.gov/articles/PMC10755415/pdf/S1368980023002112a.pdf</t>
  </si>
  <si>
    <t>Country</t>
  </si>
  <si>
    <t>Quintile</t>
  </si>
  <si>
    <t>Population</t>
  </si>
  <si>
    <t>Data point name</t>
  </si>
  <si>
    <t>Data source</t>
  </si>
  <si>
    <t>CI</t>
  </si>
  <si>
    <t>CI Type</t>
  </si>
  <si>
    <t>SE</t>
  </si>
  <si>
    <t>Nigeria</t>
  </si>
  <si>
    <t>Wheat</t>
  </si>
  <si>
    <t>Total</t>
  </si>
  <si>
    <t>Non-pregnant WRA</t>
  </si>
  <si>
    <t>Vehicle consumption by WRA -- any</t>
  </si>
  <si>
    <t>percentage</t>
  </si>
  <si>
    <t>%</t>
  </si>
  <si>
    <t>Nigeria National Food Consumption and Micronutrient Status Survey (NFCMS), Table 146, p 191</t>
  </si>
  <si>
    <t>[24.3, 32.2]</t>
  </si>
  <si>
    <t>95% CI</t>
  </si>
  <si>
    <t>the NFCMS Annex 38 (p  544) should have included vehicle consumption percentage and 95% CI for pregnant women and children U5 groups, but looks like the pdf has a printing error in the table (title states wheat flour, but header rows indicate vegetable oil comsumption values). maybe we can use non-pregnant WRA values for pregnant women and children U5?</t>
  </si>
  <si>
    <t>Lowest</t>
  </si>
  <si>
    <t>NFCMS, Table 146, p 191</t>
  </si>
  <si>
    <t>[14.3, 24.0]</t>
  </si>
  <si>
    <t>Second</t>
  </si>
  <si>
    <t>[19.5, 31.2]</t>
  </si>
  <si>
    <t>Middle</t>
  </si>
  <si>
    <t>[24.6, 36.5]</t>
  </si>
  <si>
    <t>Fourth</t>
  </si>
  <si>
    <t>[28.2, 38.5]</t>
  </si>
  <si>
    <t>Highest</t>
  </si>
  <si>
    <t>[28.0, 42.6]</t>
  </si>
  <si>
    <t>Vehicle consumption by WRA -- amount</t>
  </si>
  <si>
    <t>mean</t>
  </si>
  <si>
    <t>g/day</t>
  </si>
  <si>
    <t>NFCMS, Table 147, p 193</t>
  </si>
  <si>
    <t>[35.1, 42.9]</t>
  </si>
  <si>
    <t xml:space="preserve">[12.6, 19.6] </t>
  </si>
  <si>
    <t>[18.7, 28.2]</t>
  </si>
  <si>
    <t>[31.5, 44.8]</t>
  </si>
  <si>
    <t>[43.0, 55.6]</t>
  </si>
  <si>
    <t>[57.0, 67.7]</t>
  </si>
  <si>
    <t>Pregnant women</t>
  </si>
  <si>
    <t>[29.5, 40.6]</t>
  </si>
  <si>
    <t>not included in GF input "Vehicles - WRA" C10; they used non pregnant women for all WRA (not sure if we are supposed to assume it is the same for all WRA? I could not find a value in NFCMS that is for all WRA)</t>
  </si>
  <si>
    <t>Children U5</t>
  </si>
  <si>
    <t>Vehicle consumption by U5 children -- amount</t>
  </si>
  <si>
    <t>NFCMS, Table 148, p 194</t>
  </si>
  <si>
    <t>[22.9, 29.2]</t>
  </si>
  <si>
    <t>Children U5 - male</t>
  </si>
  <si>
    <t>[23.3, 30.4]</t>
  </si>
  <si>
    <t>GF input file states sex-specific values for U5 children "not to be projected / filled out". But not sure why? Maybe can safely assume no significant difference between sexes for children U5?</t>
  </si>
  <si>
    <t>Children U5 - female</t>
  </si>
  <si>
    <t>[21.0, 29.1]</t>
  </si>
  <si>
    <t>NFCMS, Table 166, p 215</t>
  </si>
  <si>
    <t>[99.0, 99.6]</t>
  </si>
  <si>
    <t>[98.9, 100.0]</t>
  </si>
  <si>
    <t>[99.4, 100.0]</t>
  </si>
  <si>
    <t>[99.0, 99.9]</t>
  </si>
  <si>
    <t>[98.7, 100.0]</t>
  </si>
  <si>
    <t>[97.1, 99.9]</t>
  </si>
  <si>
    <t>NFCMS, Annex 42, p 548</t>
  </si>
  <si>
    <t>[98.5, 99.8]</t>
  </si>
  <si>
    <t>Vehicle consumption by U5 children -- any</t>
  </si>
  <si>
    <t>[98.8, 99.6]</t>
  </si>
  <si>
    <t>NFCMS, Table 167, p 217</t>
  </si>
  <si>
    <t>[3.7, 4.1]</t>
  </si>
  <si>
    <t>[3.8, 4.6]</t>
  </si>
  <si>
    <t>[3.5, 4.4]</t>
  </si>
  <si>
    <t>[3.5, 4.2]</t>
  </si>
  <si>
    <t>[3.4, 4.0]</t>
  </si>
  <si>
    <t>[3.5, 4.0]</t>
  </si>
  <si>
    <t>[3.8, 4.5]</t>
  </si>
  <si>
    <t>NFCMS, Table 168, p 218</t>
  </si>
  <si>
    <t>[2.4, 2.9]</t>
  </si>
  <si>
    <t>[2.4, 3.0]</t>
  </si>
  <si>
    <t>[2.2, 2.8]</t>
  </si>
  <si>
    <t>Ethiopia</t>
  </si>
  <si>
    <t>WRA</t>
  </si>
  <si>
    <t>Ethiopia National Food Nutrition Survey (FNS), Table 8.9</t>
  </si>
  <si>
    <t>consumption of fortified wheat (not all wheat);
no values in GF Input "Vehicles - preschool" for Ethiopia, so maybe we can use WRA values for children U5 as well?
from GF input "Vehicles - WRA" N27 which doesn't include CI/SE data</t>
  </si>
  <si>
    <t>FNS, Table 8.9</t>
  </si>
  <si>
    <t>consumption of fortified wheat (not all wheat);
from GF input "Vehicles - WRA" N48 which doesn't include CI/SE data</t>
  </si>
  <si>
    <t>consumption of fortified wheat (not all wheat);
from GF input "Vehicles - WRA" N49 which doesn't include CI/SE data</t>
  </si>
  <si>
    <t>consumption of fortified wheat (not all wheat);
from GF input "Vehicles - WRA" N50 which doesn't include CI/SE data</t>
  </si>
  <si>
    <t>consumption of fortified wheat (not all wheat);
from GF input "Vehicles - WRA" N51 which doesn't include CI/SE data</t>
  </si>
  <si>
    <t>consumption of fortified wheat (not all wheat);
from GF input "Vehicles - WRA" N52 which doesn't include CI/SE data</t>
  </si>
  <si>
    <t>All</t>
  </si>
  <si>
    <t>Vehicle consumption -- any</t>
  </si>
  <si>
    <t>Ethiopia Socioeconomic Panel Survey (ESPS)</t>
  </si>
  <si>
    <t>[35.8, 46.1]</t>
  </si>
  <si>
    <t>big difference from this dataset and GF data is that this is consumption of all wheat (not just consumption of fortified wheat). i don't know which is preferred for our model. 
I asked claude to generate these numbers given that this is not the dataset that GF used. If we actually want to use these numbers, I suggest we integrate the code into the model using the datasets provided with appropriate sampling weights used (I didn't go through this process because I wasn't sure if we actually want to use this data, but I did ask Claude to do the best it could to incorporate sampling weights using design-based Taylor linearization approach which is similar to apprach used in the NFCMS survey)</t>
  </si>
  <si>
    <t>[21.5, 37.7]</t>
  </si>
  <si>
    <t>[26.5, 44.4]</t>
  </si>
  <si>
    <t>[30.6, 46.7]</t>
  </si>
  <si>
    <t>[42.3, 57.9]</t>
  </si>
  <si>
    <t>[44.1, 58.0]</t>
  </si>
  <si>
    <t>Vehicle consumption -- amount</t>
  </si>
  <si>
    <t>[38.0, 65.1]</t>
  </si>
  <si>
    <t>[15.9, 33.7]</t>
  </si>
  <si>
    <t>[26.8, 53.0]</t>
  </si>
  <si>
    <t>[30.2, 61.2]</t>
  </si>
  <si>
    <t>[39.1, 130.5]</t>
  </si>
  <si>
    <t>[49.5, 101.3]</t>
  </si>
  <si>
    <t>India</t>
  </si>
  <si>
    <t>NCES</t>
  </si>
  <si>
    <t>Model</t>
  </si>
  <si>
    <t>Term</t>
  </si>
  <si>
    <t>Term Definition</t>
  </si>
  <si>
    <t>GF Input?</t>
  </si>
  <si>
    <t>Limitations</t>
  </si>
  <si>
    <t>coverage</t>
  </si>
  <si>
    <t>use of vehicle, regardless of fortification</t>
  </si>
  <si>
    <t>Yes, but maybe a typo on their sheet? They put 28.0?</t>
  </si>
  <si>
    <t xml:space="preserve">1. "The remaining 72% that did not use it at home dose not mean that the households did not consume wheat flour rather they consumed wheat flour products (i.e., bread, confectionaries) that are vendor processed."
2. This is the number GF used for all WRA (even though it specifically states for non-pregnant WRA) and for children U5. Percentage of vehicle consumption for pregnant WRA and children U5 is most likely located in Annex 38 (which is missing). </t>
  </si>
  <si>
    <t>Yes</t>
  </si>
  <si>
    <t>consumption</t>
  </si>
  <si>
    <t>amount of vehicle consumed daily</t>
  </si>
  <si>
    <t>This is the number GF used for all WRA (even though it specifically states for non-pregnant WRA) and for children U5. More specific amount numbers for pregnant WRA and children U5 (separated by sex as well) are located below</t>
  </si>
  <si>
    <t>standard deviation</t>
  </si>
  <si>
    <t>No, GF did not provide SD</t>
  </si>
  <si>
    <t>Assuming normal distribution</t>
  </si>
  <si>
    <t>Very rough estimate using SD = IQR / 1.35 (normality assumption)</t>
  </si>
  <si>
    <t>No, GF used non-pregnant WRA  values for all WRA values</t>
  </si>
  <si>
    <t>No, GF did not provide children specific numbers in new spreadsheet</t>
  </si>
  <si>
    <t>probably use sex-specific numbers over this?</t>
  </si>
  <si>
    <t>consolidation</t>
  </si>
  <si>
    <t>proportion of vehicle produced by industrial-scale facilities and therefore deemed fortifiable</t>
  </si>
  <si>
    <t>Vehicle "fortifiability" (essentially amount industrially produced)</t>
  </si>
  <si>
    <t>Millers for Nutrition (M4N) Database</t>
  </si>
  <si>
    <t>Yes, but maybe a typo on their sheet? They put 99.2?</t>
  </si>
  <si>
    <t>No, GF used non-pregnant WRA for all WRA values</t>
  </si>
  <si>
    <t>Assumption</t>
  </si>
  <si>
    <t>No (N/A reported in  GF Background Data Sheet 20260928)</t>
  </si>
  <si>
    <t>unlcear of source GF used</t>
  </si>
  <si>
    <t>GF Input file, source is "Portfolio Review"</t>
  </si>
  <si>
    <t>N/A</t>
  </si>
  <si>
    <t>Not sure why this is N/A??</t>
  </si>
  <si>
    <t>N/A in the GF Background Data Sheet</t>
  </si>
  <si>
    <t>NFCMS, Table 169, p 220</t>
  </si>
  <si>
    <t>[97.5, 98.8]</t>
  </si>
  <si>
    <t>[94.2, 98.4]</t>
  </si>
  <si>
    <t>[96.8, 99.3]</t>
  </si>
  <si>
    <t>[97.8, 99.4]</t>
  </si>
  <si>
    <t>[97.5, 99.7]</t>
  </si>
  <si>
    <t>NFCMS, Annex 44, 549</t>
  </si>
  <si>
    <t>[97.7, 99.5]</t>
  </si>
  <si>
    <t>No, GF used non-pregnant WRA for all WRA and children U5 consumption values for salt</t>
  </si>
  <si>
    <t>[98.3, 99.2]</t>
  </si>
  <si>
    <t>NFCMS, Table 170, p 222</t>
  </si>
  <si>
    <t>[6.0, 6.6]</t>
  </si>
  <si>
    <t>[7.7, 9.0]</t>
  </si>
  <si>
    <t>[7.3, 8.7]</t>
  </si>
  <si>
    <t>[5.3, 6.5]</t>
  </si>
  <si>
    <t>[4.3, 5.4]</t>
  </si>
  <si>
    <t>[4.1, 5.2]</t>
  </si>
  <si>
    <t>[6.0, 7.3]</t>
  </si>
  <si>
    <t>No, GF used non-pregnant WRA for all WRA and children U5 values for wheat</t>
  </si>
  <si>
    <t>NFCMS, Table 171, p 223</t>
  </si>
  <si>
    <t>[4.0, 4.5]</t>
  </si>
  <si>
    <t>[4.0, 4.6]</t>
  </si>
  <si>
    <t>[3.8, 4.4]</t>
  </si>
  <si>
    <t>Dashboard Update 10/25</t>
  </si>
  <si>
    <t>GF Input Sheet 20260416</t>
  </si>
  <si>
    <t>INTAKE</t>
  </si>
  <si>
    <t>Yes, BUT potentially incorrect rounding error in their sheet? They put 54.0 as their value.</t>
  </si>
  <si>
    <t>yes</t>
  </si>
  <si>
    <t xml:space="preserve">M4N Database </t>
  </si>
  <si>
    <t>NFCMS, Table 172, p 224</t>
  </si>
  <si>
    <t>[56.4, 66.1]</t>
  </si>
  <si>
    <t>No, they updated total consumption in GF Background Data Sheet 20260928 with M4N Database for source (value shown in the row above, cell L96), but wealth quintile values stay the same (from NFCMS, 2021)</t>
  </si>
  <si>
    <t>[26.2, 42.2]</t>
  </si>
  <si>
    <t>Yes, BUT maybe a typo on their sheet? They put 34.1?</t>
  </si>
  <si>
    <t>[43.8, 61.0]</t>
  </si>
  <si>
    <t>[53.4, 67.9]</t>
  </si>
  <si>
    <t>[68.5, 78.9]</t>
  </si>
  <si>
    <t>[72.2, 86.9]</t>
  </si>
  <si>
    <t>[52.2, 65.9]</t>
  </si>
  <si>
    <t>NFCMS, Table 173, p 223</t>
  </si>
  <si>
    <t>[35.1, 41.6]</t>
  </si>
  <si>
    <t>[37.2, 44.8]</t>
  </si>
  <si>
    <t>[31.7, 39.3]</t>
  </si>
  <si>
    <t>GFDx, "Ayodele Tella, TechnoServe. Personal Communication. Nigeria. 2026."</t>
  </si>
  <si>
    <t>No</t>
  </si>
  <si>
    <t>M4N Database</t>
  </si>
  <si>
    <t>Unknown</t>
  </si>
  <si>
    <t>Fortificant</t>
  </si>
  <si>
    <t>Term definition</t>
  </si>
  <si>
    <t>Current GF input?</t>
  </si>
  <si>
    <t>Iron</t>
  </si>
  <si>
    <t>baseline fortification</t>
  </si>
  <si>
    <t>Vehicle fortication at baseline -- any</t>
  </si>
  <si>
    <t>No, not an input for GF</t>
  </si>
  <si>
    <t>any level of fortification</t>
  </si>
  <si>
    <t>nutrient concentration</t>
  </si>
  <si>
    <t>Vehicle fortication at baseline -- amount among fortified</t>
  </si>
  <si>
    <t>concentration</t>
  </si>
  <si>
    <t>ppm</t>
  </si>
  <si>
    <t>NFCMS, Table 178, p 229</t>
  </si>
  <si>
    <r>
      <rPr>
        <b/>
        <sz val="12"/>
        <color theme="1"/>
        <rFont val="Aptos Narrow"/>
        <family val="2"/>
        <scheme val="minor"/>
      </rPr>
      <t>SHOULD CONFIRM WITH GF</t>
    </r>
    <r>
      <rPr>
        <sz val="12"/>
        <color theme="1"/>
        <rFont val="Aptos Narrow"/>
        <family val="2"/>
        <scheme val="minor"/>
      </rPr>
      <t xml:space="preserve">
No, they don't include nutrient concentrations in their input sheet</t>
    </r>
  </si>
  <si>
    <t>mean iron concentration in fortified samples</t>
  </si>
  <si>
    <t>NFCMS,Table</t>
  </si>
  <si>
    <t>compliance</t>
  </si>
  <si>
    <t>proportion of of fortifiable product that is actually fortified and meets standard</t>
  </si>
  <si>
    <t>Baseline effective % of fortified</t>
  </si>
  <si>
    <t>they don't have specific values for MN, so this number is for every MN</t>
  </si>
  <si>
    <t>NFCMS, Figure 28, p 229</t>
  </si>
  <si>
    <t>fortified "at or above standard"</t>
  </si>
  <si>
    <t>effective coverage</t>
  </si>
  <si>
    <t>coverage x consolidation x compliance</t>
  </si>
  <si>
    <t>idk</t>
  </si>
  <si>
    <t>calculated from previous inputs</t>
  </si>
  <si>
    <t>Folic Acid</t>
  </si>
  <si>
    <t>irrelevant bc fortification % is at 0?</t>
  </si>
  <si>
    <t>GF Input in their 20260416 input  (I am assuming N/A means 0)</t>
  </si>
  <si>
    <t>assumption</t>
  </si>
  <si>
    <t>Assumption using the GF Input of N/A</t>
  </si>
  <si>
    <t>no input, but Nigeria doesn't currently fortify salt for anything except iodine: https://www.technoserve.org/wp-content/uploads/2022/08/Premix-Study-Full-Report.pdf (table 2)</t>
  </si>
  <si>
    <t>irrelevant bc fortification % is at 0</t>
  </si>
  <si>
    <t>I am assuming N/A means 0</t>
  </si>
  <si>
    <t>Assumption: labeled as fortified = fortified (basically true for salt). Divided "consumed food labeled as fortified" by "consumed food".</t>
  </si>
  <si>
    <t>this is for government rice only</t>
  </si>
  <si>
    <t>Scenario</t>
  </si>
  <si>
    <t>Intervention</t>
  </si>
  <si>
    <t>Intervention coverage % of fortifiable</t>
  </si>
  <si>
    <t>GF Input 2035 Compliance</t>
  </si>
  <si>
    <t>coverage = effectiveness = 1 (100%)</t>
  </si>
  <si>
    <t>Nigera</t>
  </si>
  <si>
    <t>Vehicle fortification in intervention -- amount among fortified</t>
  </si>
  <si>
    <t>TechnoServe, 2019; Table 2</t>
  </si>
  <si>
    <t>Nigeria Mandatory Fortification Standards; no value in GF input file; originally given as mg/kg, which is equivalent to ppm and mcg/g</t>
  </si>
  <si>
    <t>baseline RBC folate distribution</t>
  </si>
  <si>
    <t>Berihu et al.</t>
  </si>
  <si>
    <t>High prevalence and associated factors of red blood cell folate deficiency among first-trimester pregnant women in a neural tube defect high-risk Region of Tigray, Northern Ethiopia</t>
  </si>
  <si>
    <t>https://pubmed.ncbi.nlm.nih.gov/42623418/</t>
  </si>
  <si>
    <t>lack of good serum folate threshold for NTDs</t>
  </si>
  <si>
    <t>Tesfaye et al.</t>
  </si>
  <si>
    <t>Serum Folate Concentration Corresponding to the Red Blood Cell Folate Threshold for Increased Risk of Neural Tube Defects Among Ethiopian Women of Reproductive Age</t>
  </si>
  <si>
    <t>https://onlinelibrary.wiley.com/doi/full/10.1111/mcn.70121</t>
  </si>
  <si>
    <t>RBC folate effect on NTD incidence</t>
  </si>
  <si>
    <t>Crider et al.*</t>
  </si>
  <si>
    <t>Population red blood cell folate concentrations for prevention of neural tube defects: Bayesian model</t>
  </si>
  <si>
    <t>https://pubmed.ncbi.nlm.nih.gov/25073783/</t>
  </si>
  <si>
    <t>anemia etiology in Ethiopia</t>
  </si>
  <si>
    <t>Andersen et al.*</t>
  </si>
  <si>
    <t>Anemia Etiology in Ethiopia: Assessment of Nutritional, Infectious Disease, and Other Risk Factors in a Population-Based Cross-Sectional Survey of Women, Men, and Children</t>
  </si>
  <si>
    <t>https://pubmed.ncbi.nlm.nih.gov/34647598/</t>
  </si>
  <si>
    <t>Iron fortification/consumption effect on hemoglobin</t>
  </si>
  <si>
    <t>Unpublished</t>
  </si>
  <si>
    <t>Dorbu et al. Nutritional anemia reductions due to food fortification among women of childbearing age: a systematic review and Bayesian meta-analysis. Unpublished data.</t>
  </si>
  <si>
    <t>0.9-5.71</t>
  </si>
  <si>
    <t>"This comes from a slide deck that Jonathan send to Abie.  It is credited to  Helena.Pachon@emory.edu".
There are also https://doi.org/10.1080/09637486.2020.1855126 and https://iris.who.int/bitstream/handle/10665/272535/9789241550291-eng.pdf?ua=1 which report similar-ish numbers but this is the one we got from Gates.</t>
  </si>
  <si>
    <t>Can Double Fortification of Salt with Iron and Iodine Reduce Anemia, Iron Deficiency Anemia, Iron Deficiency, Iodine Deficiency, and Functional Outcomes? Evidence of Efficacy, Effectiveness, and Safety</t>
  </si>
  <si>
    <t>2.3-6.4</t>
  </si>
  <si>
    <t>https://www.ncbi.nlm.nih.gov/pmc/articles/PMC7882357/; meta-analysis of 22 studies</t>
  </si>
  <si>
    <t>https://www.sciencedirect.com/science/article/pii/S0002916523028915; could not find anything bouillon-specific</t>
  </si>
  <si>
    <t>0.729 to 2.611</t>
  </si>
  <si>
    <t>https://www.bmj.com/content/346/bmj.f3443; study of supplementation at higher doses than fortification; selected the effect among trials &lt;66mg/day as all fortification would fall in this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</si>
</sst>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2"/>
      <color theme="1"/>
      <name val="Aptos Narrow"/>
      <family val="2"/>
      <scheme val="minor"/>
    </font>
    <font>
      <sz val="11"/>
      <color theme="1"/>
      <name val="Aptos Narrow"/>
      <family val="2"/>
      <scheme val="minor"/>
    </font>
    <font>
      <b/>
      <sz val="12"/>
      <color theme="1"/>
      <name val="Aptos Narrow"/>
      <scheme val="minor"/>
    </font>
    <font>
      <u/>
      <sz val="12"/>
      <color theme="10"/>
      <name val="Aptos Narrow"/>
      <family val="2"/>
      <scheme val="minor"/>
    </font>
    <font>
      <b/>
      <sz val="11"/>
      <color theme="1"/>
      <name val="Aptos Narrow"/>
      <family val="2"/>
      <scheme val="minor"/>
    </font>
    <font>
      <u/>
      <sz val="11"/>
      <color theme="10"/>
      <name val="Aptos Narrow"/>
      <family val="2"/>
      <scheme val="minor"/>
    </font>
    <font>
      <b/>
      <sz val="12"/>
      <color theme="1"/>
      <name val="Aptos Narrow"/>
      <family val="2"/>
      <scheme val="minor"/>
    </font>
    <font>
      <sz val="12"/>
      <color rgb="FF242424"/>
      <name val="Aptos Narrow"/>
      <charset val="1"/>
    </font>
    <font>
      <sz val="12"/>
      <name val="Aptos Narrow"/>
      <family val="2"/>
      <scheme val="minor"/>
    </font>
    <font>
      <sz val="11"/>
      <color rgb="FF000000"/>
      <name val="Aptos Narrow"/>
      <family val="2"/>
      <scheme val="minor"/>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4">
    <xf numFmtId="0" fontId="0" fillId="0" borderId="0"/>
    <xf numFmtId="0" fontId="3" fillId="0" borderId="0" applyNumberFormat="0" applyFill="0" applyBorder="0" applyAlignment="0" applyProtection="0"/>
    <xf numFmtId="0" fontId="1" fillId="0" borderId="0"/>
    <xf numFmtId="0" fontId="5" fillId="0" borderId="0"/>
  </cellStyleXfs>
  <cellXfs count="19">
    <xf numFmtId="0" fontId="0" fillId="0" borderId="0" xfId="0"/>
    <xf numFmtId="0" fontId="2" fillId="0" borderId="0" xfId="0" applyFont="1"/>
    <xf numFmtId="0" fontId="3" fillId="0" borderId="0" xfId="1"/>
    <xf numFmtId="0" fontId="0" fillId="0" borderId="0" xfId="0" applyAlignment="1">
      <alignment wrapText="1"/>
    </xf>
    <xf numFmtId="0" fontId="4" fillId="0" borderId="0" xfId="2" applyFont="1"/>
    <xf numFmtId="0" fontId="4" fillId="0" borderId="0" xfId="0" applyFont="1" applyAlignment="1">
      <alignment wrapText="1"/>
    </xf>
    <xf numFmtId="0" fontId="4" fillId="0" borderId="0" xfId="2" applyFont="1" applyAlignment="1">
      <alignment wrapText="1"/>
    </xf>
    <xf numFmtId="164" fontId="0" fillId="0" borderId="0" xfId="0" applyNumberFormat="1" applyAlignment="1">
      <alignment wrapText="1"/>
    </xf>
    <xf numFmtId="0" fontId="6" fillId="0" borderId="0" xfId="0" applyFont="1" applyAlignment="1">
      <alignment wrapText="1"/>
    </xf>
    <xf numFmtId="0" fontId="3" fillId="0" borderId="0" xfId="1" applyAlignment="1">
      <alignment wrapText="1"/>
    </xf>
    <xf numFmtId="0" fontId="6" fillId="0" borderId="0" xfId="0" applyFont="1"/>
    <xf numFmtId="0" fontId="6" fillId="0" borderId="0" xfId="2" applyFont="1" applyAlignment="1">
      <alignment wrapText="1"/>
    </xf>
    <xf numFmtId="0" fontId="7" fillId="0" borderId="0" xfId="0" applyFont="1" applyAlignment="1">
      <alignment wrapText="1"/>
    </xf>
    <xf numFmtId="0" fontId="8" fillId="0" borderId="0" xfId="1" applyFont="1" applyAlignment="1">
      <alignment wrapText="1"/>
    </xf>
    <xf numFmtId="0" fontId="9" fillId="0" borderId="0" xfId="0" applyFont="1"/>
    <xf numFmtId="0" fontId="10" fillId="0" borderId="0" xfId="0" applyFont="1"/>
    <xf numFmtId="0" fontId="4" fillId="0" borderId="0" xfId="0" applyFont="1"/>
    <xf numFmtId="0" fontId="5" fillId="0" borderId="0" xfId="3"/>
    <xf numFmtId="0" fontId="3" fillId="0" borderId="0" xfId="1" applyFill="1"/>
  </cellXfs>
  <cellStyles count="4">
    <cellStyle name="Hyperlink" xfId="1" builtinId="8"/>
    <cellStyle name="Hyperlink 2" xfId="3" xr:uid="{5AC13E70-02D1-468D-AAAE-2AF873FBF35F}"/>
    <cellStyle name="Normal" xfId="0" builtinId="0"/>
    <cellStyle name="Normal 2" xfId="2" xr:uid="{30C94A1B-551C-4AB5-876F-C8BC6B8E4EFC}"/>
  </cellStyles>
  <dxfs count="22">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bottom" textRotation="0" wrapText="1" indent="0" justifyLastLine="0" shrinkToFit="0" readingOrder="0"/>
    </dxf>
    <dxf>
      <font>
        <b/>
        <i val="0"/>
      </font>
      <fill>
        <patternFill>
          <bgColor theme="9"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2C7FAD8-0E12-4F5E-847B-0C77073A46DB}" name="Table2" displayName="Table2" ref="A1:S119" totalsRowShown="0" headerRowDxfId="20" dataDxfId="19" headerRowCellStyle="Normal 2">
  <autoFilter ref="A1:S119" xr:uid="{52C7FAD8-0E12-4F5E-847B-0C77073A46DB}"/>
  <tableColumns count="19">
    <tableColumn id="1" xr3:uid="{ED40A371-C886-4C90-91D0-9DA6D2F027FD}" name="Country" dataDxfId="18"/>
    <tableColumn id="2" xr3:uid="{57D9C2EC-79EB-4F7D-B32A-C01EA4147714}" name="Vehicle" dataDxfId="17"/>
    <tableColumn id="19" xr3:uid="{D2AB8013-D2CA-4B91-8D82-1C660DA04F08}" name="Model" dataDxfId="16"/>
    <tableColumn id="3" xr3:uid="{50FBE394-BC76-4592-8DCD-EEEFA750029C}" name="Quintile" dataDxfId="15"/>
    <tableColumn id="4" xr3:uid="{07AAFA89-8280-4C8A-98C1-37A17FDD9B65}" name="Population" dataDxfId="14"/>
    <tableColumn id="5" xr3:uid="{CE6E858A-9D2B-43EB-B0C9-E384EC154D38}" name="Term" dataDxfId="13"/>
    <tableColumn id="6" xr3:uid="{4394E31A-7ECF-4B70-9CBE-B3491F250869}" name="Term Definition" dataDxfId="12"/>
    <tableColumn id="7" xr3:uid="{C2B1E52A-468D-4FF7-A674-A8F0948907BB}" name="Data need" dataDxfId="11"/>
    <tableColumn id="8" xr3:uid="{ACAAD8F7-E5D3-4F1F-B403-A588D8B1FA31}" name="Data point name" dataDxfId="10"/>
    <tableColumn id="9" xr3:uid="{BEB9641B-92FA-4FC6-85B4-30B3E82E843E}" name="Units" dataDxfId="9"/>
    <tableColumn id="10" xr3:uid="{7C03BF79-E456-4188-8F46-CAEFBAA7FE5F}" name="Year" dataDxfId="8"/>
    <tableColumn id="11" xr3:uid="{BBBF616D-6C14-42F6-B3B7-1A5031B6F139}" name="Data source" dataDxfId="7" dataCellStyle="Hyperlink"/>
    <tableColumn id="12" xr3:uid="{1D8E29B7-609B-44E9-AF2F-EB579DEBD77E}" name="Value" dataDxfId="6"/>
    <tableColumn id="13" xr3:uid="{57974A5D-9368-4542-BDCC-7E3EB287AAC6}" name="CI" dataDxfId="5"/>
    <tableColumn id="14" xr3:uid="{643897A3-EA88-4245-A3B3-7CB88CA67F6D}" name="CI Type" dataDxfId="4"/>
    <tableColumn id="15" xr3:uid="{24633C81-1A1C-4588-80C7-5468B219B7B0}" name="SE" dataDxfId="3"/>
    <tableColumn id="16" xr3:uid="{DEBE0CEE-A9FD-493B-A5DB-9DF9EC48E971}" name="GF Input?" dataDxfId="2"/>
    <tableColumn id="17" xr3:uid="{BCAAE5EA-6431-436E-ABB4-BF2FF10BFA02}" name="Limitations" dataDxfId="1"/>
    <tableColumn id="18" xr3:uid="{D9D15180-A1F8-406F-8632-C0CF149B536C}"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pubmed.ncbi.nlm.nih.gov/41994527/" TargetMode="External"/><Relationship Id="rId13" Type="http://schemas.openxmlformats.org/officeDocument/2006/relationships/hyperlink" Target="https://nyaspubs.onlinelibrary.wiley.com/doi/epdf/10.1111/nyas.13511?getft_integrator=sciencedirect_contenthosting&amp;src=getftr&amp;utm_source=sciencedirect_contenthosting" TargetMode="External"/><Relationship Id="rId3" Type="http://schemas.openxmlformats.org/officeDocument/2006/relationships/hyperlink" Target="https://www.cochranelibrary.com/cdsr/doi/10.1002/14651858.CD009604.pub2/full" TargetMode="External"/><Relationship Id="rId7" Type="http://schemas.openxmlformats.org/officeDocument/2006/relationships/hyperlink" Target="https://pubmed.ncbi.nlm.nih.gov/25867949/" TargetMode="External"/><Relationship Id="rId12" Type="http://schemas.openxmlformats.org/officeDocument/2006/relationships/hyperlink" Target="https://pmc.ncbi.nlm.nih.gov/articles/PMC12917931/" TargetMode="External"/><Relationship Id="rId17" Type="http://schemas.openxmlformats.org/officeDocument/2006/relationships/hyperlink" Target="https://doi.org/10.1136/bmj.f3443" TargetMode="External"/><Relationship Id="rId2" Type="http://schemas.openxmlformats.org/officeDocument/2006/relationships/hyperlink" Target="https://www.sciencedirect.com/science/article/pii/S0002916523028915" TargetMode="External"/><Relationship Id="rId16" Type="http://schemas.openxmlformats.org/officeDocument/2006/relationships/hyperlink" Target="https://pmc.ncbi.nlm.nih.gov/articles/PMC10755415/pdf/S1368980023002112a.pdf" TargetMode="External"/><Relationship Id="rId1" Type="http://schemas.openxmlformats.org/officeDocument/2006/relationships/hyperlink" Target="https://onlinelibrary.wiley.com/doi/full/10.1111/mcn.13801" TargetMode="External"/><Relationship Id="rId6" Type="http://schemas.openxmlformats.org/officeDocument/2006/relationships/hyperlink" Target="https://pmc.ncbi.nlm.nih.gov/articles/PMC6356991/" TargetMode="External"/><Relationship Id="rId11" Type="http://schemas.openxmlformats.org/officeDocument/2006/relationships/hyperlink" Target="https://pmc.ncbi.nlm.nih.gov/articles/PMC12888319/" TargetMode="External"/><Relationship Id="rId5" Type="http://schemas.openxmlformats.org/officeDocument/2006/relationships/hyperlink" Target="https://pmc.ncbi.nlm.nih.gov/articles/PMC7114015/" TargetMode="External"/><Relationship Id="rId15" Type="http://schemas.openxmlformats.org/officeDocument/2006/relationships/hyperlink" Target="https://cdn.nutrition.org/article/S2475-2991%2824%2901728-1/fulltext" TargetMode="External"/><Relationship Id="rId10" Type="http://schemas.openxmlformats.org/officeDocument/2006/relationships/hyperlink" Target="https://pmc.ncbi.nlm.nih.gov/articles/PMC13501248/" TargetMode="External"/><Relationship Id="rId4" Type="http://schemas.openxmlformats.org/officeDocument/2006/relationships/hyperlink" Target="https://pubmed.ncbi.nlm.nih.gov/41611087/" TargetMode="External"/><Relationship Id="rId9" Type="http://schemas.openxmlformats.org/officeDocument/2006/relationships/hyperlink" Target="https://www.medrxiv.org/content/10.1101/2025.04.30.25326719v1.full" TargetMode="External"/><Relationship Id="rId14" Type="http://schemas.openxmlformats.org/officeDocument/2006/relationships/hyperlink" Target="https://pubmed.ncbi.nlm.nih.gov/41611087/"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3" Type="http://schemas.openxmlformats.org/officeDocument/2006/relationships/hyperlink" Target="National%20Food%20Consumption%20and%20Micronutrient%20Survey%20(2021).pdf" TargetMode="External"/><Relationship Id="rId18" Type="http://schemas.openxmlformats.org/officeDocument/2006/relationships/hyperlink" Target="National%20Food%20Consumption%20and%20Micronutrient%20Survey%20(2021).pdf" TargetMode="External"/><Relationship Id="rId26" Type="http://schemas.openxmlformats.org/officeDocument/2006/relationships/hyperlink" Target="National%20Food%20Consumption%20and%20Micronutrient%20Survey%20(2021).pdf" TargetMode="External"/><Relationship Id="rId39" Type="http://schemas.openxmlformats.org/officeDocument/2006/relationships/hyperlink" Target="National%20Food%20Consumption%20and%20Micronutrient%20Survey%20(2021).pdf" TargetMode="External"/><Relationship Id="rId21" Type="http://schemas.openxmlformats.org/officeDocument/2006/relationships/hyperlink" Target="National%20Food%20Consumption%20and%20Micronutrient%20Survey%20(2021).pdf" TargetMode="External"/><Relationship Id="rId34" Type="http://schemas.openxmlformats.org/officeDocument/2006/relationships/hyperlink" Target="National%20Food%20Consumption%20and%20Micronutrient%20Survey%20(2021).pdf" TargetMode="External"/><Relationship Id="rId42" Type="http://schemas.openxmlformats.org/officeDocument/2006/relationships/hyperlink" Target="National%20Food%20Consumption%20and%20Micronutrient%20Survey%20(2021).pdf" TargetMode="External"/><Relationship Id="rId47" Type="http://schemas.openxmlformats.org/officeDocument/2006/relationships/hyperlink" Target="National%20Food%20Consumption%20and%20Micronutrient%20Survey%20(2021).pdf" TargetMode="External"/><Relationship Id="rId50" Type="http://schemas.openxmlformats.org/officeDocument/2006/relationships/hyperlink" Target="National%20Food%20Consumption%20and%20Micronutrient%20Survey%20(2021).pdf" TargetMode="External"/><Relationship Id="rId55" Type="http://schemas.openxmlformats.org/officeDocument/2006/relationships/hyperlink" Target="https://www.fortificationdata.org/choose-a-country/" TargetMode="External"/><Relationship Id="rId7" Type="http://schemas.openxmlformats.org/officeDocument/2006/relationships/hyperlink" Target="National%20Food%20Consumption%20and%20Micronutrient%20Survey%20(2021).pdf" TargetMode="External"/><Relationship Id="rId2" Type="http://schemas.openxmlformats.org/officeDocument/2006/relationships/hyperlink" Target="National%20Food%20Consumption%20and%20Micronutrient%20Survey%20(2021).pdf" TargetMode="External"/><Relationship Id="rId16" Type="http://schemas.openxmlformats.org/officeDocument/2006/relationships/hyperlink" Target="National%20Food%20Consumption%20and%20Micronutrient%20Survey%20(2021).pdf" TargetMode="External"/><Relationship Id="rId29" Type="http://schemas.openxmlformats.org/officeDocument/2006/relationships/hyperlink" Target="National%20Food%20Consumption%20and%20Micronutrient%20Survey%20(2021).pdf" TargetMode="External"/><Relationship Id="rId11" Type="http://schemas.openxmlformats.org/officeDocument/2006/relationships/hyperlink" Target="National%20Food%20Consumption%20and%20Micronutrient%20Survey%20(2021).pdf" TargetMode="External"/><Relationship Id="rId24" Type="http://schemas.openxmlformats.org/officeDocument/2006/relationships/hyperlink" Target="National%20Food%20Consumption%20and%20Micronutrient%20Survey%20(2021).pdf" TargetMode="External"/><Relationship Id="rId32" Type="http://schemas.openxmlformats.org/officeDocument/2006/relationships/hyperlink" Target="../Input%20Data%20from%20GF/20260416_Input%20data%20to%20IHME%20models.xlsx" TargetMode="External"/><Relationship Id="rId37" Type="http://schemas.openxmlformats.org/officeDocument/2006/relationships/hyperlink" Target="National%20Food%20Consumption%20and%20Micronutrient%20Survey%20(2021).pdf" TargetMode="External"/><Relationship Id="rId40" Type="http://schemas.openxmlformats.org/officeDocument/2006/relationships/hyperlink" Target="National%20Food%20Consumption%20and%20Micronutrient%20Survey%20(2021).pdf" TargetMode="External"/><Relationship Id="rId45" Type="http://schemas.openxmlformats.org/officeDocument/2006/relationships/hyperlink" Target="National%20Food%20Consumption%20and%20Micronutrient%20Survey%20(2021).pdf" TargetMode="External"/><Relationship Id="rId53" Type="http://schemas.openxmlformats.org/officeDocument/2006/relationships/hyperlink" Target="National%20Food%20Consumption%20and%20Micronutrient%20Survey%20(2021).pdf" TargetMode="External"/><Relationship Id="rId5" Type="http://schemas.openxmlformats.org/officeDocument/2006/relationships/hyperlink" Target="National%20Food%20Consumption%20and%20Micronutrient%20Survey%20(2021).pdf" TargetMode="External"/><Relationship Id="rId10" Type="http://schemas.openxmlformats.org/officeDocument/2006/relationships/hyperlink" Target="National%20Food%20Consumption%20and%20Micronutrient%20Survey%20(2021).pdf" TargetMode="External"/><Relationship Id="rId19" Type="http://schemas.openxmlformats.org/officeDocument/2006/relationships/hyperlink" Target="National%20Food%20Consumption%20and%20Micronutrient%20Survey%20(2021).pdf" TargetMode="External"/><Relationship Id="rId31" Type="http://schemas.openxmlformats.org/officeDocument/2006/relationships/hyperlink" Target="National%20Food%20Consumption%20and%20Micronutrient%20Survey%20(2021).pdf" TargetMode="External"/><Relationship Id="rId44" Type="http://schemas.openxmlformats.org/officeDocument/2006/relationships/hyperlink" Target="National%20Food%20Consumption%20and%20Micronutrient%20Survey%20(2021).pdf" TargetMode="External"/><Relationship Id="rId52" Type="http://schemas.openxmlformats.org/officeDocument/2006/relationships/hyperlink" Target="National%20Food%20Consumption%20and%20Micronutrient%20Survey%20(2021).pdf" TargetMode="External"/><Relationship Id="rId4" Type="http://schemas.openxmlformats.org/officeDocument/2006/relationships/hyperlink" Target="National%20Food%20Consumption%20and%20Micronutrient%20Survey%20(2021).pdf" TargetMode="External"/><Relationship Id="rId9" Type="http://schemas.openxmlformats.org/officeDocument/2006/relationships/hyperlink" Target="National%20Food%20Consumption%20and%20Micronutrient%20Survey%20(2021).pdf" TargetMode="External"/><Relationship Id="rId14" Type="http://schemas.openxmlformats.org/officeDocument/2006/relationships/hyperlink" Target="National%20Food%20Consumption%20and%20Micronutrient%20Survey%20(2021).pdf" TargetMode="External"/><Relationship Id="rId22" Type="http://schemas.openxmlformats.org/officeDocument/2006/relationships/hyperlink" Target="National%20Food%20Consumption%20and%20Micronutrient%20Survey%20(2021).pdf" TargetMode="External"/><Relationship Id="rId27" Type="http://schemas.openxmlformats.org/officeDocument/2006/relationships/hyperlink" Target="National%20Food%20Consumption%20and%20Micronutrient%20Survey%20(2021).pdf" TargetMode="External"/><Relationship Id="rId30" Type="http://schemas.openxmlformats.org/officeDocument/2006/relationships/hyperlink" Target="National%20Food%20Consumption%20and%20Micronutrient%20Survey%20(2021).pdf" TargetMode="External"/><Relationship Id="rId35" Type="http://schemas.openxmlformats.org/officeDocument/2006/relationships/hyperlink" Target="National%20Food%20Consumption%20and%20Micronutrient%20Survey%20(2021).pdf" TargetMode="External"/><Relationship Id="rId43" Type="http://schemas.openxmlformats.org/officeDocument/2006/relationships/hyperlink" Target="National%20Food%20Consumption%20and%20Micronutrient%20Survey%20(2021).pdf" TargetMode="External"/><Relationship Id="rId48" Type="http://schemas.openxmlformats.org/officeDocument/2006/relationships/hyperlink" Target="National%20Food%20Consumption%20and%20Micronutrient%20Survey%20(2021).pdf" TargetMode="External"/><Relationship Id="rId56" Type="http://schemas.openxmlformats.org/officeDocument/2006/relationships/table" Target="../tables/table1.xml"/><Relationship Id="rId8" Type="http://schemas.openxmlformats.org/officeDocument/2006/relationships/hyperlink" Target="National%20Food%20Consumption%20and%20Micronutrient%20Survey%20(2021).pdf" TargetMode="External"/><Relationship Id="rId51" Type="http://schemas.openxmlformats.org/officeDocument/2006/relationships/hyperlink" Target="National%20Food%20Consumption%20and%20Micronutrient%20Survey%20(2021).pdf" TargetMode="External"/><Relationship Id="rId3" Type="http://schemas.openxmlformats.org/officeDocument/2006/relationships/hyperlink" Target="National%20Food%20Consumption%20and%20Micronutrient%20Survey%20(2021).pdf" TargetMode="External"/><Relationship Id="rId12" Type="http://schemas.openxmlformats.org/officeDocument/2006/relationships/hyperlink" Target="National%20Food%20Consumption%20and%20Micronutrient%20Survey%20(2021).pdf" TargetMode="External"/><Relationship Id="rId17" Type="http://schemas.openxmlformats.org/officeDocument/2006/relationships/hyperlink" Target="National%20Food%20Consumption%20and%20Micronutrient%20Survey%20(2021).pdf" TargetMode="External"/><Relationship Id="rId25" Type="http://schemas.openxmlformats.org/officeDocument/2006/relationships/hyperlink" Target="National%20Food%20Consumption%20and%20Micronutrient%20Survey%20(2021).pdf" TargetMode="External"/><Relationship Id="rId33" Type="http://schemas.openxmlformats.org/officeDocument/2006/relationships/hyperlink" Target="National%20Food%20Consumption%20and%20Micronutrient%20Survey%20(2021).pdf" TargetMode="External"/><Relationship Id="rId38" Type="http://schemas.openxmlformats.org/officeDocument/2006/relationships/hyperlink" Target="National%20Food%20Consumption%20and%20Micronutrient%20Survey%20(2021).pdf" TargetMode="External"/><Relationship Id="rId46" Type="http://schemas.openxmlformats.org/officeDocument/2006/relationships/hyperlink" Target="National%20Food%20Consumption%20and%20Micronutrient%20Survey%20(2021).pdf" TargetMode="External"/><Relationship Id="rId20" Type="http://schemas.openxmlformats.org/officeDocument/2006/relationships/hyperlink" Target="National%20Food%20Consumption%20and%20Micronutrient%20Survey%20(2021).pdf" TargetMode="External"/><Relationship Id="rId41" Type="http://schemas.openxmlformats.org/officeDocument/2006/relationships/hyperlink" Target="National%20Food%20Consumption%20and%20Micronutrient%20Survey%20(2021).pdf" TargetMode="External"/><Relationship Id="rId54" Type="http://schemas.openxmlformats.org/officeDocument/2006/relationships/hyperlink" Target="National%20Food%20Consumption%20and%20Micronutrient%20Survey%20(2021).pdf" TargetMode="External"/><Relationship Id="rId1" Type="http://schemas.openxmlformats.org/officeDocument/2006/relationships/hyperlink" Target="National%20Food%20Consumption%20and%20Micronutrient%20Survey%20(2021).pdf" TargetMode="External"/><Relationship Id="rId6" Type="http://schemas.openxmlformats.org/officeDocument/2006/relationships/hyperlink" Target="National%20Food%20Consumption%20and%20Micronutrient%20Survey%20(2021).pdf" TargetMode="External"/><Relationship Id="rId15" Type="http://schemas.openxmlformats.org/officeDocument/2006/relationships/hyperlink" Target="National%20Food%20Consumption%20and%20Micronutrient%20Survey%20(2021).pdf" TargetMode="External"/><Relationship Id="rId23" Type="http://schemas.openxmlformats.org/officeDocument/2006/relationships/hyperlink" Target="National%20Food%20Consumption%20and%20Micronutrient%20Survey%20(2021).pdf" TargetMode="External"/><Relationship Id="rId28" Type="http://schemas.openxmlformats.org/officeDocument/2006/relationships/hyperlink" Target="National%20Food%20Consumption%20and%20Micronutrient%20Survey%20(2021).pdf" TargetMode="External"/><Relationship Id="rId36" Type="http://schemas.openxmlformats.org/officeDocument/2006/relationships/hyperlink" Target="National%20Food%20Consumption%20and%20Micronutrient%20Survey%20(2021).pdf" TargetMode="External"/><Relationship Id="rId49" Type="http://schemas.openxmlformats.org/officeDocument/2006/relationships/hyperlink" Target="National%20Food%20Consumption%20and%20Micronutrient%20Survey%20(2021).pdf"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National%20Food%20Consumption%20and%20Micronutrient%20Survey%20(2021).pdf" TargetMode="External"/><Relationship Id="rId13" Type="http://schemas.openxmlformats.org/officeDocument/2006/relationships/hyperlink" Target="National%20Food%20Consumption%20and%20Micronutrient%20Survey%20(2021).pdf" TargetMode="External"/><Relationship Id="rId3" Type="http://schemas.openxmlformats.org/officeDocument/2006/relationships/hyperlink" Target="National%20Food%20Consumption%20and%20Micronutrient%20Survey%20(2021).pdf" TargetMode="External"/><Relationship Id="rId7" Type="http://schemas.openxmlformats.org/officeDocument/2006/relationships/hyperlink" Target="National%20Food%20Consumption%20and%20Micronutrient%20Survey%20(2021).pdf" TargetMode="External"/><Relationship Id="rId12" Type="http://schemas.openxmlformats.org/officeDocument/2006/relationships/hyperlink" Target="National%20Food%20Consumption%20and%20Micronutrient%20Survey%20(2021).pdf" TargetMode="External"/><Relationship Id="rId2" Type="http://schemas.openxmlformats.org/officeDocument/2006/relationships/hyperlink" Target="National%20Food%20Consumption%20and%20Micronutrient%20Survey%20(2021).pdf" TargetMode="External"/><Relationship Id="rId1" Type="http://schemas.openxmlformats.org/officeDocument/2006/relationships/hyperlink" Target="National%20Food%20Consumption%20and%20Micronutrient%20Survey%20(2021).pdf" TargetMode="External"/><Relationship Id="rId6" Type="http://schemas.openxmlformats.org/officeDocument/2006/relationships/hyperlink" Target="Nigeria_fortification_standards_technoserve.pdf" TargetMode="External"/><Relationship Id="rId11" Type="http://schemas.openxmlformats.org/officeDocument/2006/relationships/hyperlink" Target="National%20Food%20Consumption%20and%20Micronutrient%20Survey%20(2021).pdf" TargetMode="External"/><Relationship Id="rId5" Type="http://schemas.openxmlformats.org/officeDocument/2006/relationships/hyperlink" Target="../Input%20Data%20from%20GF/20260416_Input%20data%20to%20IHME%20models.xlsx" TargetMode="External"/><Relationship Id="rId10" Type="http://schemas.openxmlformats.org/officeDocument/2006/relationships/hyperlink" Target="National%20Food%20Consumption%20and%20Micronutrient%20Survey%20(2021).pdf" TargetMode="External"/><Relationship Id="rId4" Type="http://schemas.openxmlformats.org/officeDocument/2006/relationships/hyperlink" Target="../Input%20Data%20from%20GF/20260416_Input%20data%20to%20IHME%20models.xlsx" TargetMode="External"/><Relationship Id="rId9" Type="http://schemas.openxmlformats.org/officeDocument/2006/relationships/hyperlink" Target="National%20Food%20Consumption%20and%20Micronutrient%20Survey%20(2021).pdf"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file:///C:\Users\juhit\Documents\LSFF\20260416_Input%20data%20to%20IHME%20models.xlsx" TargetMode="External"/><Relationship Id="rId2" Type="http://schemas.openxmlformats.org/officeDocument/2006/relationships/hyperlink" Target="file:///C:\Users\juhit\Documents\LSFF\20260416_Input%20data%20to%20IHME%20models.xlsx" TargetMode="External"/><Relationship Id="rId1" Type="http://schemas.openxmlformats.org/officeDocument/2006/relationships/hyperlink" Target="Nigeria_fortification_standards_technoserve.pdf" TargetMode="External"/><Relationship Id="rId4" Type="http://schemas.openxmlformats.org/officeDocument/2006/relationships/hyperlink" Target="Nigeria_fortification_standards_technoserve.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ubmed.ncbi.nlm.nih.gov/25073783/" TargetMode="External"/><Relationship Id="rId2" Type="http://schemas.openxmlformats.org/officeDocument/2006/relationships/hyperlink" Target="https://onlinelibrary.wiley.com/doi/full/10.1111/mcn.70121" TargetMode="External"/><Relationship Id="rId1" Type="http://schemas.openxmlformats.org/officeDocument/2006/relationships/hyperlink" Target="https://pubmed.ncbi.nlm.nih.gov/42623418/" TargetMode="External"/><Relationship Id="rId4" Type="http://schemas.openxmlformats.org/officeDocument/2006/relationships/hyperlink" Target="https://pubmed.ncbi.nlm.nih.gov/34647598/"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www.bmj.com/content/346/bmj.f3443;%20study%20of%20supplementation%20at%20higher%20doses%20than%20fortification;%20selected%20the%20effect%20among%20trials%20%3c66mg/day%20as%20all%20fortification%20would%20fall%20in%20this%20range" TargetMode="External"/><Relationship Id="rId2" Type="http://schemas.openxmlformats.org/officeDocument/2006/relationships/hyperlink" Target="https://www.sciencedirect.com/science/article/pii/S0002916523028915;%20could%20not%20find%20anything%20bouillon-specific" TargetMode="External"/><Relationship Id="rId1" Type="http://schemas.openxmlformats.org/officeDocument/2006/relationships/hyperlink" Target="https://www.ncbi.nlm.nih.gov/pmc/articles/PMC7882357/;%20meta-analysis%20of%2022%20studies" TargetMode="External"/><Relationship Id="rId4" Type="http://schemas.openxmlformats.org/officeDocument/2006/relationships/hyperlink" Target="https://www.bmj.com/content/346/bmj.f3443;%20study%20of%20supplementation%20at%20higher%20doses%20than%20fortification;%20selected%20the%20effect%20among%20trials%20%3c66mg/day%20as%20all%20fortification%20would%20fall%20in%20this%20rang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50D813-CA5E-5D41-9CEE-931ED2C63CE2}">
  <sheetPr codeName="Sheet1"/>
  <dimension ref="A1:M19"/>
  <sheetViews>
    <sheetView topLeftCell="L1" workbookViewId="0">
      <selection activeCell="M7" sqref="M7"/>
    </sheetView>
  </sheetViews>
  <sheetFormatPr defaultColWidth="11" defaultRowHeight="15.75" customHeight="1"/>
  <cols>
    <col min="1" max="1" width="14.125" customWidth="1"/>
    <col min="2" max="2" width="12.5" customWidth="1"/>
    <col min="3" max="3" width="14.75" customWidth="1"/>
    <col min="4" max="4" width="46" customWidth="1"/>
    <col min="5" max="5" width="21.875" customWidth="1"/>
    <col min="10" max="10" width="18.5" customWidth="1"/>
    <col min="11" max="11" width="47.875" customWidth="1"/>
    <col min="12" max="12" width="17" customWidth="1"/>
  </cols>
  <sheetData>
    <row r="1" spans="1:13" s="1" customFormat="1">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14</v>
      </c>
      <c r="C2" t="s">
        <v>15</v>
      </c>
      <c r="D2" t="s">
        <v>16</v>
      </c>
      <c r="E2" t="s">
        <v>17</v>
      </c>
      <c r="F2" t="s">
        <v>18</v>
      </c>
      <c r="G2">
        <v>3.24</v>
      </c>
      <c r="H2" t="s">
        <v>19</v>
      </c>
      <c r="I2">
        <v>2025</v>
      </c>
      <c r="J2" t="s">
        <v>20</v>
      </c>
      <c r="K2" t="s">
        <v>21</v>
      </c>
      <c r="L2" s="2" t="s">
        <v>22</v>
      </c>
      <c r="M2" t="s">
        <v>23</v>
      </c>
    </row>
    <row r="3" spans="1:13">
      <c r="A3" t="s">
        <v>24</v>
      </c>
      <c r="B3" t="s">
        <v>14</v>
      </c>
      <c r="C3" t="s">
        <v>15</v>
      </c>
      <c r="D3" t="s">
        <v>16</v>
      </c>
      <c r="E3" t="s">
        <v>17</v>
      </c>
      <c r="F3" t="s">
        <v>25</v>
      </c>
      <c r="G3">
        <v>6.22</v>
      </c>
      <c r="H3" t="s">
        <v>26</v>
      </c>
      <c r="I3">
        <v>2023</v>
      </c>
      <c r="J3" t="s">
        <v>27</v>
      </c>
      <c r="K3" t="s">
        <v>28</v>
      </c>
      <c r="L3" s="2" t="s">
        <v>29</v>
      </c>
      <c r="M3" t="s">
        <v>30</v>
      </c>
    </row>
    <row r="4" spans="1:13">
      <c r="A4" t="s">
        <v>31</v>
      </c>
      <c r="B4" t="s">
        <v>32</v>
      </c>
      <c r="C4" t="s">
        <v>15</v>
      </c>
      <c r="D4" t="s">
        <v>16</v>
      </c>
      <c r="E4" t="s">
        <v>17</v>
      </c>
      <c r="F4" t="s">
        <v>18</v>
      </c>
      <c r="G4">
        <v>4.2</v>
      </c>
      <c r="H4" t="s">
        <v>33</v>
      </c>
      <c r="I4">
        <v>2012</v>
      </c>
      <c r="J4" t="s">
        <v>34</v>
      </c>
      <c r="K4" t="s">
        <v>35</v>
      </c>
      <c r="L4" s="2" t="s">
        <v>36</v>
      </c>
      <c r="M4" t="s">
        <v>37</v>
      </c>
    </row>
    <row r="5" spans="1:13">
      <c r="A5" t="s">
        <v>31</v>
      </c>
      <c r="B5" t="s">
        <v>32</v>
      </c>
      <c r="C5" t="s">
        <v>15</v>
      </c>
      <c r="D5" t="s">
        <v>16</v>
      </c>
      <c r="E5" t="s">
        <v>38</v>
      </c>
      <c r="F5" t="s">
        <v>18</v>
      </c>
      <c r="G5">
        <v>4.45</v>
      </c>
      <c r="H5" t="s">
        <v>39</v>
      </c>
      <c r="I5">
        <v>2020</v>
      </c>
      <c r="J5" t="s">
        <v>40</v>
      </c>
      <c r="K5" t="s">
        <v>41</v>
      </c>
      <c r="L5" s="2" t="s">
        <v>42</v>
      </c>
      <c r="M5" t="s">
        <v>43</v>
      </c>
    </row>
    <row r="6" spans="1:13">
      <c r="A6" t="s">
        <v>31</v>
      </c>
      <c r="B6" t="s">
        <v>32</v>
      </c>
      <c r="C6" t="s">
        <v>44</v>
      </c>
      <c r="D6" t="s">
        <v>45</v>
      </c>
      <c r="E6" t="s">
        <v>46</v>
      </c>
      <c r="F6" t="s">
        <v>47</v>
      </c>
      <c r="G6">
        <v>1.67</v>
      </c>
      <c r="H6" t="s">
        <v>48</v>
      </c>
      <c r="I6">
        <v>2013</v>
      </c>
      <c r="J6" t="s">
        <v>49</v>
      </c>
      <c r="K6" t="s">
        <v>50</v>
      </c>
      <c r="L6" s="2" t="s">
        <v>51</v>
      </c>
      <c r="M6" t="s">
        <v>52</v>
      </c>
    </row>
    <row r="7" spans="1:13">
      <c r="A7" t="s">
        <v>53</v>
      </c>
      <c r="B7" t="s">
        <v>54</v>
      </c>
      <c r="C7" t="s">
        <v>55</v>
      </c>
      <c r="D7" t="s">
        <v>56</v>
      </c>
      <c r="E7" t="s">
        <v>57</v>
      </c>
      <c r="F7" t="s">
        <v>58</v>
      </c>
      <c r="G7">
        <v>2.79</v>
      </c>
      <c r="H7" t="s">
        <v>59</v>
      </c>
      <c r="I7">
        <v>2026</v>
      </c>
      <c r="J7" t="s">
        <v>60</v>
      </c>
      <c r="K7" t="s">
        <v>61</v>
      </c>
      <c r="L7" s="2" t="s">
        <v>62</v>
      </c>
      <c r="M7" t="s">
        <v>63</v>
      </c>
    </row>
    <row r="8" spans="1:13">
      <c r="A8" t="s">
        <v>53</v>
      </c>
      <c r="B8" t="s">
        <v>54</v>
      </c>
      <c r="C8" t="s">
        <v>55</v>
      </c>
      <c r="D8" t="s">
        <v>64</v>
      </c>
      <c r="E8" t="s">
        <v>57</v>
      </c>
      <c r="F8" t="s">
        <v>58</v>
      </c>
      <c r="G8">
        <v>1.99</v>
      </c>
      <c r="H8" t="s">
        <v>65</v>
      </c>
      <c r="I8">
        <v>2026</v>
      </c>
      <c r="J8" t="s">
        <v>60</v>
      </c>
      <c r="K8" t="s">
        <v>61</v>
      </c>
      <c r="L8" s="2" t="s">
        <v>62</v>
      </c>
      <c r="M8" t="s">
        <v>63</v>
      </c>
    </row>
    <row r="9" spans="1:13">
      <c r="A9" t="s">
        <v>31</v>
      </c>
      <c r="B9" t="s">
        <v>66</v>
      </c>
      <c r="C9" t="s">
        <v>55</v>
      </c>
      <c r="D9" t="s">
        <v>67</v>
      </c>
      <c r="I9">
        <v>2019</v>
      </c>
      <c r="J9" t="s">
        <v>68</v>
      </c>
      <c r="K9" t="s">
        <v>69</v>
      </c>
      <c r="L9" s="2" t="s">
        <v>70</v>
      </c>
    </row>
    <row r="10" spans="1:13">
      <c r="A10" t="s">
        <v>71</v>
      </c>
      <c r="B10" t="s">
        <v>72</v>
      </c>
      <c r="C10" t="s">
        <v>55</v>
      </c>
      <c r="D10" t="s">
        <v>67</v>
      </c>
      <c r="I10">
        <v>2015</v>
      </c>
      <c r="J10" t="s">
        <v>73</v>
      </c>
      <c r="K10" t="s">
        <v>74</v>
      </c>
      <c r="L10" s="2" t="s">
        <v>75</v>
      </c>
    </row>
    <row r="11" spans="1:13">
      <c r="A11" t="s">
        <v>13</v>
      </c>
      <c r="B11" t="s">
        <v>76</v>
      </c>
      <c r="D11" t="s">
        <v>77</v>
      </c>
      <c r="I11">
        <v>2026</v>
      </c>
      <c r="J11" t="s">
        <v>78</v>
      </c>
      <c r="K11" t="s">
        <v>79</v>
      </c>
      <c r="L11" s="2" t="s">
        <v>80</v>
      </c>
      <c r="M11" t="s">
        <v>81</v>
      </c>
    </row>
    <row r="12" spans="1:13">
      <c r="A12" t="s">
        <v>13</v>
      </c>
      <c r="B12" t="s">
        <v>76</v>
      </c>
      <c r="D12" t="s">
        <v>77</v>
      </c>
      <c r="I12">
        <v>2025</v>
      </c>
      <c r="J12" t="s">
        <v>82</v>
      </c>
      <c r="K12" t="s">
        <v>83</v>
      </c>
      <c r="L12" s="2" t="s">
        <v>84</v>
      </c>
    </row>
    <row r="13" spans="1:13">
      <c r="A13" t="s">
        <v>13</v>
      </c>
      <c r="D13" t="s">
        <v>85</v>
      </c>
      <c r="I13">
        <v>2026</v>
      </c>
      <c r="J13" t="s">
        <v>86</v>
      </c>
      <c r="K13" t="s">
        <v>87</v>
      </c>
      <c r="L13" s="2" t="s">
        <v>88</v>
      </c>
    </row>
    <row r="14" spans="1:13">
      <c r="A14" t="s">
        <v>89</v>
      </c>
      <c r="B14" t="s">
        <v>90</v>
      </c>
      <c r="D14" t="s">
        <v>77</v>
      </c>
      <c r="I14">
        <v>2026</v>
      </c>
      <c r="J14" t="s">
        <v>91</v>
      </c>
      <c r="K14" t="s">
        <v>92</v>
      </c>
      <c r="L14" s="2" t="s">
        <v>93</v>
      </c>
      <c r="M14" t="s">
        <v>94</v>
      </c>
    </row>
    <row r="15" spans="1:13">
      <c r="A15" t="s">
        <v>95</v>
      </c>
      <c r="B15" t="s">
        <v>14</v>
      </c>
      <c r="D15" t="s">
        <v>85</v>
      </c>
      <c r="I15">
        <v>2025</v>
      </c>
      <c r="J15" t="s">
        <v>96</v>
      </c>
      <c r="K15" t="s">
        <v>97</v>
      </c>
      <c r="L15" s="2" t="s">
        <v>98</v>
      </c>
    </row>
    <row r="16" spans="1:13">
      <c r="L16" s="2" t="s">
        <v>99</v>
      </c>
      <c r="M16" t="s">
        <v>100</v>
      </c>
    </row>
    <row r="17" spans="1:12">
      <c r="A17" t="s">
        <v>53</v>
      </c>
      <c r="B17" t="s">
        <v>101</v>
      </c>
      <c r="C17" t="s">
        <v>55</v>
      </c>
      <c r="D17" t="s">
        <v>102</v>
      </c>
      <c r="I17">
        <v>2024</v>
      </c>
      <c r="J17" t="s">
        <v>103</v>
      </c>
      <c r="K17" t="s">
        <v>104</v>
      </c>
      <c r="L17" s="2" t="s">
        <v>105</v>
      </c>
    </row>
    <row r="18" spans="1:12">
      <c r="A18" t="s">
        <v>89</v>
      </c>
      <c r="B18" t="s">
        <v>106</v>
      </c>
      <c r="C18" t="s">
        <v>55</v>
      </c>
      <c r="D18" t="s">
        <v>107</v>
      </c>
      <c r="I18">
        <v>2023</v>
      </c>
      <c r="J18" t="s">
        <v>108</v>
      </c>
      <c r="K18" t="s">
        <v>109</v>
      </c>
      <c r="L18" s="2" t="s">
        <v>110</v>
      </c>
    </row>
    <row r="19" spans="1:12"/>
  </sheetData>
  <hyperlinks>
    <hyperlink ref="L2" r:id="rId1" xr:uid="{B6D66CAC-BA90-4947-9C6F-498B2FA7F0D4}"/>
    <hyperlink ref="L4" r:id="rId2" xr:uid="{31D886EE-A299-7B47-AE53-1E18454EAA22}"/>
    <hyperlink ref="L3" r:id="rId3" xr:uid="{756BA407-CFD1-E047-883A-E23A1DE41696}"/>
    <hyperlink ref="L7" r:id="rId4" xr:uid="{A193BEC0-6BAB-5B4A-BDD2-12ED92B908E9}"/>
    <hyperlink ref="L5" r:id="rId5" xr:uid="{A0E49083-EF5D-3344-A6EE-A78FBBEB61B1}"/>
    <hyperlink ref="L9" r:id="rId6" xr:uid="{94B091C6-B461-9F4D-9CC6-A76FB2540E72}"/>
    <hyperlink ref="L10" r:id="rId7" xr:uid="{8C7F7E45-1DBD-F049-8201-E0DCC75A9125}"/>
    <hyperlink ref="L11" r:id="rId8" xr:uid="{B6E88E2C-F279-42A5-B341-C0F5D0240238}"/>
    <hyperlink ref="L12" r:id="rId9" xr:uid="{2C4BA1B1-CA9A-40BF-A821-C6664EA3E5F1}"/>
    <hyperlink ref="L13" r:id="rId10" xr:uid="{568CF4BF-8686-47AF-969A-27451C57E71E}"/>
    <hyperlink ref="L14" r:id="rId11" xr:uid="{57773325-BAEA-4DAC-AF74-BFD5D5229AFA}"/>
    <hyperlink ref="L15" r:id="rId12" xr:uid="{6B6D707B-EDEC-44AF-BAB8-98A06D8AC86D}"/>
    <hyperlink ref="L16" r:id="rId13" xr:uid="{B6FD80D8-5959-4C15-82B2-C661F6B1B30C}"/>
    <hyperlink ref="L8" r:id="rId14" xr:uid="{8F117512-6AE0-4E41-AAAB-4E334955D1D4}"/>
    <hyperlink ref="L17" r:id="rId15" xr:uid="{CEE9CC1F-9BB0-4714-BA6D-A6C352BD3A58}"/>
    <hyperlink ref="L18" r:id="rId16" xr:uid="{10C3B434-8330-45E0-AC41-C878E04536DC}"/>
    <hyperlink ref="L6" r:id="rId17" xr:uid="{B9834870-6457-4BD0-A794-62F5839FDB4D}"/>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69826-2A50-4A60-B362-96611E74F834}">
  <sheetPr codeName="Sheet2"/>
  <dimension ref="A1:N59"/>
  <sheetViews>
    <sheetView zoomScale="64" zoomScaleNormal="70" workbookViewId="0">
      <selection activeCell="E18" sqref="E18"/>
    </sheetView>
  </sheetViews>
  <sheetFormatPr defaultColWidth="8.75" defaultRowHeight="15.6"/>
  <cols>
    <col min="1" max="2" width="8.75" style="3"/>
    <col min="3" max="3" width="13.25" style="3" customWidth="1"/>
    <col min="4" max="4" width="18.375" style="3" customWidth="1"/>
    <col min="5" max="5" width="44.625" style="3" customWidth="1"/>
    <col min="6" max="6" width="20.125" style="3" customWidth="1"/>
    <col min="7" max="7" width="11.875" style="3" customWidth="1"/>
    <col min="8" max="8" width="7.25" style="3" customWidth="1"/>
    <col min="9" max="9" width="32.75" style="3" customWidth="1"/>
    <col min="10" max="10" width="9.875" style="3" customWidth="1"/>
    <col min="11" max="11" width="11.25" style="3" customWidth="1"/>
    <col min="12" max="12" width="10.375" style="3" customWidth="1"/>
    <col min="13" max="13" width="8.75" style="3"/>
    <col min="14" max="14" width="76.5" style="3" customWidth="1"/>
    <col min="15" max="16384" width="8.75" style="3"/>
  </cols>
  <sheetData>
    <row r="1" spans="1:14">
      <c r="A1" s="4" t="s">
        <v>111</v>
      </c>
      <c r="B1" s="4" t="s">
        <v>0</v>
      </c>
      <c r="C1" s="4" t="s">
        <v>112</v>
      </c>
      <c r="D1" s="4" t="s">
        <v>113</v>
      </c>
      <c r="E1" s="4" t="s">
        <v>3</v>
      </c>
      <c r="F1" s="4" t="s">
        <v>114</v>
      </c>
      <c r="G1" s="4" t="s">
        <v>5</v>
      </c>
      <c r="H1" s="4" t="s">
        <v>8</v>
      </c>
      <c r="I1" s="4" t="s">
        <v>115</v>
      </c>
      <c r="J1" s="4" t="s">
        <v>6</v>
      </c>
      <c r="K1" s="4" t="s">
        <v>116</v>
      </c>
      <c r="L1" s="4" t="s">
        <v>117</v>
      </c>
      <c r="M1" s="4" t="s">
        <v>118</v>
      </c>
      <c r="N1" s="4" t="s">
        <v>12</v>
      </c>
    </row>
    <row r="2" spans="1:14" ht="62.45">
      <c r="A2" s="3" t="s">
        <v>119</v>
      </c>
      <c r="B2" s="3" t="s">
        <v>120</v>
      </c>
      <c r="C2" s="3" t="s">
        <v>121</v>
      </c>
      <c r="D2" s="3" t="s">
        <v>122</v>
      </c>
      <c r="E2" s="3" t="s">
        <v>123</v>
      </c>
      <c r="F2" s="3" t="s">
        <v>124</v>
      </c>
      <c r="G2" s="3" t="s">
        <v>125</v>
      </c>
      <c r="H2" s="3">
        <v>2021</v>
      </c>
      <c r="I2" s="3" t="s">
        <v>126</v>
      </c>
      <c r="J2" s="3">
        <v>28.2</v>
      </c>
      <c r="K2" s="3" t="s">
        <v>127</v>
      </c>
      <c r="L2" s="3" t="s">
        <v>128</v>
      </c>
      <c r="N2" s="3" t="s">
        <v>129</v>
      </c>
    </row>
    <row r="3" spans="1:14">
      <c r="A3" s="3" t="s">
        <v>119</v>
      </c>
      <c r="B3" s="3" t="s">
        <v>120</v>
      </c>
      <c r="C3" s="3" t="s">
        <v>130</v>
      </c>
      <c r="D3" s="3" t="s">
        <v>122</v>
      </c>
      <c r="E3" s="3" t="s">
        <v>123</v>
      </c>
      <c r="F3" s="3" t="s">
        <v>124</v>
      </c>
      <c r="G3" s="3" t="s">
        <v>125</v>
      </c>
      <c r="H3" s="3">
        <v>2021</v>
      </c>
      <c r="I3" s="3" t="s">
        <v>131</v>
      </c>
      <c r="J3" s="3">
        <v>19.100000000000001</v>
      </c>
      <c r="K3" s="3" t="s">
        <v>132</v>
      </c>
      <c r="L3" s="3" t="s">
        <v>128</v>
      </c>
    </row>
    <row r="4" spans="1:14">
      <c r="A4" s="3" t="s">
        <v>119</v>
      </c>
      <c r="B4" s="3" t="s">
        <v>120</v>
      </c>
      <c r="C4" s="3" t="s">
        <v>133</v>
      </c>
      <c r="D4" s="3" t="s">
        <v>122</v>
      </c>
      <c r="E4" s="3" t="s">
        <v>123</v>
      </c>
      <c r="F4" s="3" t="s">
        <v>124</v>
      </c>
      <c r="G4" s="3" t="s">
        <v>125</v>
      </c>
      <c r="H4" s="3">
        <v>2021</v>
      </c>
      <c r="I4" s="3" t="s">
        <v>131</v>
      </c>
      <c r="J4" s="3">
        <v>25.3</v>
      </c>
      <c r="K4" s="3" t="s">
        <v>134</v>
      </c>
      <c r="L4" s="3" t="s">
        <v>128</v>
      </c>
    </row>
    <row r="5" spans="1:14">
      <c r="A5" s="3" t="s">
        <v>119</v>
      </c>
      <c r="B5" s="3" t="s">
        <v>120</v>
      </c>
      <c r="C5" s="3" t="s">
        <v>135</v>
      </c>
      <c r="D5" s="3" t="s">
        <v>122</v>
      </c>
      <c r="E5" s="3" t="s">
        <v>123</v>
      </c>
      <c r="F5" s="3" t="s">
        <v>124</v>
      </c>
      <c r="G5" s="3" t="s">
        <v>125</v>
      </c>
      <c r="H5" s="3">
        <v>2021</v>
      </c>
      <c r="I5" s="3" t="s">
        <v>131</v>
      </c>
      <c r="J5" s="3">
        <v>30.5</v>
      </c>
      <c r="K5" s="3" t="s">
        <v>136</v>
      </c>
      <c r="L5" s="3" t="s">
        <v>128</v>
      </c>
    </row>
    <row r="6" spans="1:14">
      <c r="A6" s="3" t="s">
        <v>119</v>
      </c>
      <c r="B6" s="3" t="s">
        <v>120</v>
      </c>
      <c r="C6" s="3" t="s">
        <v>137</v>
      </c>
      <c r="D6" s="3" t="s">
        <v>122</v>
      </c>
      <c r="E6" s="3" t="s">
        <v>123</v>
      </c>
      <c r="F6" s="3" t="s">
        <v>124</v>
      </c>
      <c r="G6" s="3" t="s">
        <v>125</v>
      </c>
      <c r="H6" s="3">
        <v>2021</v>
      </c>
      <c r="I6" s="3" t="s">
        <v>131</v>
      </c>
      <c r="J6" s="3">
        <v>33.299999999999997</v>
      </c>
      <c r="K6" s="3" t="s">
        <v>138</v>
      </c>
      <c r="L6" s="3" t="s">
        <v>128</v>
      </c>
    </row>
    <row r="7" spans="1:14">
      <c r="A7" s="3" t="s">
        <v>119</v>
      </c>
      <c r="B7" s="3" t="s">
        <v>120</v>
      </c>
      <c r="C7" s="3" t="s">
        <v>139</v>
      </c>
      <c r="D7" s="3" t="s">
        <v>122</v>
      </c>
      <c r="E7" s="3" t="s">
        <v>123</v>
      </c>
      <c r="F7" s="3" t="s">
        <v>124</v>
      </c>
      <c r="G7" s="3" t="s">
        <v>125</v>
      </c>
      <c r="H7" s="3">
        <v>2021</v>
      </c>
      <c r="I7" s="3" t="s">
        <v>131</v>
      </c>
      <c r="J7" s="3">
        <v>35.299999999999997</v>
      </c>
      <c r="K7" s="3" t="s">
        <v>140</v>
      </c>
      <c r="L7" s="3" t="s">
        <v>128</v>
      </c>
    </row>
    <row r="8" spans="1:14">
      <c r="A8" s="3" t="s">
        <v>119</v>
      </c>
      <c r="B8" s="3" t="s">
        <v>120</v>
      </c>
      <c r="C8" s="3" t="s">
        <v>121</v>
      </c>
      <c r="D8" s="3" t="s">
        <v>122</v>
      </c>
      <c r="E8" s="3" t="s">
        <v>141</v>
      </c>
      <c r="F8" s="3" t="s">
        <v>142</v>
      </c>
      <c r="G8" s="3" t="s">
        <v>143</v>
      </c>
      <c r="H8" s="3">
        <v>2021</v>
      </c>
      <c r="I8" s="3" t="s">
        <v>144</v>
      </c>
      <c r="J8" s="3">
        <v>39</v>
      </c>
      <c r="K8" s="3" t="s">
        <v>145</v>
      </c>
      <c r="L8" s="3" t="s">
        <v>128</v>
      </c>
      <c r="M8" s="3">
        <v>2</v>
      </c>
    </row>
    <row r="9" spans="1:14">
      <c r="A9" s="3" t="s">
        <v>119</v>
      </c>
      <c r="B9" s="3" t="s">
        <v>120</v>
      </c>
      <c r="C9" s="3" t="s">
        <v>130</v>
      </c>
      <c r="D9" s="3" t="s">
        <v>122</v>
      </c>
      <c r="E9" s="3" t="s">
        <v>141</v>
      </c>
      <c r="F9" s="3" t="s">
        <v>142</v>
      </c>
      <c r="G9" s="3" t="s">
        <v>143</v>
      </c>
      <c r="H9" s="3">
        <v>2021</v>
      </c>
      <c r="I9" s="3" t="s">
        <v>144</v>
      </c>
      <c r="J9" s="3">
        <v>16.100000000000001</v>
      </c>
      <c r="K9" s="3" t="s">
        <v>146</v>
      </c>
      <c r="L9" s="3" t="s">
        <v>128</v>
      </c>
      <c r="M9" s="3">
        <v>1.8</v>
      </c>
    </row>
    <row r="10" spans="1:14">
      <c r="A10" s="3" t="s">
        <v>119</v>
      </c>
      <c r="B10" s="3" t="s">
        <v>120</v>
      </c>
      <c r="C10" s="3" t="s">
        <v>133</v>
      </c>
      <c r="D10" s="3" t="s">
        <v>122</v>
      </c>
      <c r="E10" s="3" t="s">
        <v>141</v>
      </c>
      <c r="F10" s="3" t="s">
        <v>142</v>
      </c>
      <c r="G10" s="3" t="s">
        <v>143</v>
      </c>
      <c r="H10" s="3">
        <v>2021</v>
      </c>
      <c r="I10" s="3" t="s">
        <v>144</v>
      </c>
      <c r="J10" s="3">
        <v>23.4</v>
      </c>
      <c r="K10" s="3" t="s">
        <v>147</v>
      </c>
      <c r="L10" s="3" t="s">
        <v>128</v>
      </c>
      <c r="M10" s="3">
        <v>2.4</v>
      </c>
    </row>
    <row r="11" spans="1:14">
      <c r="A11" s="3" t="s">
        <v>119</v>
      </c>
      <c r="B11" s="3" t="s">
        <v>120</v>
      </c>
      <c r="C11" s="3" t="s">
        <v>135</v>
      </c>
      <c r="D11" s="3" t="s">
        <v>122</v>
      </c>
      <c r="E11" s="3" t="s">
        <v>141</v>
      </c>
      <c r="F11" s="3" t="s">
        <v>142</v>
      </c>
      <c r="G11" s="3" t="s">
        <v>143</v>
      </c>
      <c r="H11" s="3">
        <v>2021</v>
      </c>
      <c r="I11" s="3" t="s">
        <v>144</v>
      </c>
      <c r="J11" s="3">
        <v>38.200000000000003</v>
      </c>
      <c r="K11" s="3" t="s">
        <v>148</v>
      </c>
      <c r="L11" s="3" t="s">
        <v>128</v>
      </c>
      <c r="M11" s="3">
        <v>3.4</v>
      </c>
    </row>
    <row r="12" spans="1:14">
      <c r="A12" s="3" t="s">
        <v>119</v>
      </c>
      <c r="B12" s="3" t="s">
        <v>120</v>
      </c>
      <c r="C12" s="3" t="s">
        <v>137</v>
      </c>
      <c r="D12" s="3" t="s">
        <v>122</v>
      </c>
      <c r="E12" s="3" t="s">
        <v>141</v>
      </c>
      <c r="F12" s="3" t="s">
        <v>142</v>
      </c>
      <c r="G12" s="3" t="s">
        <v>143</v>
      </c>
      <c r="H12" s="3">
        <v>2021</v>
      </c>
      <c r="I12" s="3" t="s">
        <v>144</v>
      </c>
      <c r="J12" s="3">
        <v>49.3</v>
      </c>
      <c r="K12" s="3" t="s">
        <v>149</v>
      </c>
      <c r="L12" s="3" t="s">
        <v>128</v>
      </c>
      <c r="M12" s="3">
        <v>3.2</v>
      </c>
    </row>
    <row r="13" spans="1:14">
      <c r="A13" s="3" t="s">
        <v>119</v>
      </c>
      <c r="B13" s="3" t="s">
        <v>120</v>
      </c>
      <c r="C13" s="3" t="s">
        <v>139</v>
      </c>
      <c r="D13" s="3" t="s">
        <v>122</v>
      </c>
      <c r="E13" s="3" t="s">
        <v>141</v>
      </c>
      <c r="F13" s="3" t="s">
        <v>142</v>
      </c>
      <c r="G13" s="3" t="s">
        <v>143</v>
      </c>
      <c r="H13" s="3">
        <v>2021</v>
      </c>
      <c r="I13" s="3" t="s">
        <v>144</v>
      </c>
      <c r="J13" s="3">
        <v>62.4</v>
      </c>
      <c r="K13" s="3" t="s">
        <v>150</v>
      </c>
      <c r="L13" s="3" t="s">
        <v>128</v>
      </c>
      <c r="M13" s="3">
        <v>2.7</v>
      </c>
    </row>
    <row r="14" spans="1:14" ht="46.9">
      <c r="A14" s="3" t="s">
        <v>119</v>
      </c>
      <c r="B14" s="3" t="s">
        <v>120</v>
      </c>
      <c r="C14" s="3" t="s">
        <v>121</v>
      </c>
      <c r="D14" s="3" t="s">
        <v>151</v>
      </c>
      <c r="E14" s="3" t="s">
        <v>141</v>
      </c>
      <c r="F14" s="3" t="s">
        <v>142</v>
      </c>
      <c r="G14" s="3" t="s">
        <v>143</v>
      </c>
      <c r="H14" s="3">
        <v>2021</v>
      </c>
      <c r="I14" s="3" t="s">
        <v>144</v>
      </c>
      <c r="J14" s="3">
        <v>35</v>
      </c>
      <c r="K14" s="3" t="s">
        <v>152</v>
      </c>
      <c r="L14" s="3" t="s">
        <v>128</v>
      </c>
      <c r="M14" s="3">
        <v>2.8</v>
      </c>
      <c r="N14" s="3" t="s">
        <v>153</v>
      </c>
    </row>
    <row r="15" spans="1:14">
      <c r="A15" s="3" t="s">
        <v>119</v>
      </c>
      <c r="B15" s="3" t="s">
        <v>120</v>
      </c>
      <c r="C15" s="3" t="s">
        <v>121</v>
      </c>
      <c r="D15" s="3" t="s">
        <v>154</v>
      </c>
      <c r="E15" s="3" t="s">
        <v>155</v>
      </c>
      <c r="F15" s="3" t="s">
        <v>142</v>
      </c>
      <c r="G15" s="3" t="s">
        <v>143</v>
      </c>
      <c r="H15" s="3">
        <v>2021</v>
      </c>
      <c r="I15" s="3" t="s">
        <v>156</v>
      </c>
      <c r="J15" s="3">
        <v>26</v>
      </c>
      <c r="K15" s="3" t="s">
        <v>157</v>
      </c>
      <c r="L15" t="s">
        <v>128</v>
      </c>
      <c r="M15" s="3">
        <v>1.6</v>
      </c>
    </row>
    <row r="16" spans="1:14" ht="46.9">
      <c r="A16" s="3" t="s">
        <v>119</v>
      </c>
      <c r="B16" s="3" t="s">
        <v>120</v>
      </c>
      <c r="C16" s="3" t="s">
        <v>121</v>
      </c>
      <c r="D16" s="3" t="s">
        <v>158</v>
      </c>
      <c r="E16" s="3" t="s">
        <v>155</v>
      </c>
      <c r="F16" s="3" t="s">
        <v>142</v>
      </c>
      <c r="G16" s="3" t="s">
        <v>143</v>
      </c>
      <c r="H16" s="3">
        <v>2021</v>
      </c>
      <c r="I16" s="3" t="s">
        <v>156</v>
      </c>
      <c r="J16" s="3">
        <v>26.9</v>
      </c>
      <c r="K16" t="s">
        <v>159</v>
      </c>
      <c r="L16" t="s">
        <v>128</v>
      </c>
      <c r="M16" s="3">
        <v>1.8</v>
      </c>
      <c r="N16" s="3" t="s">
        <v>160</v>
      </c>
    </row>
    <row r="17" spans="1:14" ht="46.9">
      <c r="A17" s="3" t="s">
        <v>119</v>
      </c>
      <c r="B17" s="3" t="s">
        <v>120</v>
      </c>
      <c r="C17" s="3" t="s">
        <v>121</v>
      </c>
      <c r="D17" s="3" t="s">
        <v>161</v>
      </c>
      <c r="E17" s="3" t="s">
        <v>155</v>
      </c>
      <c r="F17" s="3" t="s">
        <v>142</v>
      </c>
      <c r="G17" s="3" t="s">
        <v>143</v>
      </c>
      <c r="H17" s="3">
        <v>2021</v>
      </c>
      <c r="I17" s="3" t="s">
        <v>156</v>
      </c>
      <c r="J17" s="3">
        <v>25.1</v>
      </c>
      <c r="K17" t="s">
        <v>162</v>
      </c>
      <c r="L17" t="s">
        <v>128</v>
      </c>
      <c r="M17" s="3">
        <v>2.1</v>
      </c>
      <c r="N17" s="3" t="s">
        <v>160</v>
      </c>
    </row>
    <row r="18" spans="1:14">
      <c r="A18" s="3" t="s">
        <v>119</v>
      </c>
      <c r="B18" s="3" t="s">
        <v>53</v>
      </c>
      <c r="C18" s="3" t="s">
        <v>121</v>
      </c>
      <c r="D18" s="3" t="s">
        <v>122</v>
      </c>
      <c r="E18" s="3" t="s">
        <v>123</v>
      </c>
      <c r="F18" s="3" t="s">
        <v>124</v>
      </c>
      <c r="G18" s="3" t="s">
        <v>125</v>
      </c>
      <c r="H18" s="3">
        <v>2021</v>
      </c>
      <c r="I18" s="3" t="s">
        <v>163</v>
      </c>
      <c r="J18" s="3">
        <v>99.3</v>
      </c>
      <c r="K18" s="3" t="s">
        <v>164</v>
      </c>
      <c r="L18" s="3" t="s">
        <v>128</v>
      </c>
    </row>
    <row r="19" spans="1:14">
      <c r="A19" s="3" t="s">
        <v>119</v>
      </c>
      <c r="B19" s="3" t="s">
        <v>53</v>
      </c>
      <c r="C19" s="3" t="s">
        <v>130</v>
      </c>
      <c r="D19" s="3" t="s">
        <v>122</v>
      </c>
      <c r="E19" s="3" t="s">
        <v>123</v>
      </c>
      <c r="F19" s="3" t="s">
        <v>124</v>
      </c>
      <c r="G19" s="3" t="s">
        <v>125</v>
      </c>
      <c r="H19" s="3">
        <v>2021</v>
      </c>
      <c r="I19" s="3" t="s">
        <v>163</v>
      </c>
      <c r="J19" s="3">
        <v>99.5</v>
      </c>
      <c r="K19" t="s">
        <v>165</v>
      </c>
      <c r="L19" s="3" t="s">
        <v>128</v>
      </c>
    </row>
    <row r="20" spans="1:14">
      <c r="A20" s="3" t="s">
        <v>119</v>
      </c>
      <c r="B20" s="3" t="s">
        <v>53</v>
      </c>
      <c r="C20" s="3" t="s">
        <v>133</v>
      </c>
      <c r="D20" s="3" t="s">
        <v>122</v>
      </c>
      <c r="E20" s="3" t="s">
        <v>123</v>
      </c>
      <c r="F20" s="3" t="s">
        <v>124</v>
      </c>
      <c r="G20" s="3" t="s">
        <v>125</v>
      </c>
      <c r="H20" s="3">
        <v>2021</v>
      </c>
      <c r="I20" s="3" t="s">
        <v>163</v>
      </c>
      <c r="J20" s="3">
        <v>99.7</v>
      </c>
      <c r="K20" s="3" t="s">
        <v>166</v>
      </c>
      <c r="L20" s="3" t="s">
        <v>128</v>
      </c>
    </row>
    <row r="21" spans="1:14">
      <c r="A21" s="3" t="s">
        <v>119</v>
      </c>
      <c r="B21" s="3" t="s">
        <v>53</v>
      </c>
      <c r="C21" s="3" t="s">
        <v>135</v>
      </c>
      <c r="D21" s="3" t="s">
        <v>122</v>
      </c>
      <c r="E21" s="3" t="s">
        <v>123</v>
      </c>
      <c r="F21" s="3" t="s">
        <v>124</v>
      </c>
      <c r="G21" s="3" t="s">
        <v>125</v>
      </c>
      <c r="H21" s="3">
        <v>2021</v>
      </c>
      <c r="I21" s="3" t="s">
        <v>163</v>
      </c>
      <c r="J21" s="3">
        <v>99.5</v>
      </c>
      <c r="K21" s="3" t="s">
        <v>167</v>
      </c>
      <c r="L21" s="3" t="s">
        <v>128</v>
      </c>
    </row>
    <row r="22" spans="1:14">
      <c r="A22" s="3" t="s">
        <v>119</v>
      </c>
      <c r="B22" s="3" t="s">
        <v>53</v>
      </c>
      <c r="C22" s="3" t="s">
        <v>137</v>
      </c>
      <c r="D22" s="3" t="s">
        <v>122</v>
      </c>
      <c r="E22" s="3" t="s">
        <v>123</v>
      </c>
      <c r="F22" s="3" t="s">
        <v>124</v>
      </c>
      <c r="G22" s="3" t="s">
        <v>125</v>
      </c>
      <c r="H22" s="3">
        <v>2021</v>
      </c>
      <c r="I22" s="3" t="s">
        <v>163</v>
      </c>
      <c r="J22" s="3">
        <v>99.4</v>
      </c>
      <c r="K22" s="3" t="s">
        <v>168</v>
      </c>
      <c r="L22" s="3" t="s">
        <v>128</v>
      </c>
    </row>
    <row r="23" spans="1:14">
      <c r="A23" s="3" t="s">
        <v>119</v>
      </c>
      <c r="B23" s="3" t="s">
        <v>53</v>
      </c>
      <c r="C23" s="3" t="s">
        <v>139</v>
      </c>
      <c r="D23" s="3" t="s">
        <v>122</v>
      </c>
      <c r="E23" s="3" t="s">
        <v>123</v>
      </c>
      <c r="F23" s="3" t="s">
        <v>124</v>
      </c>
      <c r="G23" s="3" t="s">
        <v>125</v>
      </c>
      <c r="H23" s="3">
        <v>2021</v>
      </c>
      <c r="I23" s="3" t="s">
        <v>163</v>
      </c>
      <c r="J23" s="3">
        <v>98.5</v>
      </c>
      <c r="K23" s="3" t="s">
        <v>169</v>
      </c>
      <c r="L23" s="3" t="s">
        <v>128</v>
      </c>
    </row>
    <row r="24" spans="1:14">
      <c r="A24" s="3" t="s">
        <v>119</v>
      </c>
      <c r="B24" s="3" t="s">
        <v>53</v>
      </c>
      <c r="C24" s="3" t="s">
        <v>121</v>
      </c>
      <c r="D24" s="3" t="s">
        <v>151</v>
      </c>
      <c r="E24" s="3" t="s">
        <v>123</v>
      </c>
      <c r="F24" s="3" t="s">
        <v>124</v>
      </c>
      <c r="G24" s="3" t="s">
        <v>125</v>
      </c>
      <c r="H24" s="3">
        <v>2021</v>
      </c>
      <c r="I24" s="3" t="s">
        <v>170</v>
      </c>
      <c r="J24" s="3">
        <v>99.1</v>
      </c>
      <c r="K24" s="3" t="s">
        <v>171</v>
      </c>
      <c r="L24" s="3" t="s">
        <v>128</v>
      </c>
    </row>
    <row r="25" spans="1:14">
      <c r="A25" s="3" t="s">
        <v>119</v>
      </c>
      <c r="B25" s="3" t="s">
        <v>53</v>
      </c>
      <c r="C25" s="3" t="s">
        <v>121</v>
      </c>
      <c r="D25" s="3" t="s">
        <v>154</v>
      </c>
      <c r="E25" s="3" t="s">
        <v>172</v>
      </c>
      <c r="F25" s="3" t="s">
        <v>124</v>
      </c>
      <c r="G25" s="3" t="s">
        <v>125</v>
      </c>
      <c r="H25" s="3">
        <v>2021</v>
      </c>
      <c r="I25" s="3" t="s">
        <v>170</v>
      </c>
      <c r="J25" s="3">
        <v>99.2</v>
      </c>
      <c r="K25" s="3" t="s">
        <v>173</v>
      </c>
      <c r="L25" s="3" t="s">
        <v>128</v>
      </c>
    </row>
    <row r="26" spans="1:14">
      <c r="A26" s="3" t="s">
        <v>119</v>
      </c>
      <c r="B26" s="3" t="s">
        <v>53</v>
      </c>
      <c r="C26" s="3" t="s">
        <v>121</v>
      </c>
      <c r="D26" s="3" t="s">
        <v>122</v>
      </c>
      <c r="E26" s="3" t="s">
        <v>141</v>
      </c>
      <c r="F26" s="3" t="s">
        <v>142</v>
      </c>
      <c r="G26" s="3" t="s">
        <v>143</v>
      </c>
      <c r="H26" s="3">
        <v>2021</v>
      </c>
      <c r="I26" s="3" t="s">
        <v>174</v>
      </c>
      <c r="J26" s="3">
        <v>3.9</v>
      </c>
      <c r="K26" s="3" t="s">
        <v>175</v>
      </c>
      <c r="L26" s="3" t="s">
        <v>128</v>
      </c>
      <c r="M26" s="3">
        <v>0.1</v>
      </c>
    </row>
    <row r="27" spans="1:14">
      <c r="A27" s="3" t="s">
        <v>119</v>
      </c>
      <c r="B27" s="3" t="s">
        <v>53</v>
      </c>
      <c r="C27" s="3" t="s">
        <v>130</v>
      </c>
      <c r="D27" s="3" t="s">
        <v>122</v>
      </c>
      <c r="E27" s="3" t="s">
        <v>141</v>
      </c>
      <c r="F27" s="3" t="s">
        <v>142</v>
      </c>
      <c r="G27" s="3" t="s">
        <v>143</v>
      </c>
      <c r="H27" s="3">
        <v>2021</v>
      </c>
      <c r="I27" s="3" t="s">
        <v>174</v>
      </c>
      <c r="J27" s="3">
        <v>4.2</v>
      </c>
      <c r="K27" s="3" t="s">
        <v>176</v>
      </c>
      <c r="L27" s="3" t="s">
        <v>128</v>
      </c>
      <c r="M27" s="3">
        <v>0.2</v>
      </c>
    </row>
    <row r="28" spans="1:14">
      <c r="A28" s="3" t="s">
        <v>119</v>
      </c>
      <c r="B28" s="3" t="s">
        <v>53</v>
      </c>
      <c r="C28" s="3" t="s">
        <v>133</v>
      </c>
      <c r="D28" s="3" t="s">
        <v>122</v>
      </c>
      <c r="E28" s="3" t="s">
        <v>141</v>
      </c>
      <c r="F28" s="3" t="s">
        <v>142</v>
      </c>
      <c r="G28" s="3" t="s">
        <v>143</v>
      </c>
      <c r="H28" s="3">
        <v>2021</v>
      </c>
      <c r="I28" s="3" t="s">
        <v>174</v>
      </c>
      <c r="J28" s="3">
        <v>4</v>
      </c>
      <c r="K28" s="3" t="s">
        <v>177</v>
      </c>
      <c r="L28" s="3" t="s">
        <v>128</v>
      </c>
      <c r="M28" s="3">
        <v>0.2</v>
      </c>
    </row>
    <row r="29" spans="1:14">
      <c r="A29" s="3" t="s">
        <v>119</v>
      </c>
      <c r="B29" s="3" t="s">
        <v>53</v>
      </c>
      <c r="C29" s="3" t="s">
        <v>135</v>
      </c>
      <c r="D29" s="3" t="s">
        <v>122</v>
      </c>
      <c r="E29" s="3" t="s">
        <v>141</v>
      </c>
      <c r="F29" s="3" t="s">
        <v>142</v>
      </c>
      <c r="G29" s="3" t="s">
        <v>143</v>
      </c>
      <c r="H29" s="3">
        <v>2021</v>
      </c>
      <c r="I29" s="3" t="s">
        <v>174</v>
      </c>
      <c r="J29" s="3">
        <v>3.8</v>
      </c>
      <c r="K29" s="3" t="s">
        <v>178</v>
      </c>
      <c r="L29" s="3" t="s">
        <v>128</v>
      </c>
      <c r="M29" s="3">
        <v>0.2</v>
      </c>
    </row>
    <row r="30" spans="1:14">
      <c r="A30" s="3" t="s">
        <v>119</v>
      </c>
      <c r="B30" s="3" t="s">
        <v>53</v>
      </c>
      <c r="C30" s="3" t="s">
        <v>137</v>
      </c>
      <c r="D30" s="3" t="s">
        <v>122</v>
      </c>
      <c r="E30" s="3" t="s">
        <v>141</v>
      </c>
      <c r="F30" s="3" t="s">
        <v>142</v>
      </c>
      <c r="G30" s="3" t="s">
        <v>143</v>
      </c>
      <c r="H30" s="3">
        <v>2021</v>
      </c>
      <c r="I30" s="3" t="s">
        <v>174</v>
      </c>
      <c r="J30" s="3">
        <v>3.7</v>
      </c>
      <c r="K30" s="3" t="s">
        <v>179</v>
      </c>
      <c r="L30" s="3" t="s">
        <v>128</v>
      </c>
      <c r="M30" s="3">
        <v>0.1</v>
      </c>
    </row>
    <row r="31" spans="1:14">
      <c r="A31" s="3" t="s">
        <v>119</v>
      </c>
      <c r="B31" s="3" t="s">
        <v>53</v>
      </c>
      <c r="C31" s="3" t="s">
        <v>139</v>
      </c>
      <c r="D31" s="3" t="s">
        <v>122</v>
      </c>
      <c r="E31" s="3" t="s">
        <v>141</v>
      </c>
      <c r="F31" s="3" t="s">
        <v>142</v>
      </c>
      <c r="G31" s="3" t="s">
        <v>143</v>
      </c>
      <c r="H31" s="3">
        <v>2021</v>
      </c>
      <c r="I31" s="3" t="s">
        <v>174</v>
      </c>
      <c r="J31" s="3">
        <v>3.8</v>
      </c>
      <c r="K31" s="3" t="s">
        <v>180</v>
      </c>
      <c r="L31" s="3" t="s">
        <v>128</v>
      </c>
      <c r="M31" s="3">
        <v>0.1</v>
      </c>
    </row>
    <row r="32" spans="1:14">
      <c r="A32" s="3" t="s">
        <v>119</v>
      </c>
      <c r="B32" s="3" t="s">
        <v>53</v>
      </c>
      <c r="C32" s="3" t="s">
        <v>121</v>
      </c>
      <c r="D32" s="3" t="s">
        <v>151</v>
      </c>
      <c r="E32" s="3" t="s">
        <v>141</v>
      </c>
      <c r="F32" s="3" t="s">
        <v>142</v>
      </c>
      <c r="G32" s="3" t="s">
        <v>143</v>
      </c>
      <c r="H32" s="3">
        <v>2021</v>
      </c>
      <c r="I32" s="3" t="s">
        <v>174</v>
      </c>
      <c r="J32" s="3">
        <v>4.2</v>
      </c>
      <c r="K32" s="3" t="s">
        <v>181</v>
      </c>
      <c r="L32" s="3" t="s">
        <v>128</v>
      </c>
      <c r="M32" s="3">
        <v>0.2</v>
      </c>
    </row>
    <row r="33" spans="1:14">
      <c r="A33" s="3" t="s">
        <v>119</v>
      </c>
      <c r="B33" s="3" t="s">
        <v>53</v>
      </c>
      <c r="C33" s="3" t="s">
        <v>121</v>
      </c>
      <c r="D33" s="3" t="s">
        <v>154</v>
      </c>
      <c r="E33" s="3" t="s">
        <v>155</v>
      </c>
      <c r="F33" s="3" t="s">
        <v>142</v>
      </c>
      <c r="G33" s="3" t="s">
        <v>143</v>
      </c>
      <c r="H33" s="3">
        <v>2021</v>
      </c>
      <c r="I33" s="3" t="s">
        <v>182</v>
      </c>
      <c r="J33" s="3">
        <v>2.6</v>
      </c>
      <c r="K33" s="3" t="s">
        <v>183</v>
      </c>
      <c r="L33" s="3" t="s">
        <v>128</v>
      </c>
      <c r="M33" s="3">
        <v>0.1</v>
      </c>
    </row>
    <row r="34" spans="1:14">
      <c r="A34" s="3" t="s">
        <v>119</v>
      </c>
      <c r="B34" s="3" t="s">
        <v>53</v>
      </c>
      <c r="C34" s="3" t="s">
        <v>121</v>
      </c>
      <c r="D34" s="3" t="s">
        <v>158</v>
      </c>
      <c r="E34" s="3" t="s">
        <v>155</v>
      </c>
      <c r="F34" s="3" t="s">
        <v>142</v>
      </c>
      <c r="G34" s="3" t="s">
        <v>143</v>
      </c>
      <c r="H34" s="3">
        <v>2021</v>
      </c>
      <c r="I34" s="3" t="s">
        <v>182</v>
      </c>
      <c r="J34" s="3">
        <v>2.7</v>
      </c>
      <c r="K34" s="3" t="s">
        <v>184</v>
      </c>
      <c r="L34" s="3" t="s">
        <v>128</v>
      </c>
      <c r="M34" s="3">
        <v>0.1</v>
      </c>
    </row>
    <row r="35" spans="1:14">
      <c r="A35" s="3" t="s">
        <v>119</v>
      </c>
      <c r="B35" s="3" t="s">
        <v>53</v>
      </c>
      <c r="C35" s="3" t="s">
        <v>121</v>
      </c>
      <c r="D35" s="3" t="s">
        <v>161</v>
      </c>
      <c r="E35" s="3" t="s">
        <v>155</v>
      </c>
      <c r="F35" s="3" t="s">
        <v>142</v>
      </c>
      <c r="G35" s="3" t="s">
        <v>143</v>
      </c>
      <c r="H35" s="3">
        <v>2021</v>
      </c>
      <c r="I35" s="3" t="s">
        <v>182</v>
      </c>
      <c r="J35" s="3">
        <v>2.5</v>
      </c>
      <c r="K35" s="3" t="s">
        <v>185</v>
      </c>
      <c r="L35" s="3" t="s">
        <v>128</v>
      </c>
      <c r="M35" s="3">
        <v>0.1</v>
      </c>
    </row>
    <row r="36" spans="1:14" ht="62.45">
      <c r="A36" s="3" t="s">
        <v>186</v>
      </c>
      <c r="B36" s="3" t="s">
        <v>120</v>
      </c>
      <c r="C36" s="3" t="s">
        <v>121</v>
      </c>
      <c r="D36" s="3" t="s">
        <v>187</v>
      </c>
      <c r="E36" s="3" t="s">
        <v>123</v>
      </c>
      <c r="F36" s="3" t="s">
        <v>124</v>
      </c>
      <c r="G36" s="3" t="s">
        <v>125</v>
      </c>
      <c r="H36" s="3">
        <v>2022</v>
      </c>
      <c r="I36" s="3" t="s">
        <v>188</v>
      </c>
      <c r="J36" s="3">
        <v>30.7</v>
      </c>
      <c r="N36" s="3" t="s">
        <v>189</v>
      </c>
    </row>
    <row r="37" spans="1:14" ht="31.15">
      <c r="A37" s="3" t="s">
        <v>186</v>
      </c>
      <c r="B37" s="3" t="s">
        <v>120</v>
      </c>
      <c r="C37" s="3" t="s">
        <v>130</v>
      </c>
      <c r="D37" s="3" t="s">
        <v>187</v>
      </c>
      <c r="E37" s="3" t="s">
        <v>123</v>
      </c>
      <c r="F37" s="3" t="s">
        <v>124</v>
      </c>
      <c r="G37" s="3" t="s">
        <v>125</v>
      </c>
      <c r="H37" s="3">
        <v>2022</v>
      </c>
      <c r="I37" s="3" t="s">
        <v>190</v>
      </c>
      <c r="J37" s="3">
        <v>25.1</v>
      </c>
      <c r="N37" s="3" t="s">
        <v>191</v>
      </c>
    </row>
    <row r="38" spans="1:14" ht="31.15">
      <c r="A38" s="3" t="s">
        <v>186</v>
      </c>
      <c r="B38" s="3" t="s">
        <v>120</v>
      </c>
      <c r="C38" s="3" t="s">
        <v>133</v>
      </c>
      <c r="D38" s="3" t="s">
        <v>187</v>
      </c>
      <c r="E38" s="3" t="s">
        <v>123</v>
      </c>
      <c r="F38" s="3" t="s">
        <v>124</v>
      </c>
      <c r="G38" s="3" t="s">
        <v>125</v>
      </c>
      <c r="H38" s="3">
        <v>2022</v>
      </c>
      <c r="I38" s="3" t="s">
        <v>190</v>
      </c>
      <c r="J38" s="3">
        <v>21.4</v>
      </c>
      <c r="N38" s="3" t="s">
        <v>192</v>
      </c>
    </row>
    <row r="39" spans="1:14" ht="31.15">
      <c r="A39" s="3" t="s">
        <v>186</v>
      </c>
      <c r="B39" s="3" t="s">
        <v>120</v>
      </c>
      <c r="C39" s="3" t="s">
        <v>135</v>
      </c>
      <c r="D39" s="3" t="s">
        <v>187</v>
      </c>
      <c r="E39" s="3" t="s">
        <v>123</v>
      </c>
      <c r="F39" s="3" t="s">
        <v>124</v>
      </c>
      <c r="G39" s="3" t="s">
        <v>125</v>
      </c>
      <c r="H39" s="3">
        <v>2022</v>
      </c>
      <c r="I39" s="3" t="s">
        <v>190</v>
      </c>
      <c r="J39" s="3">
        <v>22.7</v>
      </c>
      <c r="N39" s="3" t="s">
        <v>193</v>
      </c>
    </row>
    <row r="40" spans="1:14" ht="31.15">
      <c r="A40" s="3" t="s">
        <v>186</v>
      </c>
      <c r="B40" s="3" t="s">
        <v>120</v>
      </c>
      <c r="C40" s="3" t="s">
        <v>137</v>
      </c>
      <c r="D40" s="3" t="s">
        <v>187</v>
      </c>
      <c r="E40" s="3" t="s">
        <v>123</v>
      </c>
      <c r="F40" s="3" t="s">
        <v>124</v>
      </c>
      <c r="G40" s="3" t="s">
        <v>125</v>
      </c>
      <c r="H40" s="3">
        <v>2022</v>
      </c>
      <c r="I40" s="3" t="s">
        <v>190</v>
      </c>
      <c r="J40" s="3">
        <v>32.299999999999997</v>
      </c>
      <c r="N40" s="3" t="s">
        <v>194</v>
      </c>
    </row>
    <row r="41" spans="1:14" ht="31.15">
      <c r="A41" s="3" t="s">
        <v>186</v>
      </c>
      <c r="B41" s="3" t="s">
        <v>120</v>
      </c>
      <c r="C41" s="3" t="s">
        <v>139</v>
      </c>
      <c r="D41" s="3" t="s">
        <v>187</v>
      </c>
      <c r="E41" s="3" t="s">
        <v>123</v>
      </c>
      <c r="F41" s="3" t="s">
        <v>124</v>
      </c>
      <c r="G41" s="3" t="s">
        <v>125</v>
      </c>
      <c r="H41" s="3">
        <v>2022</v>
      </c>
      <c r="I41" s="3" t="s">
        <v>190</v>
      </c>
      <c r="J41" s="3">
        <v>52.1</v>
      </c>
      <c r="N41" s="3" t="s">
        <v>195</v>
      </c>
    </row>
    <row r="42" spans="1:14">
      <c r="A42" s="3" t="s">
        <v>186</v>
      </c>
      <c r="B42" s="3" t="s">
        <v>120</v>
      </c>
      <c r="C42" s="3" t="s">
        <v>139</v>
      </c>
      <c r="D42" s="3" t="s">
        <v>187</v>
      </c>
      <c r="E42" s="3" t="s">
        <v>123</v>
      </c>
      <c r="F42" s="3" t="s">
        <v>124</v>
      </c>
      <c r="G42" s="3" t="s">
        <v>125</v>
      </c>
      <c r="H42" s="3">
        <v>2022</v>
      </c>
      <c r="I42" s="3" t="s">
        <v>190</v>
      </c>
      <c r="J42" s="3">
        <v>52.1</v>
      </c>
    </row>
    <row r="43" spans="1:14" ht="124.9">
      <c r="A43" s="3" t="s">
        <v>186</v>
      </c>
      <c r="B43" s="3" t="s">
        <v>120</v>
      </c>
      <c r="C43" s="3" t="s">
        <v>121</v>
      </c>
      <c r="D43" s="3" t="s">
        <v>196</v>
      </c>
      <c r="E43" s="3" t="s">
        <v>197</v>
      </c>
      <c r="F43" s="3" t="s">
        <v>124</v>
      </c>
      <c r="G43" s="3" t="s">
        <v>125</v>
      </c>
      <c r="H43" s="3">
        <v>2022</v>
      </c>
      <c r="I43" s="3" t="s">
        <v>198</v>
      </c>
      <c r="J43" s="3">
        <v>41</v>
      </c>
      <c r="K43" s="3" t="s">
        <v>199</v>
      </c>
      <c r="L43" s="3" t="s">
        <v>128</v>
      </c>
      <c r="M43" s="3">
        <v>2.6</v>
      </c>
      <c r="N43" s="3" t="s">
        <v>200</v>
      </c>
    </row>
    <row r="44" spans="1:14" ht="124.9">
      <c r="A44" s="3" t="s">
        <v>186</v>
      </c>
      <c r="B44" s="3" t="s">
        <v>120</v>
      </c>
      <c r="C44" s="3" t="s">
        <v>130</v>
      </c>
      <c r="D44" s="3" t="s">
        <v>196</v>
      </c>
      <c r="E44" s="3" t="s">
        <v>197</v>
      </c>
      <c r="F44" s="3" t="s">
        <v>124</v>
      </c>
      <c r="G44" s="3" t="s">
        <v>125</v>
      </c>
      <c r="H44" s="3">
        <v>2022</v>
      </c>
      <c r="I44" s="3" t="s">
        <v>198</v>
      </c>
      <c r="J44" s="3">
        <v>29.6</v>
      </c>
      <c r="K44" s="3" t="s">
        <v>201</v>
      </c>
      <c r="L44" s="3" t="s">
        <v>128</v>
      </c>
      <c r="M44" s="3">
        <v>4.0999999999999996</v>
      </c>
      <c r="N44" s="3" t="s">
        <v>200</v>
      </c>
    </row>
    <row r="45" spans="1:14" ht="124.9">
      <c r="A45" s="3" t="s">
        <v>186</v>
      </c>
      <c r="B45" s="3" t="s">
        <v>120</v>
      </c>
      <c r="C45" s="3" t="s">
        <v>133</v>
      </c>
      <c r="D45" s="3" t="s">
        <v>196</v>
      </c>
      <c r="E45" s="3" t="s">
        <v>197</v>
      </c>
      <c r="F45" s="3" t="s">
        <v>124</v>
      </c>
      <c r="G45" s="3" t="s">
        <v>125</v>
      </c>
      <c r="H45" s="3">
        <v>2022</v>
      </c>
      <c r="I45" s="3" t="s">
        <v>198</v>
      </c>
      <c r="J45" s="3">
        <v>35.4</v>
      </c>
      <c r="K45" s="3" t="s">
        <v>202</v>
      </c>
      <c r="L45" s="3" t="s">
        <v>128</v>
      </c>
      <c r="M45" s="3">
        <v>4.5999999999999996</v>
      </c>
      <c r="N45" s="3" t="s">
        <v>200</v>
      </c>
    </row>
    <row r="46" spans="1:14" ht="124.9">
      <c r="A46" s="3" t="s">
        <v>186</v>
      </c>
      <c r="B46" s="3" t="s">
        <v>120</v>
      </c>
      <c r="C46" s="3" t="s">
        <v>135</v>
      </c>
      <c r="D46" s="3" t="s">
        <v>196</v>
      </c>
      <c r="E46" s="3" t="s">
        <v>197</v>
      </c>
      <c r="F46" s="3" t="s">
        <v>124</v>
      </c>
      <c r="G46" s="3" t="s">
        <v>125</v>
      </c>
      <c r="H46" s="3">
        <v>2022</v>
      </c>
      <c r="I46" s="3" t="s">
        <v>198</v>
      </c>
      <c r="J46" s="3">
        <v>38.700000000000003</v>
      </c>
      <c r="K46" s="3" t="s">
        <v>203</v>
      </c>
      <c r="L46" s="3" t="s">
        <v>128</v>
      </c>
      <c r="M46" s="3">
        <v>4.0999999999999996</v>
      </c>
      <c r="N46" s="3" t="s">
        <v>200</v>
      </c>
    </row>
    <row r="47" spans="1:14" ht="124.9">
      <c r="A47" s="3" t="s">
        <v>186</v>
      </c>
      <c r="B47" s="3" t="s">
        <v>120</v>
      </c>
      <c r="C47" s="3" t="s">
        <v>137</v>
      </c>
      <c r="D47" s="3" t="s">
        <v>196</v>
      </c>
      <c r="E47" s="3" t="s">
        <v>197</v>
      </c>
      <c r="F47" s="3" t="s">
        <v>124</v>
      </c>
      <c r="G47" s="3" t="s">
        <v>125</v>
      </c>
      <c r="H47" s="3">
        <v>2022</v>
      </c>
      <c r="I47" s="3" t="s">
        <v>198</v>
      </c>
      <c r="J47" s="3">
        <v>50.1</v>
      </c>
      <c r="K47" s="3" t="s">
        <v>204</v>
      </c>
      <c r="L47" s="3" t="s">
        <v>128</v>
      </c>
      <c r="M47" s="3">
        <v>4</v>
      </c>
      <c r="N47" s="3" t="s">
        <v>200</v>
      </c>
    </row>
    <row r="48" spans="1:14" ht="124.9">
      <c r="A48" s="3" t="s">
        <v>186</v>
      </c>
      <c r="B48" s="3" t="s">
        <v>120</v>
      </c>
      <c r="C48" s="3" t="s">
        <v>139</v>
      </c>
      <c r="D48" s="3" t="s">
        <v>196</v>
      </c>
      <c r="E48" s="3" t="s">
        <v>197</v>
      </c>
      <c r="F48" s="3" t="s">
        <v>124</v>
      </c>
      <c r="G48" s="3" t="s">
        <v>125</v>
      </c>
      <c r="H48" s="3">
        <v>2022</v>
      </c>
      <c r="I48" s="3" t="s">
        <v>198</v>
      </c>
      <c r="J48" s="3">
        <v>51.1</v>
      </c>
      <c r="K48" s="3" t="s">
        <v>205</v>
      </c>
      <c r="L48" s="3" t="s">
        <v>128</v>
      </c>
      <c r="M48" s="3">
        <v>3.6</v>
      </c>
      <c r="N48" s="3" t="s">
        <v>200</v>
      </c>
    </row>
    <row r="49" spans="1:14" ht="124.9">
      <c r="A49" s="3" t="s">
        <v>186</v>
      </c>
      <c r="B49" s="3" t="s">
        <v>120</v>
      </c>
      <c r="C49" s="3" t="s">
        <v>121</v>
      </c>
      <c r="D49" s="3" t="s">
        <v>196</v>
      </c>
      <c r="E49" s="3" t="s">
        <v>206</v>
      </c>
      <c r="F49" s="3" t="s">
        <v>142</v>
      </c>
      <c r="G49" s="3" t="s">
        <v>143</v>
      </c>
      <c r="H49" s="3">
        <v>2022</v>
      </c>
      <c r="I49" s="3" t="s">
        <v>198</v>
      </c>
      <c r="J49" s="3">
        <v>51.5</v>
      </c>
      <c r="K49" s="3" t="s">
        <v>207</v>
      </c>
      <c r="L49" s="3" t="s">
        <v>128</v>
      </c>
      <c r="M49" s="3">
        <v>6.9</v>
      </c>
      <c r="N49" s="3" t="s">
        <v>200</v>
      </c>
    </row>
    <row r="50" spans="1:14" ht="124.9">
      <c r="A50" s="3" t="s">
        <v>186</v>
      </c>
      <c r="B50" s="3" t="s">
        <v>120</v>
      </c>
      <c r="C50" s="3" t="s">
        <v>130</v>
      </c>
      <c r="D50" s="3" t="s">
        <v>196</v>
      </c>
      <c r="E50" s="3" t="s">
        <v>206</v>
      </c>
      <c r="F50" s="3" t="s">
        <v>142</v>
      </c>
      <c r="G50" s="3" t="s">
        <v>143</v>
      </c>
      <c r="H50" s="3">
        <v>2022</v>
      </c>
      <c r="I50" s="3" t="s">
        <v>198</v>
      </c>
      <c r="J50" s="3">
        <v>24.8</v>
      </c>
      <c r="K50" s="3" t="s">
        <v>208</v>
      </c>
      <c r="L50" s="3" t="s">
        <v>128</v>
      </c>
      <c r="M50" s="3">
        <v>4.5599999999999996</v>
      </c>
      <c r="N50" s="3" t="s">
        <v>200</v>
      </c>
    </row>
    <row r="51" spans="1:14" ht="124.9">
      <c r="A51" s="3" t="s">
        <v>186</v>
      </c>
      <c r="B51" s="3" t="s">
        <v>120</v>
      </c>
      <c r="C51" s="3" t="s">
        <v>133</v>
      </c>
      <c r="D51" s="3" t="s">
        <v>196</v>
      </c>
      <c r="E51" s="3" t="s">
        <v>206</v>
      </c>
      <c r="F51" s="3" t="s">
        <v>142</v>
      </c>
      <c r="G51" s="3" t="s">
        <v>143</v>
      </c>
      <c r="H51" s="3">
        <v>2022</v>
      </c>
      <c r="I51" s="3" t="s">
        <v>198</v>
      </c>
      <c r="J51" s="3">
        <v>39.9</v>
      </c>
      <c r="K51" s="3" t="s">
        <v>209</v>
      </c>
      <c r="L51" s="3" t="s">
        <v>128</v>
      </c>
      <c r="M51" s="3">
        <v>6.69</v>
      </c>
      <c r="N51" s="3" t="s">
        <v>200</v>
      </c>
    </row>
    <row r="52" spans="1:14" ht="124.9">
      <c r="A52" s="3" t="s">
        <v>186</v>
      </c>
      <c r="B52" s="3" t="s">
        <v>120</v>
      </c>
      <c r="C52" s="3" t="s">
        <v>135</v>
      </c>
      <c r="D52" s="3" t="s">
        <v>196</v>
      </c>
      <c r="E52" s="3" t="s">
        <v>206</v>
      </c>
      <c r="F52" s="3" t="s">
        <v>142</v>
      </c>
      <c r="G52" s="3" t="s">
        <v>143</v>
      </c>
      <c r="H52" s="3">
        <v>2022</v>
      </c>
      <c r="I52" s="3" t="s">
        <v>198</v>
      </c>
      <c r="J52" s="3">
        <v>45.7</v>
      </c>
      <c r="K52" s="3" t="s">
        <v>210</v>
      </c>
      <c r="L52" s="3" t="s">
        <v>128</v>
      </c>
      <c r="M52" s="3">
        <v>7.93</v>
      </c>
      <c r="N52" s="3" t="s">
        <v>200</v>
      </c>
    </row>
    <row r="53" spans="1:14" ht="124.9">
      <c r="A53" s="3" t="s">
        <v>186</v>
      </c>
      <c r="B53" s="3" t="s">
        <v>120</v>
      </c>
      <c r="C53" s="3" t="s">
        <v>137</v>
      </c>
      <c r="D53" s="3" t="s">
        <v>196</v>
      </c>
      <c r="E53" s="3" t="s">
        <v>206</v>
      </c>
      <c r="F53" s="3" t="s">
        <v>142</v>
      </c>
      <c r="G53" s="3" t="s">
        <v>143</v>
      </c>
      <c r="H53" s="3">
        <v>2022</v>
      </c>
      <c r="I53" s="3" t="s">
        <v>198</v>
      </c>
      <c r="J53" s="3">
        <v>84.8</v>
      </c>
      <c r="K53" s="3" t="s">
        <v>211</v>
      </c>
      <c r="L53" s="3" t="s">
        <v>128</v>
      </c>
      <c r="M53" s="3">
        <v>23.32</v>
      </c>
      <c r="N53" s="3" t="s">
        <v>200</v>
      </c>
    </row>
    <row r="54" spans="1:14" ht="124.9">
      <c r="A54" s="3" t="s">
        <v>186</v>
      </c>
      <c r="B54" s="3" t="s">
        <v>120</v>
      </c>
      <c r="C54" s="3" t="s">
        <v>139</v>
      </c>
      <c r="D54" s="3" t="s">
        <v>196</v>
      </c>
      <c r="E54" s="3" t="s">
        <v>206</v>
      </c>
      <c r="F54" s="3" t="s">
        <v>142</v>
      </c>
      <c r="G54" s="3" t="s">
        <v>143</v>
      </c>
      <c r="H54" s="3">
        <v>2022</v>
      </c>
      <c r="I54" s="3" t="s">
        <v>198</v>
      </c>
      <c r="J54" s="3">
        <v>75.5</v>
      </c>
      <c r="K54" s="3" t="s">
        <v>212</v>
      </c>
      <c r="L54" s="3" t="s">
        <v>128</v>
      </c>
      <c r="M54" s="3">
        <v>13.23</v>
      </c>
      <c r="N54" s="3" t="s">
        <v>200</v>
      </c>
    </row>
    <row r="55" spans="1:14">
      <c r="A55" s="3" t="s">
        <v>213</v>
      </c>
      <c r="B55" s="3" t="s">
        <v>120</v>
      </c>
      <c r="C55" s="3" t="s">
        <v>121</v>
      </c>
      <c r="D55" s="3" t="s">
        <v>196</v>
      </c>
      <c r="E55" s="3" t="s">
        <v>197</v>
      </c>
      <c r="F55" s="3" t="s">
        <v>124</v>
      </c>
      <c r="G55" s="3" t="s">
        <v>125</v>
      </c>
      <c r="J55" s="3">
        <v>92.7</v>
      </c>
    </row>
    <row r="56" spans="1:14">
      <c r="A56" s="3" t="s">
        <v>213</v>
      </c>
      <c r="B56" s="3" t="s">
        <v>120</v>
      </c>
      <c r="C56" s="3" t="s">
        <v>121</v>
      </c>
      <c r="D56" s="3" t="s">
        <v>196</v>
      </c>
      <c r="E56" s="3" t="s">
        <v>206</v>
      </c>
      <c r="F56" s="3" t="s">
        <v>142</v>
      </c>
      <c r="G56" s="3" t="s">
        <v>143</v>
      </c>
      <c r="H56" s="3">
        <v>2024</v>
      </c>
      <c r="I56" s="3" t="s">
        <v>214</v>
      </c>
      <c r="J56" s="3">
        <v>115.7</v>
      </c>
    </row>
    <row r="57" spans="1:14">
      <c r="A57" s="3" t="s">
        <v>213</v>
      </c>
      <c r="B57" s="3" t="s">
        <v>53</v>
      </c>
      <c r="C57" s="3" t="s">
        <v>121</v>
      </c>
      <c r="D57" s="3" t="s">
        <v>196</v>
      </c>
      <c r="E57" s="3" t="s">
        <v>197</v>
      </c>
      <c r="F57" s="3" t="s">
        <v>124</v>
      </c>
      <c r="G57" s="3" t="s">
        <v>125</v>
      </c>
      <c r="J57" s="3">
        <v>100</v>
      </c>
    </row>
    <row r="58" spans="1:14">
      <c r="A58" s="3" t="s">
        <v>213</v>
      </c>
      <c r="B58" s="3" t="s">
        <v>53</v>
      </c>
      <c r="C58" s="3" t="s">
        <v>121</v>
      </c>
      <c r="D58" s="3" t="s">
        <v>196</v>
      </c>
      <c r="E58" s="3" t="s">
        <v>206</v>
      </c>
      <c r="F58" s="3" t="s">
        <v>142</v>
      </c>
      <c r="G58" s="3" t="s">
        <v>143</v>
      </c>
      <c r="J58" s="3">
        <v>6.6</v>
      </c>
    </row>
    <row r="59" spans="1:14">
      <c r="A59" s="3" t="s">
        <v>213</v>
      </c>
      <c r="B59" s="3" t="s">
        <v>13</v>
      </c>
      <c r="C59" s="3" t="s">
        <v>121</v>
      </c>
      <c r="D59" s="3" t="s">
        <v>196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2DBD8-445A-41A7-B0D4-D965F3C797D0}">
  <sheetPr codeName="Sheet3"/>
  <dimension ref="A1:S119"/>
  <sheetViews>
    <sheetView topLeftCell="H53" zoomScale="66" zoomScaleNormal="61" workbookViewId="0">
      <selection activeCell="Q96" sqref="Q96"/>
    </sheetView>
  </sheetViews>
  <sheetFormatPr defaultColWidth="8.75" defaultRowHeight="15.75" customHeight="1"/>
  <cols>
    <col min="1" max="1" width="15.375" style="3" customWidth="1"/>
    <col min="2" max="3" width="10.5" style="3" customWidth="1"/>
    <col min="4" max="4" width="13.25" style="3" customWidth="1"/>
    <col min="5" max="5" width="18.375" style="3" customWidth="1"/>
    <col min="6" max="6" width="20.75" style="3" customWidth="1"/>
    <col min="7" max="7" width="50.25" style="3" customWidth="1"/>
    <col min="8" max="8" width="40.75" style="3" customWidth="1"/>
    <col min="9" max="9" width="20.125" style="3" customWidth="1"/>
    <col min="10" max="10" width="11.875" style="3" customWidth="1"/>
    <col min="11" max="11" width="7.5" style="3" customWidth="1"/>
    <col min="12" max="12" width="32.75" style="3" customWidth="1"/>
    <col min="13" max="13" width="9.875" style="3" customWidth="1"/>
    <col min="14" max="14" width="11.25" style="3" customWidth="1"/>
    <col min="15" max="15" width="10.75" style="3" customWidth="1"/>
    <col min="16" max="16" width="8.75" style="3"/>
    <col min="17" max="17" width="46.75" style="3" customWidth="1"/>
    <col min="18" max="18" width="34" style="3" customWidth="1"/>
    <col min="19" max="19" width="76.5" style="3" customWidth="1"/>
    <col min="20" max="16384" width="8.75" style="3"/>
  </cols>
  <sheetData>
    <row r="1" spans="1:19" ht="15.6">
      <c r="A1" s="6" t="s">
        <v>111</v>
      </c>
      <c r="B1" s="6" t="s">
        <v>0</v>
      </c>
      <c r="C1" s="6" t="s">
        <v>215</v>
      </c>
      <c r="D1" s="6" t="s">
        <v>112</v>
      </c>
      <c r="E1" s="6" t="s">
        <v>113</v>
      </c>
      <c r="F1" s="6" t="s">
        <v>216</v>
      </c>
      <c r="G1" s="6" t="s">
        <v>217</v>
      </c>
      <c r="H1" s="6" t="s">
        <v>3</v>
      </c>
      <c r="I1" s="6" t="s">
        <v>114</v>
      </c>
      <c r="J1" s="6" t="s">
        <v>5</v>
      </c>
      <c r="K1" s="6" t="s">
        <v>8</v>
      </c>
      <c r="L1" s="6" t="s">
        <v>115</v>
      </c>
      <c r="M1" s="6" t="s">
        <v>6</v>
      </c>
      <c r="N1" s="11" t="s">
        <v>116</v>
      </c>
      <c r="O1" s="6" t="s">
        <v>117</v>
      </c>
      <c r="P1" s="6" t="s">
        <v>118</v>
      </c>
      <c r="Q1" s="8" t="s">
        <v>218</v>
      </c>
      <c r="R1" s="8" t="s">
        <v>219</v>
      </c>
      <c r="S1" s="6" t="s">
        <v>12</v>
      </c>
    </row>
    <row r="2" spans="1:19" ht="218.45">
      <c r="A2" s="3" t="s">
        <v>119</v>
      </c>
      <c r="B2" s="3" t="s">
        <v>120</v>
      </c>
      <c r="C2" s="3">
        <v>2</v>
      </c>
      <c r="D2" s="3" t="s">
        <v>121</v>
      </c>
      <c r="E2" s="3" t="s">
        <v>122</v>
      </c>
      <c r="F2" s="3" t="s">
        <v>220</v>
      </c>
      <c r="G2" s="3" t="s">
        <v>221</v>
      </c>
      <c r="H2" s="3" t="s">
        <v>123</v>
      </c>
      <c r="I2" s="3" t="s">
        <v>124</v>
      </c>
      <c r="J2" s="3" t="s">
        <v>125</v>
      </c>
      <c r="K2" s="3">
        <v>2021</v>
      </c>
      <c r="L2" s="9" t="s">
        <v>126</v>
      </c>
      <c r="M2" s="3">
        <v>28.2</v>
      </c>
      <c r="N2" s="3" t="s">
        <v>127</v>
      </c>
      <c r="O2" s="3" t="s">
        <v>128</v>
      </c>
      <c r="Q2" s="3" t="s">
        <v>222</v>
      </c>
      <c r="R2" s="3" t="s">
        <v>223</v>
      </c>
      <c r="S2" s="3" t="s">
        <v>129</v>
      </c>
    </row>
    <row r="3" spans="1:19" ht="15.6">
      <c r="A3" s="3" t="s">
        <v>119</v>
      </c>
      <c r="B3" s="3" t="s">
        <v>120</v>
      </c>
      <c r="C3" s="3">
        <v>2</v>
      </c>
      <c r="D3" s="3" t="s">
        <v>130</v>
      </c>
      <c r="E3" s="3" t="s">
        <v>122</v>
      </c>
      <c r="F3" s="3" t="s">
        <v>220</v>
      </c>
      <c r="G3" s="3" t="s">
        <v>221</v>
      </c>
      <c r="H3" s="3" t="s">
        <v>123</v>
      </c>
      <c r="I3" s="3" t="s">
        <v>124</v>
      </c>
      <c r="J3" s="3" t="s">
        <v>125</v>
      </c>
      <c r="K3" s="3">
        <v>2021</v>
      </c>
      <c r="L3" s="9" t="s">
        <v>131</v>
      </c>
      <c r="M3" s="3">
        <v>19.100000000000001</v>
      </c>
      <c r="N3" s="3" t="s">
        <v>132</v>
      </c>
      <c r="O3" s="3" t="s">
        <v>128</v>
      </c>
      <c r="Q3" s="3" t="s">
        <v>224</v>
      </c>
    </row>
    <row r="4" spans="1:19" ht="15.6">
      <c r="A4" s="3" t="s">
        <v>119</v>
      </c>
      <c r="B4" s="3" t="s">
        <v>120</v>
      </c>
      <c r="C4" s="3">
        <v>2</v>
      </c>
      <c r="D4" s="3" t="s">
        <v>133</v>
      </c>
      <c r="E4" s="3" t="s">
        <v>122</v>
      </c>
      <c r="F4" s="3" t="s">
        <v>220</v>
      </c>
      <c r="G4" s="3" t="s">
        <v>221</v>
      </c>
      <c r="H4" s="3" t="s">
        <v>123</v>
      </c>
      <c r="I4" s="3" t="s">
        <v>124</v>
      </c>
      <c r="J4" s="3" t="s">
        <v>125</v>
      </c>
      <c r="K4" s="3">
        <v>2021</v>
      </c>
      <c r="L4" s="9" t="s">
        <v>131</v>
      </c>
      <c r="M4" s="3">
        <v>25.3</v>
      </c>
      <c r="N4" s="3" t="s">
        <v>134</v>
      </c>
      <c r="O4" s="3" t="s">
        <v>128</v>
      </c>
      <c r="Q4" s="3" t="s">
        <v>224</v>
      </c>
    </row>
    <row r="5" spans="1:19" ht="15.6">
      <c r="A5" s="3" t="s">
        <v>119</v>
      </c>
      <c r="B5" s="3" t="s">
        <v>120</v>
      </c>
      <c r="C5" s="3">
        <v>2</v>
      </c>
      <c r="D5" s="3" t="s">
        <v>135</v>
      </c>
      <c r="E5" s="3" t="s">
        <v>122</v>
      </c>
      <c r="F5" s="3" t="s">
        <v>220</v>
      </c>
      <c r="G5" s="3" t="s">
        <v>221</v>
      </c>
      <c r="H5" s="3" t="s">
        <v>123</v>
      </c>
      <c r="I5" s="3" t="s">
        <v>124</v>
      </c>
      <c r="J5" s="3" t="s">
        <v>125</v>
      </c>
      <c r="K5" s="3">
        <v>2021</v>
      </c>
      <c r="L5" s="9" t="s">
        <v>131</v>
      </c>
      <c r="M5" s="3">
        <v>30.5</v>
      </c>
      <c r="N5" s="3" t="s">
        <v>136</v>
      </c>
      <c r="O5" s="3" t="s">
        <v>128</v>
      </c>
      <c r="Q5" s="3" t="s">
        <v>224</v>
      </c>
    </row>
    <row r="6" spans="1:19" ht="15.6">
      <c r="A6" s="3" t="s">
        <v>119</v>
      </c>
      <c r="B6" s="3" t="s">
        <v>120</v>
      </c>
      <c r="C6" s="3">
        <v>2</v>
      </c>
      <c r="D6" s="3" t="s">
        <v>137</v>
      </c>
      <c r="E6" s="3" t="s">
        <v>122</v>
      </c>
      <c r="F6" s="3" t="s">
        <v>220</v>
      </c>
      <c r="G6" s="3" t="s">
        <v>221</v>
      </c>
      <c r="H6" s="3" t="s">
        <v>123</v>
      </c>
      <c r="I6" s="3" t="s">
        <v>124</v>
      </c>
      <c r="J6" s="3" t="s">
        <v>125</v>
      </c>
      <c r="K6" s="3">
        <v>2021</v>
      </c>
      <c r="L6" s="9" t="s">
        <v>131</v>
      </c>
      <c r="M6" s="3">
        <v>33.299999999999997</v>
      </c>
      <c r="N6" s="3" t="s">
        <v>138</v>
      </c>
      <c r="O6" s="3" t="s">
        <v>128</v>
      </c>
      <c r="Q6" s="3" t="s">
        <v>224</v>
      </c>
    </row>
    <row r="7" spans="1:19" ht="15.6">
      <c r="A7" s="3" t="s">
        <v>119</v>
      </c>
      <c r="B7" s="3" t="s">
        <v>120</v>
      </c>
      <c r="C7" s="3">
        <v>2</v>
      </c>
      <c r="D7" s="3" t="s">
        <v>139</v>
      </c>
      <c r="E7" s="3" t="s">
        <v>122</v>
      </c>
      <c r="F7" s="3" t="s">
        <v>220</v>
      </c>
      <c r="G7" s="3" t="s">
        <v>221</v>
      </c>
      <c r="H7" s="3" t="s">
        <v>123</v>
      </c>
      <c r="I7" s="3" t="s">
        <v>124</v>
      </c>
      <c r="J7" s="3" t="s">
        <v>125</v>
      </c>
      <c r="K7" s="3">
        <v>2021</v>
      </c>
      <c r="L7" s="9" t="s">
        <v>131</v>
      </c>
      <c r="M7" s="3">
        <v>35.299999999999997</v>
      </c>
      <c r="N7" s="3" t="s">
        <v>140</v>
      </c>
      <c r="O7" s="3" t="s">
        <v>128</v>
      </c>
      <c r="Q7" s="3" t="s">
        <v>224</v>
      </c>
    </row>
    <row r="8" spans="1:19" ht="109.15">
      <c r="A8" s="3" t="s">
        <v>119</v>
      </c>
      <c r="B8" s="3" t="s">
        <v>120</v>
      </c>
      <c r="C8" s="3">
        <v>2</v>
      </c>
      <c r="D8" s="3" t="s">
        <v>121</v>
      </c>
      <c r="E8" s="3" t="s">
        <v>122</v>
      </c>
      <c r="F8" s="3" t="s">
        <v>225</v>
      </c>
      <c r="G8" s="3" t="s">
        <v>226</v>
      </c>
      <c r="H8" s="3" t="s">
        <v>141</v>
      </c>
      <c r="I8" s="3" t="s">
        <v>142</v>
      </c>
      <c r="J8" s="3" t="s">
        <v>143</v>
      </c>
      <c r="K8" s="3">
        <v>2021</v>
      </c>
      <c r="L8" s="9" t="s">
        <v>144</v>
      </c>
      <c r="M8" s="3">
        <v>39</v>
      </c>
      <c r="N8" s="3" t="s">
        <v>145</v>
      </c>
      <c r="O8" s="3" t="s">
        <v>128</v>
      </c>
      <c r="P8" s="3">
        <v>2</v>
      </c>
      <c r="Q8" s="3" t="s">
        <v>224</v>
      </c>
      <c r="R8" s="3" t="s">
        <v>227</v>
      </c>
    </row>
    <row r="9" spans="1:19" ht="15.6">
      <c r="A9" s="3" t="s">
        <v>119</v>
      </c>
      <c r="B9" s="3" t="s">
        <v>120</v>
      </c>
      <c r="C9" s="3">
        <v>2</v>
      </c>
      <c r="D9" s="3" t="s">
        <v>130</v>
      </c>
      <c r="E9" s="3" t="s">
        <v>122</v>
      </c>
      <c r="F9" s="3" t="s">
        <v>225</v>
      </c>
      <c r="G9" s="3" t="s">
        <v>226</v>
      </c>
      <c r="H9" s="3" t="s">
        <v>141</v>
      </c>
      <c r="I9" s="3" t="s">
        <v>142</v>
      </c>
      <c r="J9" s="3" t="s">
        <v>143</v>
      </c>
      <c r="K9" s="3">
        <v>2021</v>
      </c>
      <c r="L9" s="9" t="s">
        <v>144</v>
      </c>
      <c r="M9" s="3">
        <v>16.100000000000001</v>
      </c>
      <c r="N9" s="3" t="s">
        <v>146</v>
      </c>
      <c r="O9" s="3" t="s">
        <v>128</v>
      </c>
      <c r="P9" s="3">
        <v>1.8</v>
      </c>
      <c r="Q9" s="3" t="s">
        <v>224</v>
      </c>
    </row>
    <row r="10" spans="1:19" ht="15.6">
      <c r="A10" s="3" t="s">
        <v>119</v>
      </c>
      <c r="B10" s="3" t="s">
        <v>120</v>
      </c>
      <c r="C10" s="3">
        <v>2</v>
      </c>
      <c r="D10" s="3" t="s">
        <v>133</v>
      </c>
      <c r="E10" s="3" t="s">
        <v>122</v>
      </c>
      <c r="F10" s="3" t="s">
        <v>225</v>
      </c>
      <c r="G10" s="3" t="s">
        <v>226</v>
      </c>
      <c r="H10" s="3" t="s">
        <v>141</v>
      </c>
      <c r="I10" s="3" t="s">
        <v>142</v>
      </c>
      <c r="J10" s="3" t="s">
        <v>143</v>
      </c>
      <c r="K10" s="3">
        <v>2021</v>
      </c>
      <c r="L10" s="9" t="s">
        <v>144</v>
      </c>
      <c r="M10" s="3">
        <v>23.4</v>
      </c>
      <c r="N10" s="3" t="s">
        <v>147</v>
      </c>
      <c r="O10" s="3" t="s">
        <v>128</v>
      </c>
      <c r="P10" s="3">
        <v>2.4</v>
      </c>
      <c r="Q10" s="3" t="s">
        <v>224</v>
      </c>
    </row>
    <row r="11" spans="1:19" ht="15.6">
      <c r="A11" s="3" t="s">
        <v>119</v>
      </c>
      <c r="B11" s="3" t="s">
        <v>120</v>
      </c>
      <c r="C11" s="3">
        <v>2</v>
      </c>
      <c r="D11" s="3" t="s">
        <v>135</v>
      </c>
      <c r="E11" s="3" t="s">
        <v>122</v>
      </c>
      <c r="F11" s="3" t="s">
        <v>225</v>
      </c>
      <c r="G11" s="3" t="s">
        <v>226</v>
      </c>
      <c r="H11" s="3" t="s">
        <v>141</v>
      </c>
      <c r="I11" s="3" t="s">
        <v>142</v>
      </c>
      <c r="J11" s="3" t="s">
        <v>143</v>
      </c>
      <c r="K11" s="3">
        <v>2021</v>
      </c>
      <c r="L11" s="9" t="s">
        <v>144</v>
      </c>
      <c r="M11" s="3">
        <v>38.200000000000003</v>
      </c>
      <c r="N11" s="3" t="s">
        <v>148</v>
      </c>
      <c r="O11" s="3" t="s">
        <v>128</v>
      </c>
      <c r="P11" s="3">
        <v>3.4</v>
      </c>
      <c r="Q11" s="3" t="s">
        <v>224</v>
      </c>
    </row>
    <row r="12" spans="1:19" ht="15.6">
      <c r="A12" s="3" t="s">
        <v>119</v>
      </c>
      <c r="B12" s="3" t="s">
        <v>120</v>
      </c>
      <c r="C12" s="3">
        <v>2</v>
      </c>
      <c r="D12" s="3" t="s">
        <v>137</v>
      </c>
      <c r="E12" s="3" t="s">
        <v>122</v>
      </c>
      <c r="F12" s="3" t="s">
        <v>225</v>
      </c>
      <c r="G12" s="3" t="s">
        <v>226</v>
      </c>
      <c r="H12" s="3" t="s">
        <v>141</v>
      </c>
      <c r="I12" s="3" t="s">
        <v>142</v>
      </c>
      <c r="J12" s="3" t="s">
        <v>143</v>
      </c>
      <c r="K12" s="3">
        <v>2021</v>
      </c>
      <c r="L12" s="9" t="s">
        <v>144</v>
      </c>
      <c r="M12" s="3">
        <v>49.3</v>
      </c>
      <c r="N12" s="3" t="s">
        <v>149</v>
      </c>
      <c r="O12" s="3" t="s">
        <v>128</v>
      </c>
      <c r="P12" s="3">
        <v>3.2</v>
      </c>
      <c r="Q12" s="3" t="s">
        <v>224</v>
      </c>
    </row>
    <row r="13" spans="1:19" ht="15.6">
      <c r="A13" s="3" t="s">
        <v>119</v>
      </c>
      <c r="B13" s="3" t="s">
        <v>120</v>
      </c>
      <c r="C13" s="3">
        <v>2</v>
      </c>
      <c r="D13" s="3" t="s">
        <v>139</v>
      </c>
      <c r="E13" s="3" t="s">
        <v>122</v>
      </c>
      <c r="F13" s="3" t="s">
        <v>225</v>
      </c>
      <c r="G13" s="3" t="s">
        <v>226</v>
      </c>
      <c r="H13" s="3" t="s">
        <v>141</v>
      </c>
      <c r="I13" s="3" t="s">
        <v>142</v>
      </c>
      <c r="J13" s="3" t="s">
        <v>143</v>
      </c>
      <c r="K13" s="3">
        <v>2021</v>
      </c>
      <c r="L13" s="9" t="s">
        <v>144</v>
      </c>
      <c r="M13" s="3">
        <v>62.4</v>
      </c>
      <c r="N13" s="3" t="s">
        <v>150</v>
      </c>
      <c r="O13" s="3" t="s">
        <v>128</v>
      </c>
      <c r="P13" s="3">
        <v>2.7</v>
      </c>
      <c r="Q13" s="3" t="s">
        <v>224</v>
      </c>
    </row>
    <row r="14" spans="1:19" ht="15.6">
      <c r="A14" s="3" t="s">
        <v>119</v>
      </c>
      <c r="B14" s="3" t="s">
        <v>120</v>
      </c>
      <c r="C14" s="3">
        <v>2</v>
      </c>
      <c r="D14" s="3" t="s">
        <v>121</v>
      </c>
      <c r="E14" s="3" t="s">
        <v>122</v>
      </c>
      <c r="F14" s="3" t="s">
        <v>225</v>
      </c>
      <c r="G14" s="3" t="s">
        <v>226</v>
      </c>
      <c r="H14" s="3" t="s">
        <v>141</v>
      </c>
      <c r="I14" s="3" t="s">
        <v>228</v>
      </c>
      <c r="J14" s="3" t="s">
        <v>143</v>
      </c>
      <c r="K14" s="3">
        <v>2021</v>
      </c>
      <c r="L14" s="9" t="s">
        <v>144</v>
      </c>
      <c r="M14" s="7">
        <f>(57.1 - 13.3)/1.35</f>
        <v>32.444444444444443</v>
      </c>
      <c r="Q14" s="3" t="s">
        <v>229</v>
      </c>
      <c r="R14" s="3" t="s">
        <v>230</v>
      </c>
      <c r="S14" s="3" t="s">
        <v>231</v>
      </c>
    </row>
    <row r="15" spans="1:19" ht="15.6">
      <c r="A15" s="3" t="s">
        <v>119</v>
      </c>
      <c r="B15" s="3" t="s">
        <v>120</v>
      </c>
      <c r="C15" s="3">
        <v>2</v>
      </c>
      <c r="D15" s="3" t="s">
        <v>130</v>
      </c>
      <c r="E15" s="3" t="s">
        <v>122</v>
      </c>
      <c r="F15" s="3" t="s">
        <v>225</v>
      </c>
      <c r="G15" s="3" t="s">
        <v>226</v>
      </c>
      <c r="H15" s="3" t="s">
        <v>141</v>
      </c>
      <c r="I15" s="3" t="s">
        <v>228</v>
      </c>
      <c r="J15" s="3" t="s">
        <v>143</v>
      </c>
      <c r="K15" s="3">
        <v>2021</v>
      </c>
      <c r="L15" s="9" t="s">
        <v>144</v>
      </c>
      <c r="M15" s="7">
        <f>(22.2 - 4.3)/1.35</f>
        <v>13.259259259259258</v>
      </c>
      <c r="Q15" s="3" t="s">
        <v>229</v>
      </c>
      <c r="R15" s="3" t="s">
        <v>230</v>
      </c>
      <c r="S15" s="3" t="s">
        <v>231</v>
      </c>
    </row>
    <row r="16" spans="1:19" ht="15.6">
      <c r="A16" s="3" t="s">
        <v>119</v>
      </c>
      <c r="B16" s="3" t="s">
        <v>120</v>
      </c>
      <c r="C16" s="3">
        <v>2</v>
      </c>
      <c r="D16" s="3" t="s">
        <v>133</v>
      </c>
      <c r="E16" s="3" t="s">
        <v>122</v>
      </c>
      <c r="F16" s="3" t="s">
        <v>225</v>
      </c>
      <c r="G16" s="3" t="s">
        <v>226</v>
      </c>
      <c r="H16" s="3" t="s">
        <v>141</v>
      </c>
      <c r="I16" s="3" t="s">
        <v>228</v>
      </c>
      <c r="J16" s="3" t="s">
        <v>143</v>
      </c>
      <c r="K16" s="3">
        <v>2021</v>
      </c>
      <c r="L16" s="9" t="s">
        <v>144</v>
      </c>
      <c r="M16" s="7">
        <f>(33.2 - 7.6)/1.35</f>
        <v>18.962962962962962</v>
      </c>
      <c r="Q16" s="3" t="s">
        <v>229</v>
      </c>
      <c r="R16" s="3" t="s">
        <v>230</v>
      </c>
      <c r="S16" s="3" t="s">
        <v>231</v>
      </c>
    </row>
    <row r="17" spans="1:19" ht="15.6">
      <c r="A17" s="3" t="s">
        <v>119</v>
      </c>
      <c r="B17" s="3" t="s">
        <v>120</v>
      </c>
      <c r="C17" s="3">
        <v>2</v>
      </c>
      <c r="D17" s="3" t="s">
        <v>135</v>
      </c>
      <c r="E17" s="3" t="s">
        <v>122</v>
      </c>
      <c r="F17" s="3" t="s">
        <v>225</v>
      </c>
      <c r="G17" s="3" t="s">
        <v>226</v>
      </c>
      <c r="H17" s="3" t="s">
        <v>141</v>
      </c>
      <c r="I17" s="3" t="s">
        <v>228</v>
      </c>
      <c r="J17" s="3" t="s">
        <v>143</v>
      </c>
      <c r="K17" s="3">
        <v>2021</v>
      </c>
      <c r="L17" s="9" t="s">
        <v>144</v>
      </c>
      <c r="M17" s="7">
        <f>(53.6 - 16.5)/1.35</f>
        <v>27.481481481481481</v>
      </c>
      <c r="Q17" s="3" t="s">
        <v>229</v>
      </c>
      <c r="R17" s="3" t="s">
        <v>230</v>
      </c>
      <c r="S17" s="3" t="s">
        <v>231</v>
      </c>
    </row>
    <row r="18" spans="1:19" ht="15.6">
      <c r="A18" s="3" t="s">
        <v>119</v>
      </c>
      <c r="B18" s="3" t="s">
        <v>120</v>
      </c>
      <c r="C18" s="3">
        <v>2</v>
      </c>
      <c r="D18" s="3" t="s">
        <v>137</v>
      </c>
      <c r="E18" s="3" t="s">
        <v>122</v>
      </c>
      <c r="F18" s="3" t="s">
        <v>225</v>
      </c>
      <c r="G18" s="3" t="s">
        <v>226</v>
      </c>
      <c r="H18" s="3" t="s">
        <v>141</v>
      </c>
      <c r="I18" s="3" t="s">
        <v>228</v>
      </c>
      <c r="J18" s="3" t="s">
        <v>143</v>
      </c>
      <c r="K18" s="3">
        <v>2021</v>
      </c>
      <c r="L18" s="9" t="s">
        <v>144</v>
      </c>
      <c r="M18" s="7">
        <f>(67.6 - 25.3)/1.35</f>
        <v>31.333333333333329</v>
      </c>
      <c r="Q18" s="3" t="s">
        <v>229</v>
      </c>
      <c r="R18" s="3" t="s">
        <v>230</v>
      </c>
      <c r="S18" s="3" t="s">
        <v>231</v>
      </c>
    </row>
    <row r="19" spans="1:19" ht="15.6">
      <c r="A19" s="3" t="s">
        <v>119</v>
      </c>
      <c r="B19" s="3" t="s">
        <v>120</v>
      </c>
      <c r="C19" s="3">
        <v>2</v>
      </c>
      <c r="D19" s="3" t="s">
        <v>139</v>
      </c>
      <c r="E19" s="3" t="s">
        <v>122</v>
      </c>
      <c r="F19" s="3" t="s">
        <v>225</v>
      </c>
      <c r="G19" s="3" t="s">
        <v>226</v>
      </c>
      <c r="H19" s="3" t="s">
        <v>141</v>
      </c>
      <c r="I19" s="3" t="s">
        <v>228</v>
      </c>
      <c r="J19" s="3" t="s">
        <v>143</v>
      </c>
      <c r="K19" s="3">
        <v>2021</v>
      </c>
      <c r="L19" s="9" t="s">
        <v>144</v>
      </c>
      <c r="M19" s="7">
        <f>(82.2 - 37.7)/1.35</f>
        <v>32.962962962962962</v>
      </c>
      <c r="Q19" s="3" t="s">
        <v>229</v>
      </c>
      <c r="R19" s="3" t="s">
        <v>230</v>
      </c>
      <c r="S19" s="3" t="s">
        <v>231</v>
      </c>
    </row>
    <row r="20" spans="1:19" ht="46.9">
      <c r="A20" s="3" t="s">
        <v>119</v>
      </c>
      <c r="B20" s="3" t="s">
        <v>120</v>
      </c>
      <c r="C20" s="3">
        <v>2</v>
      </c>
      <c r="D20" s="3" t="s">
        <v>121</v>
      </c>
      <c r="E20" s="3" t="s">
        <v>151</v>
      </c>
      <c r="F20" s="3" t="s">
        <v>225</v>
      </c>
      <c r="G20" s="3" t="s">
        <v>226</v>
      </c>
      <c r="H20" s="3" t="s">
        <v>141</v>
      </c>
      <c r="I20" s="3" t="s">
        <v>142</v>
      </c>
      <c r="J20" s="3" t="s">
        <v>143</v>
      </c>
      <c r="K20" s="3">
        <v>2021</v>
      </c>
      <c r="L20" s="9" t="s">
        <v>144</v>
      </c>
      <c r="M20" s="3">
        <v>35</v>
      </c>
      <c r="N20" s="3" t="s">
        <v>152</v>
      </c>
      <c r="O20" s="3" t="s">
        <v>128</v>
      </c>
      <c r="P20" s="3">
        <v>2.8</v>
      </c>
      <c r="Q20" s="3" t="s">
        <v>232</v>
      </c>
      <c r="S20" s="3" t="s">
        <v>153</v>
      </c>
    </row>
    <row r="21" spans="1:19" ht="15.6">
      <c r="A21" s="3" t="s">
        <v>119</v>
      </c>
      <c r="B21" s="3" t="s">
        <v>120</v>
      </c>
      <c r="C21" s="3">
        <v>2</v>
      </c>
      <c r="D21" s="3" t="s">
        <v>121</v>
      </c>
      <c r="E21" s="3" t="s">
        <v>151</v>
      </c>
      <c r="F21" s="3" t="s">
        <v>225</v>
      </c>
      <c r="G21" s="3" t="s">
        <v>226</v>
      </c>
      <c r="H21" s="3" t="s">
        <v>141</v>
      </c>
      <c r="I21" s="3" t="s">
        <v>228</v>
      </c>
      <c r="J21" s="3" t="s">
        <v>143</v>
      </c>
      <c r="K21" s="3">
        <v>2021</v>
      </c>
      <c r="L21" s="9" t="s">
        <v>144</v>
      </c>
      <c r="M21" s="7">
        <f>(51.4 - 11.5)/1.35</f>
        <v>29.555555555555554</v>
      </c>
      <c r="Q21" s="3" t="s">
        <v>229</v>
      </c>
      <c r="R21" s="3" t="s">
        <v>230</v>
      </c>
      <c r="S21" s="3" t="s">
        <v>231</v>
      </c>
    </row>
    <row r="22" spans="1:19" ht="90" customHeight="1">
      <c r="A22" s="3" t="s">
        <v>119</v>
      </c>
      <c r="B22" s="3" t="s">
        <v>120</v>
      </c>
      <c r="C22" s="3">
        <v>2</v>
      </c>
      <c r="D22" s="3" t="s">
        <v>121</v>
      </c>
      <c r="E22" s="3" t="s">
        <v>154</v>
      </c>
      <c r="F22" s="3" t="s">
        <v>225</v>
      </c>
      <c r="G22" s="3" t="s">
        <v>226</v>
      </c>
      <c r="H22" s="3" t="s">
        <v>155</v>
      </c>
      <c r="I22" s="3" t="s">
        <v>142</v>
      </c>
      <c r="J22" s="3" t="s">
        <v>143</v>
      </c>
      <c r="K22" s="3">
        <v>2021</v>
      </c>
      <c r="L22" s="9" t="s">
        <v>156</v>
      </c>
      <c r="M22" s="3">
        <v>26</v>
      </c>
      <c r="N22" s="3" t="s">
        <v>157</v>
      </c>
      <c r="O22" s="3" t="s">
        <v>128</v>
      </c>
      <c r="P22" s="3">
        <v>1.6</v>
      </c>
      <c r="Q22" s="3" t="s">
        <v>233</v>
      </c>
      <c r="R22" s="3" t="s">
        <v>234</v>
      </c>
    </row>
    <row r="23" spans="1:19" ht="46.9">
      <c r="A23" s="3" t="s">
        <v>119</v>
      </c>
      <c r="B23" s="3" t="s">
        <v>120</v>
      </c>
      <c r="C23" s="3">
        <v>2</v>
      </c>
      <c r="D23" s="3" t="s">
        <v>121</v>
      </c>
      <c r="E23" s="3" t="s">
        <v>158</v>
      </c>
      <c r="F23" s="3" t="s">
        <v>225</v>
      </c>
      <c r="G23" s="3" t="s">
        <v>226</v>
      </c>
      <c r="H23" s="3" t="s">
        <v>155</v>
      </c>
      <c r="I23" s="3" t="s">
        <v>142</v>
      </c>
      <c r="J23" s="3" t="s">
        <v>143</v>
      </c>
      <c r="K23" s="3">
        <v>2021</v>
      </c>
      <c r="L23" s="9" t="s">
        <v>156</v>
      </c>
      <c r="M23" s="3">
        <v>26.9</v>
      </c>
      <c r="N23" s="3" t="s">
        <v>159</v>
      </c>
      <c r="O23" s="3" t="s">
        <v>128</v>
      </c>
      <c r="P23" s="3">
        <v>1.8</v>
      </c>
      <c r="Q23" s="3" t="s">
        <v>233</v>
      </c>
      <c r="S23" s="3" t="s">
        <v>160</v>
      </c>
    </row>
    <row r="24" spans="1:19" ht="46.9">
      <c r="A24" s="3" t="s">
        <v>119</v>
      </c>
      <c r="B24" s="3" t="s">
        <v>120</v>
      </c>
      <c r="C24" s="3">
        <v>2</v>
      </c>
      <c r="D24" s="3" t="s">
        <v>121</v>
      </c>
      <c r="E24" s="3" t="s">
        <v>161</v>
      </c>
      <c r="F24" s="3" t="s">
        <v>225</v>
      </c>
      <c r="G24" s="3" t="s">
        <v>226</v>
      </c>
      <c r="H24" s="3" t="s">
        <v>155</v>
      </c>
      <c r="I24" s="3" t="s">
        <v>142</v>
      </c>
      <c r="J24" s="3" t="s">
        <v>143</v>
      </c>
      <c r="K24" s="3">
        <v>2021</v>
      </c>
      <c r="L24" s="9" t="s">
        <v>156</v>
      </c>
      <c r="M24" s="3">
        <v>25.1</v>
      </c>
      <c r="N24" s="3" t="s">
        <v>162</v>
      </c>
      <c r="O24" s="3" t="s">
        <v>128</v>
      </c>
      <c r="P24" s="3">
        <v>2.1</v>
      </c>
      <c r="Q24" s="3" t="s">
        <v>233</v>
      </c>
      <c r="S24" s="3" t="s">
        <v>160</v>
      </c>
    </row>
    <row r="25" spans="1:19" ht="15.6">
      <c r="A25" s="3" t="s">
        <v>119</v>
      </c>
      <c r="B25" s="3" t="s">
        <v>120</v>
      </c>
      <c r="C25" s="3">
        <v>2</v>
      </c>
      <c r="D25" s="3" t="s">
        <v>121</v>
      </c>
      <c r="E25" s="3" t="s">
        <v>154</v>
      </c>
      <c r="F25" s="3" t="s">
        <v>225</v>
      </c>
      <c r="G25" s="3" t="s">
        <v>226</v>
      </c>
      <c r="H25" s="3" t="s">
        <v>155</v>
      </c>
      <c r="I25" s="3" t="s">
        <v>228</v>
      </c>
      <c r="J25" s="3" t="s">
        <v>143</v>
      </c>
      <c r="K25" s="3">
        <v>2021</v>
      </c>
      <c r="L25" s="9" t="s">
        <v>156</v>
      </c>
      <c r="M25" s="7">
        <f>(37.4 - 8.5)/1.35</f>
        <v>21.407407407407405</v>
      </c>
      <c r="Q25" s="3" t="s">
        <v>229</v>
      </c>
      <c r="S25" s="3" t="s">
        <v>231</v>
      </c>
    </row>
    <row r="26" spans="1:19" ht="15.6">
      <c r="A26" s="3" t="s">
        <v>119</v>
      </c>
      <c r="B26" s="3" t="s">
        <v>120</v>
      </c>
      <c r="C26" s="3">
        <v>2</v>
      </c>
      <c r="D26" s="3" t="s">
        <v>121</v>
      </c>
      <c r="E26" s="3" t="s">
        <v>158</v>
      </c>
      <c r="F26" s="3" t="s">
        <v>225</v>
      </c>
      <c r="G26" s="3" t="s">
        <v>226</v>
      </c>
      <c r="H26" s="3" t="s">
        <v>155</v>
      </c>
      <c r="I26" s="3" t="s">
        <v>228</v>
      </c>
      <c r="J26" s="3" t="s">
        <v>143</v>
      </c>
      <c r="K26" s="3">
        <v>2021</v>
      </c>
      <c r="L26" s="9" t="s">
        <v>156</v>
      </c>
      <c r="M26" s="7">
        <f>(39.5 - 7.5)/1.35</f>
        <v>23.703703703703702</v>
      </c>
      <c r="Q26" s="3" t="s">
        <v>229</v>
      </c>
      <c r="S26" s="3" t="s">
        <v>231</v>
      </c>
    </row>
    <row r="27" spans="1:19" ht="15.6">
      <c r="A27" s="3" t="s">
        <v>119</v>
      </c>
      <c r="B27" s="3" t="s">
        <v>120</v>
      </c>
      <c r="C27" s="3">
        <v>2</v>
      </c>
      <c r="D27" s="3" t="s">
        <v>121</v>
      </c>
      <c r="E27" s="3" t="s">
        <v>161</v>
      </c>
      <c r="F27" s="3" t="s">
        <v>225</v>
      </c>
      <c r="G27" s="3" t="s">
        <v>226</v>
      </c>
      <c r="H27" s="3" t="s">
        <v>155</v>
      </c>
      <c r="I27" s="3" t="s">
        <v>228</v>
      </c>
      <c r="J27" s="3" t="s">
        <v>143</v>
      </c>
      <c r="K27" s="3">
        <v>2021</v>
      </c>
      <c r="L27" s="9" t="s">
        <v>156</v>
      </c>
      <c r="M27" s="7">
        <f>(35.2 - 9.5)/1.35</f>
        <v>19.037037037037038</v>
      </c>
      <c r="Q27" s="3" t="s">
        <v>229</v>
      </c>
      <c r="S27" s="3" t="s">
        <v>231</v>
      </c>
    </row>
    <row r="28" spans="1:19" ht="31.15">
      <c r="A28" s="3" t="s">
        <v>119</v>
      </c>
      <c r="B28" s="3" t="s">
        <v>120</v>
      </c>
      <c r="C28" s="3">
        <v>2</v>
      </c>
      <c r="D28" s="3" t="s">
        <v>121</v>
      </c>
      <c r="E28" s="3" t="s">
        <v>196</v>
      </c>
      <c r="F28" s="3" t="s">
        <v>235</v>
      </c>
      <c r="G28" s="3" t="s">
        <v>236</v>
      </c>
      <c r="H28" s="3" t="s">
        <v>237</v>
      </c>
      <c r="I28" s="3" t="s">
        <v>124</v>
      </c>
      <c r="J28" s="3" t="s">
        <v>125</v>
      </c>
      <c r="K28" s="3">
        <v>2026</v>
      </c>
      <c r="L28" s="13" t="s">
        <v>238</v>
      </c>
      <c r="M28" s="3">
        <v>100</v>
      </c>
      <c r="Q28" s="3" t="s">
        <v>224</v>
      </c>
    </row>
    <row r="29" spans="1:19" ht="15.6">
      <c r="A29" s="3" t="s">
        <v>119</v>
      </c>
      <c r="B29" s="3" t="s">
        <v>53</v>
      </c>
      <c r="C29" s="3">
        <v>2</v>
      </c>
      <c r="D29" s="3" t="s">
        <v>121</v>
      </c>
      <c r="E29" s="3" t="s">
        <v>122</v>
      </c>
      <c r="F29" s="3" t="s">
        <v>220</v>
      </c>
      <c r="G29" s="3" t="s">
        <v>221</v>
      </c>
      <c r="H29" s="3" t="s">
        <v>123</v>
      </c>
      <c r="I29" s="3" t="s">
        <v>124</v>
      </c>
      <c r="J29" s="3" t="s">
        <v>125</v>
      </c>
      <c r="K29" s="3">
        <v>2021</v>
      </c>
      <c r="L29" s="9" t="s">
        <v>163</v>
      </c>
      <c r="M29" s="3">
        <v>99.3</v>
      </c>
      <c r="N29" s="3" t="s">
        <v>164</v>
      </c>
      <c r="O29" s="3" t="s">
        <v>128</v>
      </c>
      <c r="Q29" s="3" t="s">
        <v>239</v>
      </c>
    </row>
    <row r="30" spans="1:19" ht="15.6">
      <c r="A30" s="3" t="s">
        <v>119</v>
      </c>
      <c r="B30" s="3" t="s">
        <v>53</v>
      </c>
      <c r="C30" s="3">
        <v>2</v>
      </c>
      <c r="D30" s="3" t="s">
        <v>130</v>
      </c>
      <c r="E30" s="3" t="s">
        <v>122</v>
      </c>
      <c r="F30" s="3" t="s">
        <v>220</v>
      </c>
      <c r="G30" s="3" t="s">
        <v>221</v>
      </c>
      <c r="H30" s="3" t="s">
        <v>123</v>
      </c>
      <c r="I30" s="3" t="s">
        <v>124</v>
      </c>
      <c r="J30" s="3" t="s">
        <v>125</v>
      </c>
      <c r="K30" s="3">
        <v>2021</v>
      </c>
      <c r="L30" s="9" t="s">
        <v>163</v>
      </c>
      <c r="M30" s="3">
        <v>99.5</v>
      </c>
      <c r="N30" s="3" t="s">
        <v>165</v>
      </c>
      <c r="O30" s="3" t="s">
        <v>128</v>
      </c>
      <c r="Q30" s="3" t="s">
        <v>224</v>
      </c>
    </row>
    <row r="31" spans="1:19" ht="15.6">
      <c r="A31" s="3" t="s">
        <v>119</v>
      </c>
      <c r="B31" s="3" t="s">
        <v>53</v>
      </c>
      <c r="C31" s="3">
        <v>2</v>
      </c>
      <c r="D31" s="3" t="s">
        <v>133</v>
      </c>
      <c r="E31" s="3" t="s">
        <v>122</v>
      </c>
      <c r="F31" s="3" t="s">
        <v>220</v>
      </c>
      <c r="G31" s="3" t="s">
        <v>221</v>
      </c>
      <c r="H31" s="3" t="s">
        <v>123</v>
      </c>
      <c r="I31" s="3" t="s">
        <v>124</v>
      </c>
      <c r="J31" s="3" t="s">
        <v>125</v>
      </c>
      <c r="K31" s="3">
        <v>2021</v>
      </c>
      <c r="L31" s="9" t="s">
        <v>163</v>
      </c>
      <c r="M31" s="3">
        <v>99.7</v>
      </c>
      <c r="N31" s="3" t="s">
        <v>166</v>
      </c>
      <c r="O31" s="3" t="s">
        <v>128</v>
      </c>
      <c r="Q31" s="3" t="s">
        <v>224</v>
      </c>
    </row>
    <row r="32" spans="1:19" ht="15.6">
      <c r="A32" s="3" t="s">
        <v>119</v>
      </c>
      <c r="B32" s="3" t="s">
        <v>53</v>
      </c>
      <c r="C32" s="3">
        <v>2</v>
      </c>
      <c r="D32" s="3" t="s">
        <v>135</v>
      </c>
      <c r="E32" s="3" t="s">
        <v>122</v>
      </c>
      <c r="F32" s="3" t="s">
        <v>220</v>
      </c>
      <c r="G32" s="3" t="s">
        <v>221</v>
      </c>
      <c r="H32" s="3" t="s">
        <v>123</v>
      </c>
      <c r="I32" s="3" t="s">
        <v>124</v>
      </c>
      <c r="J32" s="3" t="s">
        <v>125</v>
      </c>
      <c r="K32" s="3">
        <v>2021</v>
      </c>
      <c r="L32" s="9" t="s">
        <v>163</v>
      </c>
      <c r="M32" s="3">
        <v>99.5</v>
      </c>
      <c r="N32" s="3" t="s">
        <v>167</v>
      </c>
      <c r="O32" s="3" t="s">
        <v>128</v>
      </c>
      <c r="Q32" s="3" t="s">
        <v>224</v>
      </c>
    </row>
    <row r="33" spans="1:19" ht="15.6">
      <c r="A33" s="3" t="s">
        <v>119</v>
      </c>
      <c r="B33" s="3" t="s">
        <v>53</v>
      </c>
      <c r="C33" s="3">
        <v>2</v>
      </c>
      <c r="D33" s="3" t="s">
        <v>137</v>
      </c>
      <c r="E33" s="3" t="s">
        <v>122</v>
      </c>
      <c r="F33" s="3" t="s">
        <v>220</v>
      </c>
      <c r="G33" s="3" t="s">
        <v>221</v>
      </c>
      <c r="H33" s="3" t="s">
        <v>123</v>
      </c>
      <c r="I33" s="3" t="s">
        <v>124</v>
      </c>
      <c r="J33" s="3" t="s">
        <v>125</v>
      </c>
      <c r="K33" s="3">
        <v>2021</v>
      </c>
      <c r="L33" s="9" t="s">
        <v>163</v>
      </c>
      <c r="M33" s="3">
        <v>99.4</v>
      </c>
      <c r="N33" s="3" t="s">
        <v>168</v>
      </c>
      <c r="O33" s="3" t="s">
        <v>128</v>
      </c>
      <c r="Q33" s="3" t="s">
        <v>224</v>
      </c>
    </row>
    <row r="34" spans="1:19" ht="15.6">
      <c r="A34" s="3" t="s">
        <v>119</v>
      </c>
      <c r="B34" s="3" t="s">
        <v>53</v>
      </c>
      <c r="C34" s="3">
        <v>2</v>
      </c>
      <c r="D34" s="3" t="s">
        <v>139</v>
      </c>
      <c r="E34" s="3" t="s">
        <v>122</v>
      </c>
      <c r="F34" s="3" t="s">
        <v>220</v>
      </c>
      <c r="G34" s="3" t="s">
        <v>221</v>
      </c>
      <c r="H34" s="3" t="s">
        <v>123</v>
      </c>
      <c r="I34" s="3" t="s">
        <v>124</v>
      </c>
      <c r="J34" s="3" t="s">
        <v>125</v>
      </c>
      <c r="K34" s="3">
        <v>2021</v>
      </c>
      <c r="L34" s="9" t="s">
        <v>163</v>
      </c>
      <c r="M34" s="3">
        <v>98.5</v>
      </c>
      <c r="N34" s="3" t="s">
        <v>169</v>
      </c>
      <c r="O34" s="3" t="s">
        <v>128</v>
      </c>
      <c r="Q34" s="3" t="s">
        <v>224</v>
      </c>
    </row>
    <row r="35" spans="1:19" ht="31.15">
      <c r="A35" s="3" t="s">
        <v>119</v>
      </c>
      <c r="B35" s="3" t="s">
        <v>53</v>
      </c>
      <c r="C35" s="3">
        <v>2</v>
      </c>
      <c r="D35" s="3" t="s">
        <v>121</v>
      </c>
      <c r="E35" s="3" t="s">
        <v>151</v>
      </c>
      <c r="F35" s="3" t="s">
        <v>220</v>
      </c>
      <c r="G35" s="3" t="s">
        <v>221</v>
      </c>
      <c r="H35" s="3" t="s">
        <v>123</v>
      </c>
      <c r="I35" s="3" t="s">
        <v>124</v>
      </c>
      <c r="J35" s="3" t="s">
        <v>125</v>
      </c>
      <c r="K35" s="3">
        <v>2021</v>
      </c>
      <c r="L35" s="9" t="s">
        <v>170</v>
      </c>
      <c r="M35" s="3">
        <v>99.1</v>
      </c>
      <c r="N35" s="3" t="s">
        <v>171</v>
      </c>
      <c r="O35" s="3" t="s">
        <v>128</v>
      </c>
      <c r="Q35" s="3" t="s">
        <v>232</v>
      </c>
    </row>
    <row r="36" spans="1:19" ht="31.15">
      <c r="A36" s="3" t="s">
        <v>119</v>
      </c>
      <c r="B36" s="3" t="s">
        <v>53</v>
      </c>
      <c r="C36" s="3">
        <v>2</v>
      </c>
      <c r="D36" s="3" t="s">
        <v>121</v>
      </c>
      <c r="E36" s="3" t="s">
        <v>154</v>
      </c>
      <c r="F36" s="3" t="s">
        <v>220</v>
      </c>
      <c r="G36" s="3" t="s">
        <v>221</v>
      </c>
      <c r="H36" s="3" t="s">
        <v>172</v>
      </c>
      <c r="I36" s="3" t="s">
        <v>124</v>
      </c>
      <c r="J36" s="3" t="s">
        <v>125</v>
      </c>
      <c r="K36" s="3">
        <v>2021</v>
      </c>
      <c r="L36" s="9" t="s">
        <v>170</v>
      </c>
      <c r="M36" s="3">
        <v>99.2</v>
      </c>
      <c r="N36" s="3" t="s">
        <v>173</v>
      </c>
      <c r="O36" s="3" t="s">
        <v>128</v>
      </c>
      <c r="Q36" s="3" t="s">
        <v>233</v>
      </c>
    </row>
    <row r="37" spans="1:19" ht="15.6">
      <c r="A37" s="3" t="s">
        <v>119</v>
      </c>
      <c r="B37" s="3" t="s">
        <v>53</v>
      </c>
      <c r="C37" s="3">
        <v>2</v>
      </c>
      <c r="D37" s="3" t="s">
        <v>121</v>
      </c>
      <c r="E37" s="3" t="s">
        <v>122</v>
      </c>
      <c r="F37" s="3" t="s">
        <v>225</v>
      </c>
      <c r="G37" s="3" t="s">
        <v>226</v>
      </c>
      <c r="H37" s="3" t="s">
        <v>141</v>
      </c>
      <c r="I37" s="3" t="s">
        <v>142</v>
      </c>
      <c r="J37" s="3" t="s">
        <v>143</v>
      </c>
      <c r="K37" s="3">
        <v>2021</v>
      </c>
      <c r="L37" s="9" t="s">
        <v>174</v>
      </c>
      <c r="M37" s="3">
        <v>3.9</v>
      </c>
      <c r="N37" s="3" t="s">
        <v>175</v>
      </c>
      <c r="O37" s="3" t="s">
        <v>128</v>
      </c>
      <c r="P37" s="3">
        <v>0.1</v>
      </c>
      <c r="Q37" s="3" t="s">
        <v>224</v>
      </c>
    </row>
    <row r="38" spans="1:19" ht="15.6">
      <c r="A38" s="3" t="s">
        <v>119</v>
      </c>
      <c r="B38" s="3" t="s">
        <v>53</v>
      </c>
      <c r="C38" s="3">
        <v>2</v>
      </c>
      <c r="D38" s="3" t="s">
        <v>130</v>
      </c>
      <c r="E38" s="3" t="s">
        <v>122</v>
      </c>
      <c r="F38" s="3" t="s">
        <v>225</v>
      </c>
      <c r="G38" s="3" t="s">
        <v>226</v>
      </c>
      <c r="H38" s="3" t="s">
        <v>141</v>
      </c>
      <c r="I38" s="3" t="s">
        <v>142</v>
      </c>
      <c r="J38" s="3" t="s">
        <v>143</v>
      </c>
      <c r="K38" s="3">
        <v>2021</v>
      </c>
      <c r="L38" s="9" t="s">
        <v>174</v>
      </c>
      <c r="M38" s="3">
        <v>4.2</v>
      </c>
      <c r="N38" s="3" t="s">
        <v>176</v>
      </c>
      <c r="O38" s="3" t="s">
        <v>128</v>
      </c>
      <c r="P38" s="3">
        <v>0.2</v>
      </c>
      <c r="Q38" s="3" t="s">
        <v>224</v>
      </c>
    </row>
    <row r="39" spans="1:19" ht="15.6">
      <c r="A39" s="3" t="s">
        <v>119</v>
      </c>
      <c r="B39" s="3" t="s">
        <v>53</v>
      </c>
      <c r="C39" s="3">
        <v>2</v>
      </c>
      <c r="D39" s="3" t="s">
        <v>133</v>
      </c>
      <c r="E39" s="3" t="s">
        <v>122</v>
      </c>
      <c r="F39" s="3" t="s">
        <v>225</v>
      </c>
      <c r="G39" s="3" t="s">
        <v>226</v>
      </c>
      <c r="H39" s="3" t="s">
        <v>141</v>
      </c>
      <c r="I39" s="3" t="s">
        <v>142</v>
      </c>
      <c r="J39" s="3" t="s">
        <v>143</v>
      </c>
      <c r="K39" s="3">
        <v>2021</v>
      </c>
      <c r="L39" s="9" t="s">
        <v>174</v>
      </c>
      <c r="M39" s="3">
        <v>4</v>
      </c>
      <c r="N39" s="3" t="s">
        <v>177</v>
      </c>
      <c r="O39" s="3" t="s">
        <v>128</v>
      </c>
      <c r="P39" s="3">
        <v>0.2</v>
      </c>
      <c r="Q39" s="3" t="s">
        <v>224</v>
      </c>
    </row>
    <row r="40" spans="1:19" ht="15.6">
      <c r="A40" s="3" t="s">
        <v>119</v>
      </c>
      <c r="B40" s="3" t="s">
        <v>53</v>
      </c>
      <c r="C40" s="3">
        <v>2</v>
      </c>
      <c r="D40" s="3" t="s">
        <v>135</v>
      </c>
      <c r="E40" s="3" t="s">
        <v>122</v>
      </c>
      <c r="F40" s="3" t="s">
        <v>225</v>
      </c>
      <c r="G40" s="3" t="s">
        <v>226</v>
      </c>
      <c r="H40" s="3" t="s">
        <v>141</v>
      </c>
      <c r="I40" s="3" t="s">
        <v>142</v>
      </c>
      <c r="J40" s="3" t="s">
        <v>143</v>
      </c>
      <c r="K40" s="3">
        <v>2021</v>
      </c>
      <c r="L40" s="9" t="s">
        <v>174</v>
      </c>
      <c r="M40" s="3">
        <v>3.8</v>
      </c>
      <c r="N40" s="3" t="s">
        <v>178</v>
      </c>
      <c r="O40" s="3" t="s">
        <v>128</v>
      </c>
      <c r="P40" s="3">
        <v>0.2</v>
      </c>
      <c r="Q40" s="3" t="s">
        <v>224</v>
      </c>
    </row>
    <row r="41" spans="1:19" ht="15.6">
      <c r="A41" s="3" t="s">
        <v>119</v>
      </c>
      <c r="B41" s="3" t="s">
        <v>53</v>
      </c>
      <c r="C41" s="3">
        <v>2</v>
      </c>
      <c r="D41" s="3" t="s">
        <v>137</v>
      </c>
      <c r="E41" s="3" t="s">
        <v>122</v>
      </c>
      <c r="F41" s="3" t="s">
        <v>225</v>
      </c>
      <c r="G41" s="3" t="s">
        <v>226</v>
      </c>
      <c r="H41" s="3" t="s">
        <v>141</v>
      </c>
      <c r="I41" s="3" t="s">
        <v>142</v>
      </c>
      <c r="J41" s="3" t="s">
        <v>143</v>
      </c>
      <c r="K41" s="3">
        <v>2021</v>
      </c>
      <c r="L41" s="9" t="s">
        <v>174</v>
      </c>
      <c r="M41" s="3">
        <v>3.7</v>
      </c>
      <c r="N41" s="3" t="s">
        <v>179</v>
      </c>
      <c r="O41" s="3" t="s">
        <v>128</v>
      </c>
      <c r="P41" s="3">
        <v>0.1</v>
      </c>
      <c r="Q41" s="3" t="s">
        <v>224</v>
      </c>
    </row>
    <row r="42" spans="1:19" ht="15.6">
      <c r="A42" s="3" t="s">
        <v>119</v>
      </c>
      <c r="B42" s="3" t="s">
        <v>53</v>
      </c>
      <c r="C42" s="3">
        <v>2</v>
      </c>
      <c r="D42" s="3" t="s">
        <v>139</v>
      </c>
      <c r="E42" s="3" t="s">
        <v>122</v>
      </c>
      <c r="F42" s="3" t="s">
        <v>225</v>
      </c>
      <c r="G42" s="3" t="s">
        <v>226</v>
      </c>
      <c r="H42" s="3" t="s">
        <v>141</v>
      </c>
      <c r="I42" s="3" t="s">
        <v>142</v>
      </c>
      <c r="J42" s="3" t="s">
        <v>143</v>
      </c>
      <c r="K42" s="3">
        <v>2021</v>
      </c>
      <c r="L42" s="9" t="s">
        <v>174</v>
      </c>
      <c r="M42" s="3">
        <v>3.8</v>
      </c>
      <c r="N42" s="3" t="s">
        <v>180</v>
      </c>
      <c r="O42" s="3" t="s">
        <v>128</v>
      </c>
      <c r="P42" s="3">
        <v>0.1</v>
      </c>
      <c r="Q42" s="3" t="s">
        <v>224</v>
      </c>
    </row>
    <row r="43" spans="1:19" ht="15.6">
      <c r="A43" s="3" t="s">
        <v>119</v>
      </c>
      <c r="B43" s="3" t="s">
        <v>53</v>
      </c>
      <c r="C43" s="3">
        <v>2</v>
      </c>
      <c r="D43" s="3" t="s">
        <v>121</v>
      </c>
      <c r="E43" s="3" t="s">
        <v>122</v>
      </c>
      <c r="F43" s="3" t="s">
        <v>225</v>
      </c>
      <c r="G43" s="3" t="s">
        <v>226</v>
      </c>
      <c r="H43" s="3" t="s">
        <v>141</v>
      </c>
      <c r="I43" s="3" t="s">
        <v>228</v>
      </c>
      <c r="J43" s="3" t="s">
        <v>143</v>
      </c>
      <c r="K43" s="3">
        <v>2021</v>
      </c>
      <c r="L43" s="9" t="s">
        <v>174</v>
      </c>
      <c r="M43" s="7">
        <f>(4.7 - 2.9)/1.35</f>
        <v>1.3333333333333335</v>
      </c>
      <c r="Q43" s="3" t="s">
        <v>229</v>
      </c>
      <c r="S43" s="3" t="s">
        <v>231</v>
      </c>
    </row>
    <row r="44" spans="1:19" ht="15.6">
      <c r="A44" s="3" t="s">
        <v>119</v>
      </c>
      <c r="B44" s="3" t="s">
        <v>53</v>
      </c>
      <c r="C44" s="3">
        <v>2</v>
      </c>
      <c r="D44" s="3" t="s">
        <v>130</v>
      </c>
      <c r="E44" s="3" t="s">
        <v>122</v>
      </c>
      <c r="F44" s="3" t="s">
        <v>225</v>
      </c>
      <c r="G44" s="3" t="s">
        <v>226</v>
      </c>
      <c r="H44" s="3" t="s">
        <v>141</v>
      </c>
      <c r="I44" s="3" t="s">
        <v>228</v>
      </c>
      <c r="J44" s="3" t="s">
        <v>143</v>
      </c>
      <c r="K44" s="3">
        <v>2021</v>
      </c>
      <c r="L44" s="9" t="s">
        <v>174</v>
      </c>
      <c r="M44" s="7">
        <f>(5.1-2.9)/1.35</f>
        <v>1.6296296296296293</v>
      </c>
      <c r="Q44" s="3" t="s">
        <v>229</v>
      </c>
      <c r="S44" s="3" t="s">
        <v>231</v>
      </c>
    </row>
    <row r="45" spans="1:19" ht="15.6">
      <c r="A45" s="3" t="s">
        <v>119</v>
      </c>
      <c r="B45" s="3" t="s">
        <v>53</v>
      </c>
      <c r="C45" s="3">
        <v>2</v>
      </c>
      <c r="D45" s="3" t="s">
        <v>133</v>
      </c>
      <c r="E45" s="3" t="s">
        <v>122</v>
      </c>
      <c r="F45" s="3" t="s">
        <v>225</v>
      </c>
      <c r="G45" s="3" t="s">
        <v>226</v>
      </c>
      <c r="H45" s="3" t="s">
        <v>141</v>
      </c>
      <c r="I45" s="3" t="s">
        <v>228</v>
      </c>
      <c r="J45" s="3" t="s">
        <v>143</v>
      </c>
      <c r="K45" s="3">
        <v>2021</v>
      </c>
      <c r="L45" s="9" t="s">
        <v>174</v>
      </c>
      <c r="M45" s="7">
        <f>(4.9-2.8)/1.35</f>
        <v>1.5555555555555558</v>
      </c>
      <c r="Q45" s="3" t="s">
        <v>229</v>
      </c>
      <c r="S45" s="3" t="s">
        <v>231</v>
      </c>
    </row>
    <row r="46" spans="1:19" ht="15.6">
      <c r="A46" s="3" t="s">
        <v>119</v>
      </c>
      <c r="B46" s="3" t="s">
        <v>53</v>
      </c>
      <c r="C46" s="3">
        <v>2</v>
      </c>
      <c r="D46" s="3" t="s">
        <v>135</v>
      </c>
      <c r="E46" s="3" t="s">
        <v>122</v>
      </c>
      <c r="F46" s="3" t="s">
        <v>225</v>
      </c>
      <c r="G46" s="3" t="s">
        <v>226</v>
      </c>
      <c r="H46" s="3" t="s">
        <v>141</v>
      </c>
      <c r="I46" s="3" t="s">
        <v>228</v>
      </c>
      <c r="J46" s="3" t="s">
        <v>143</v>
      </c>
      <c r="K46" s="3">
        <v>2021</v>
      </c>
      <c r="L46" s="9" t="s">
        <v>174</v>
      </c>
      <c r="M46" s="7">
        <f>(4.5-3)/1.35</f>
        <v>1.1111111111111109</v>
      </c>
      <c r="Q46" s="3" t="s">
        <v>229</v>
      </c>
      <c r="S46" s="3" t="s">
        <v>231</v>
      </c>
    </row>
    <row r="47" spans="1:19" ht="15.6">
      <c r="A47" s="3" t="s">
        <v>119</v>
      </c>
      <c r="B47" s="3" t="s">
        <v>53</v>
      </c>
      <c r="C47" s="3">
        <v>2</v>
      </c>
      <c r="D47" s="3" t="s">
        <v>137</v>
      </c>
      <c r="E47" s="3" t="s">
        <v>122</v>
      </c>
      <c r="F47" s="3" t="s">
        <v>225</v>
      </c>
      <c r="G47" s="3" t="s">
        <v>226</v>
      </c>
      <c r="H47" s="3" t="s">
        <v>141</v>
      </c>
      <c r="I47" s="3" t="s">
        <v>228</v>
      </c>
      <c r="J47" s="3" t="s">
        <v>143</v>
      </c>
      <c r="K47" s="3">
        <v>2021</v>
      </c>
      <c r="L47" s="9" t="s">
        <v>174</v>
      </c>
      <c r="M47" s="7">
        <f>(4.4-2.8)/1.35</f>
        <v>1.1851851851851856</v>
      </c>
      <c r="Q47" s="3" t="s">
        <v>229</v>
      </c>
      <c r="S47" s="3" t="s">
        <v>231</v>
      </c>
    </row>
    <row r="48" spans="1:19" ht="15.6">
      <c r="A48" s="3" t="s">
        <v>119</v>
      </c>
      <c r="B48" s="3" t="s">
        <v>53</v>
      </c>
      <c r="C48" s="3">
        <v>2</v>
      </c>
      <c r="D48" s="3" t="s">
        <v>139</v>
      </c>
      <c r="E48" s="3" t="s">
        <v>122</v>
      </c>
      <c r="F48" s="3" t="s">
        <v>225</v>
      </c>
      <c r="G48" s="3" t="s">
        <v>226</v>
      </c>
      <c r="H48" s="3" t="s">
        <v>141</v>
      </c>
      <c r="I48" s="3" t="s">
        <v>228</v>
      </c>
      <c r="J48" s="3" t="s">
        <v>143</v>
      </c>
      <c r="K48" s="3">
        <v>2021</v>
      </c>
      <c r="L48" s="9" t="s">
        <v>174</v>
      </c>
      <c r="M48" s="7">
        <f>(4.5-2.9)/1.35</f>
        <v>1.1851851851851851</v>
      </c>
      <c r="Q48" s="3" t="s">
        <v>229</v>
      </c>
      <c r="S48" s="3" t="s">
        <v>231</v>
      </c>
    </row>
    <row r="49" spans="1:19" ht="15.6">
      <c r="A49" s="3" t="s">
        <v>119</v>
      </c>
      <c r="B49" s="3" t="s">
        <v>53</v>
      </c>
      <c r="C49" s="3">
        <v>2</v>
      </c>
      <c r="D49" s="3" t="s">
        <v>121</v>
      </c>
      <c r="E49" s="3" t="s">
        <v>151</v>
      </c>
      <c r="F49" s="3" t="s">
        <v>225</v>
      </c>
      <c r="G49" s="3" t="s">
        <v>226</v>
      </c>
      <c r="H49" s="3" t="s">
        <v>141</v>
      </c>
      <c r="I49" s="3" t="s">
        <v>142</v>
      </c>
      <c r="J49" s="3" t="s">
        <v>143</v>
      </c>
      <c r="K49" s="3">
        <v>2021</v>
      </c>
      <c r="L49" s="9" t="s">
        <v>174</v>
      </c>
      <c r="M49" s="3">
        <v>4.2</v>
      </c>
      <c r="N49" s="3" t="s">
        <v>181</v>
      </c>
      <c r="O49" s="3" t="s">
        <v>128</v>
      </c>
      <c r="P49" s="3">
        <v>0.2</v>
      </c>
      <c r="Q49" s="3" t="s">
        <v>240</v>
      </c>
    </row>
    <row r="50" spans="1:19" ht="15.6">
      <c r="A50" s="3" t="s">
        <v>119</v>
      </c>
      <c r="B50" s="3" t="s">
        <v>53</v>
      </c>
      <c r="C50" s="3">
        <v>2</v>
      </c>
      <c r="D50" s="3" t="s">
        <v>121</v>
      </c>
      <c r="E50" s="3" t="s">
        <v>151</v>
      </c>
      <c r="F50" s="3" t="s">
        <v>225</v>
      </c>
      <c r="G50" s="3" t="s">
        <v>226</v>
      </c>
      <c r="H50" s="3" t="s">
        <v>141</v>
      </c>
      <c r="I50" s="3" t="s">
        <v>228</v>
      </c>
      <c r="J50" s="3" t="s">
        <v>143</v>
      </c>
      <c r="K50" s="3">
        <v>2021</v>
      </c>
      <c r="L50" s="9" t="s">
        <v>174</v>
      </c>
      <c r="M50" s="7">
        <f>(5.2 - 2.8)/1.35</f>
        <v>1.7777777777777779</v>
      </c>
      <c r="Q50" s="3" t="s">
        <v>229</v>
      </c>
      <c r="S50" s="3" t="s">
        <v>231</v>
      </c>
    </row>
    <row r="51" spans="1:19" ht="31.15">
      <c r="A51" s="3" t="s">
        <v>119</v>
      </c>
      <c r="B51" s="3" t="s">
        <v>53</v>
      </c>
      <c r="C51" s="3">
        <v>2</v>
      </c>
      <c r="D51" s="3" t="s">
        <v>121</v>
      </c>
      <c r="E51" s="3" t="s">
        <v>154</v>
      </c>
      <c r="F51" s="3" t="s">
        <v>225</v>
      </c>
      <c r="G51" s="3" t="s">
        <v>226</v>
      </c>
      <c r="H51" s="3" t="s">
        <v>155</v>
      </c>
      <c r="I51" s="3" t="s">
        <v>142</v>
      </c>
      <c r="J51" s="3" t="s">
        <v>143</v>
      </c>
      <c r="K51" s="3">
        <v>2021</v>
      </c>
      <c r="L51" s="9" t="s">
        <v>182</v>
      </c>
      <c r="M51" s="3">
        <v>2.6</v>
      </c>
      <c r="N51" s="3" t="s">
        <v>183</v>
      </c>
      <c r="O51" s="3" t="s">
        <v>128</v>
      </c>
      <c r="P51" s="3">
        <v>0.1</v>
      </c>
      <c r="Q51" s="3" t="s">
        <v>233</v>
      </c>
    </row>
    <row r="52" spans="1:19" ht="31.15">
      <c r="A52" s="3" t="s">
        <v>119</v>
      </c>
      <c r="B52" s="3" t="s">
        <v>53</v>
      </c>
      <c r="C52" s="3">
        <v>2</v>
      </c>
      <c r="D52" s="3" t="s">
        <v>121</v>
      </c>
      <c r="E52" s="3" t="s">
        <v>158</v>
      </c>
      <c r="F52" s="3" t="s">
        <v>225</v>
      </c>
      <c r="G52" s="3" t="s">
        <v>226</v>
      </c>
      <c r="H52" s="3" t="s">
        <v>155</v>
      </c>
      <c r="I52" s="3" t="s">
        <v>142</v>
      </c>
      <c r="J52" s="3" t="s">
        <v>143</v>
      </c>
      <c r="K52" s="3">
        <v>2021</v>
      </c>
      <c r="L52" s="9" t="s">
        <v>182</v>
      </c>
      <c r="M52" s="3">
        <v>2.7</v>
      </c>
      <c r="N52" s="3" t="s">
        <v>184</v>
      </c>
      <c r="O52" s="3" t="s">
        <v>128</v>
      </c>
      <c r="P52" s="3">
        <v>0.1</v>
      </c>
      <c r="Q52" s="3" t="s">
        <v>233</v>
      </c>
    </row>
    <row r="53" spans="1:19" ht="31.15">
      <c r="A53" s="3" t="s">
        <v>119</v>
      </c>
      <c r="B53" s="3" t="s">
        <v>53</v>
      </c>
      <c r="C53" s="3">
        <v>2</v>
      </c>
      <c r="D53" s="3" t="s">
        <v>121</v>
      </c>
      <c r="E53" s="3" t="s">
        <v>161</v>
      </c>
      <c r="F53" s="3" t="s">
        <v>225</v>
      </c>
      <c r="G53" s="3" t="s">
        <v>226</v>
      </c>
      <c r="H53" s="3" t="s">
        <v>155</v>
      </c>
      <c r="I53" s="3" t="s">
        <v>142</v>
      </c>
      <c r="J53" s="3" t="s">
        <v>143</v>
      </c>
      <c r="K53" s="3">
        <v>2021</v>
      </c>
      <c r="L53" s="9" t="s">
        <v>182</v>
      </c>
      <c r="M53" s="3">
        <v>2.5</v>
      </c>
      <c r="N53" s="3" t="s">
        <v>185</v>
      </c>
      <c r="O53" s="3" t="s">
        <v>128</v>
      </c>
      <c r="P53" s="3">
        <v>0.1</v>
      </c>
      <c r="Q53" s="3" t="s">
        <v>233</v>
      </c>
    </row>
    <row r="54" spans="1:19" ht="15.6">
      <c r="A54" s="3" t="s">
        <v>119</v>
      </c>
      <c r="B54" s="3" t="s">
        <v>53</v>
      </c>
      <c r="C54" s="3">
        <v>2</v>
      </c>
      <c r="D54" s="3" t="s">
        <v>121</v>
      </c>
      <c r="E54" s="3" t="s">
        <v>154</v>
      </c>
      <c r="F54" s="3" t="s">
        <v>225</v>
      </c>
      <c r="G54" s="3" t="s">
        <v>226</v>
      </c>
      <c r="H54" s="3" t="s">
        <v>155</v>
      </c>
      <c r="I54" s="3" t="s">
        <v>228</v>
      </c>
      <c r="J54" s="3" t="s">
        <v>143</v>
      </c>
      <c r="K54" s="3">
        <v>2021</v>
      </c>
      <c r="L54" s="9" t="s">
        <v>182</v>
      </c>
      <c r="M54" s="7">
        <f>(3.3-1.8)/1.35</f>
        <v>1.1111111111111109</v>
      </c>
      <c r="Q54" s="3" t="s">
        <v>229</v>
      </c>
      <c r="S54" s="3" t="s">
        <v>231</v>
      </c>
    </row>
    <row r="55" spans="1:19" ht="15.6">
      <c r="A55" s="3" t="s">
        <v>119</v>
      </c>
      <c r="B55" s="3" t="s">
        <v>53</v>
      </c>
      <c r="C55" s="3">
        <v>2</v>
      </c>
      <c r="D55" s="3" t="s">
        <v>121</v>
      </c>
      <c r="E55" s="3" t="s">
        <v>158</v>
      </c>
      <c r="F55" s="3" t="s">
        <v>225</v>
      </c>
      <c r="G55" s="3" t="s">
        <v>226</v>
      </c>
      <c r="H55" s="3" t="s">
        <v>155</v>
      </c>
      <c r="I55" s="3" t="s">
        <v>228</v>
      </c>
      <c r="J55" s="3" t="s">
        <v>143</v>
      </c>
      <c r="K55" s="3">
        <v>2021</v>
      </c>
      <c r="L55" s="9" t="s">
        <v>182</v>
      </c>
      <c r="M55" s="7">
        <f>(3.5-1.6)/1.35</f>
        <v>1.4074074074074072</v>
      </c>
      <c r="Q55" s="3" t="s">
        <v>229</v>
      </c>
      <c r="S55" s="3" t="s">
        <v>231</v>
      </c>
    </row>
    <row r="56" spans="1:19" ht="15.6">
      <c r="A56" s="3" t="s">
        <v>119</v>
      </c>
      <c r="B56" s="3" t="s">
        <v>53</v>
      </c>
      <c r="C56" s="3">
        <v>2</v>
      </c>
      <c r="D56" s="3" t="s">
        <v>121</v>
      </c>
      <c r="E56" s="3" t="s">
        <v>161</v>
      </c>
      <c r="F56" s="3" t="s">
        <v>225</v>
      </c>
      <c r="G56" s="3" t="s">
        <v>226</v>
      </c>
      <c r="H56" s="3" t="s">
        <v>155</v>
      </c>
      <c r="I56" s="3" t="s">
        <v>228</v>
      </c>
      <c r="J56" s="3" t="s">
        <v>143</v>
      </c>
      <c r="K56" s="3">
        <v>2021</v>
      </c>
      <c r="L56" s="9" t="s">
        <v>182</v>
      </c>
      <c r="M56" s="7">
        <f>(3-1.9)/1.35</f>
        <v>0.81481481481481488</v>
      </c>
      <c r="Q56" s="3" t="s">
        <v>229</v>
      </c>
      <c r="S56" s="3" t="s">
        <v>231</v>
      </c>
    </row>
    <row r="57" spans="1:19" ht="31.15">
      <c r="A57" s="3" t="s">
        <v>119</v>
      </c>
      <c r="B57" s="3" t="s">
        <v>53</v>
      </c>
      <c r="C57" s="3">
        <v>2</v>
      </c>
      <c r="D57" s="3" t="s">
        <v>121</v>
      </c>
      <c r="E57" s="3" t="s">
        <v>196</v>
      </c>
      <c r="F57" s="3" t="s">
        <v>235</v>
      </c>
      <c r="G57" s="3" t="s">
        <v>236</v>
      </c>
      <c r="H57" s="3" t="s">
        <v>237</v>
      </c>
      <c r="I57" s="3" t="s">
        <v>124</v>
      </c>
      <c r="J57" s="3" t="s">
        <v>125</v>
      </c>
      <c r="K57" s="3">
        <v>2024</v>
      </c>
      <c r="L57" s="3" t="s">
        <v>241</v>
      </c>
      <c r="M57" s="3">
        <v>95</v>
      </c>
      <c r="Q57" s="3" t="s">
        <v>242</v>
      </c>
      <c r="R57" s="3" t="s">
        <v>243</v>
      </c>
      <c r="S57" t="s">
        <v>244</v>
      </c>
    </row>
    <row r="58" spans="1:19" ht="31.15">
      <c r="A58" s="3" t="s">
        <v>119</v>
      </c>
      <c r="B58" s="3" t="s">
        <v>53</v>
      </c>
      <c r="C58" s="3">
        <v>2</v>
      </c>
      <c r="D58" s="3" t="s">
        <v>121</v>
      </c>
      <c r="E58" s="3" t="s">
        <v>196</v>
      </c>
      <c r="F58" s="3" t="s">
        <v>235</v>
      </c>
      <c r="G58" s="3" t="s">
        <v>236</v>
      </c>
      <c r="H58" s="3" t="s">
        <v>237</v>
      </c>
      <c r="I58" s="3" t="s">
        <v>124</v>
      </c>
      <c r="J58" s="3" t="s">
        <v>125</v>
      </c>
      <c r="K58" s="3">
        <v>2024</v>
      </c>
      <c r="L58" s="3" t="s">
        <v>241</v>
      </c>
      <c r="M58" s="3" t="s">
        <v>245</v>
      </c>
      <c r="Q58" s="3" t="s">
        <v>224</v>
      </c>
      <c r="R58" t="s">
        <v>246</v>
      </c>
      <c r="S58" t="s">
        <v>247</v>
      </c>
    </row>
    <row r="59" spans="1:19" ht="15.6">
      <c r="A59" s="3" t="s">
        <v>119</v>
      </c>
      <c r="B59" s="3" t="s">
        <v>95</v>
      </c>
      <c r="C59" s="3">
        <v>1</v>
      </c>
      <c r="D59" s="3" t="s">
        <v>121</v>
      </c>
      <c r="E59" s="3" t="s">
        <v>122</v>
      </c>
      <c r="F59" s="3" t="s">
        <v>220</v>
      </c>
      <c r="G59" s="3" t="s">
        <v>221</v>
      </c>
      <c r="H59" s="3" t="s">
        <v>123</v>
      </c>
      <c r="I59" s="3" t="s">
        <v>124</v>
      </c>
      <c r="J59" s="3" t="s">
        <v>125</v>
      </c>
      <c r="K59" s="3">
        <v>2021</v>
      </c>
      <c r="L59" s="9" t="s">
        <v>248</v>
      </c>
      <c r="M59" s="3">
        <v>98.1</v>
      </c>
      <c r="N59" s="12" t="s">
        <v>249</v>
      </c>
      <c r="O59" s="3" t="s">
        <v>128</v>
      </c>
      <c r="Q59" s="3" t="s">
        <v>224</v>
      </c>
    </row>
    <row r="60" spans="1:19" ht="15.75" customHeight="1">
      <c r="A60" s="3" t="s">
        <v>119</v>
      </c>
      <c r="B60" s="3" t="s">
        <v>95</v>
      </c>
      <c r="C60" s="3">
        <v>1</v>
      </c>
      <c r="D60" s="3" t="s">
        <v>130</v>
      </c>
      <c r="E60" s="3" t="s">
        <v>122</v>
      </c>
      <c r="F60" s="3" t="s">
        <v>220</v>
      </c>
      <c r="G60" s="3" t="s">
        <v>221</v>
      </c>
      <c r="H60" s="3" t="s">
        <v>123</v>
      </c>
      <c r="I60" s="3" t="s">
        <v>124</v>
      </c>
      <c r="J60" s="3" t="s">
        <v>125</v>
      </c>
      <c r="K60" s="3">
        <v>2021</v>
      </c>
      <c r="L60" s="9" t="s">
        <v>248</v>
      </c>
      <c r="M60" s="3">
        <v>96.3</v>
      </c>
      <c r="N60" s="12" t="s">
        <v>250</v>
      </c>
      <c r="O60" s="3" t="s">
        <v>128</v>
      </c>
      <c r="Q60" s="3" t="s">
        <v>224</v>
      </c>
    </row>
    <row r="61" spans="1:19" ht="15.75" customHeight="1">
      <c r="A61" s="3" t="s">
        <v>119</v>
      </c>
      <c r="B61" s="3" t="s">
        <v>95</v>
      </c>
      <c r="C61" s="3">
        <v>1</v>
      </c>
      <c r="D61" s="3" t="s">
        <v>133</v>
      </c>
      <c r="E61" s="3" t="s">
        <v>122</v>
      </c>
      <c r="F61" s="3" t="s">
        <v>220</v>
      </c>
      <c r="G61" s="3" t="s">
        <v>221</v>
      </c>
      <c r="H61" s="3" t="s">
        <v>123</v>
      </c>
      <c r="I61" s="3" t="s">
        <v>124</v>
      </c>
      <c r="J61" s="3" t="s">
        <v>125</v>
      </c>
      <c r="K61" s="3">
        <v>2021</v>
      </c>
      <c r="L61" s="9" t="s">
        <v>248</v>
      </c>
      <c r="M61" s="3">
        <v>98.1</v>
      </c>
      <c r="N61" s="3" t="s">
        <v>251</v>
      </c>
      <c r="O61" s="3" t="s">
        <v>128</v>
      </c>
      <c r="Q61" s="3" t="s">
        <v>224</v>
      </c>
    </row>
    <row r="62" spans="1:19" ht="15.75" customHeight="1">
      <c r="A62" s="3" t="s">
        <v>119</v>
      </c>
      <c r="B62" s="3" t="s">
        <v>95</v>
      </c>
      <c r="C62" s="3">
        <v>1</v>
      </c>
      <c r="D62" s="3" t="s">
        <v>135</v>
      </c>
      <c r="E62" s="3" t="s">
        <v>122</v>
      </c>
      <c r="F62" s="3" t="s">
        <v>220</v>
      </c>
      <c r="G62" s="3" t="s">
        <v>221</v>
      </c>
      <c r="H62" s="3" t="s">
        <v>123</v>
      </c>
      <c r="I62" s="3" t="s">
        <v>124</v>
      </c>
      <c r="J62" s="3" t="s">
        <v>125</v>
      </c>
      <c r="K62" s="3">
        <v>2021</v>
      </c>
      <c r="L62" s="9" t="s">
        <v>248</v>
      </c>
      <c r="M62" s="3">
        <v>99.2</v>
      </c>
      <c r="N62" s="12" t="s">
        <v>171</v>
      </c>
      <c r="O62" s="3" t="s">
        <v>128</v>
      </c>
      <c r="Q62" s="3" t="s">
        <v>224</v>
      </c>
    </row>
    <row r="63" spans="1:19" ht="15.75" customHeight="1">
      <c r="A63" s="3" t="s">
        <v>119</v>
      </c>
      <c r="B63" s="3" t="s">
        <v>95</v>
      </c>
      <c r="C63" s="3">
        <v>1</v>
      </c>
      <c r="D63" s="3" t="s">
        <v>137</v>
      </c>
      <c r="E63" s="3" t="s">
        <v>122</v>
      </c>
      <c r="F63" s="3" t="s">
        <v>220</v>
      </c>
      <c r="G63" s="3" t="s">
        <v>221</v>
      </c>
      <c r="H63" s="3" t="s">
        <v>123</v>
      </c>
      <c r="I63" s="3" t="s">
        <v>124</v>
      </c>
      <c r="J63" s="3" t="s">
        <v>125</v>
      </c>
      <c r="K63" s="3">
        <v>2021</v>
      </c>
      <c r="L63" s="9" t="s">
        <v>248</v>
      </c>
      <c r="M63" s="3">
        <v>98.6</v>
      </c>
      <c r="N63" s="12" t="s">
        <v>252</v>
      </c>
      <c r="O63" s="3" t="s">
        <v>128</v>
      </c>
      <c r="Q63" s="3" t="s">
        <v>224</v>
      </c>
    </row>
    <row r="64" spans="1:19" ht="15.75" customHeight="1">
      <c r="A64" s="3" t="s">
        <v>119</v>
      </c>
      <c r="B64" s="3" t="s">
        <v>95</v>
      </c>
      <c r="C64" s="3">
        <v>1</v>
      </c>
      <c r="D64" s="3" t="s">
        <v>139</v>
      </c>
      <c r="E64" s="3" t="s">
        <v>122</v>
      </c>
      <c r="F64" s="3" t="s">
        <v>220</v>
      </c>
      <c r="G64" s="3" t="s">
        <v>221</v>
      </c>
      <c r="H64" s="3" t="s">
        <v>123</v>
      </c>
      <c r="I64" s="3" t="s">
        <v>124</v>
      </c>
      <c r="J64" s="3" t="s">
        <v>125</v>
      </c>
      <c r="K64" s="3">
        <v>2021</v>
      </c>
      <c r="L64" s="9" t="s">
        <v>248</v>
      </c>
      <c r="M64" s="3">
        <v>98.6</v>
      </c>
      <c r="N64" s="3" t="s">
        <v>253</v>
      </c>
      <c r="O64" s="3" t="s">
        <v>128</v>
      </c>
      <c r="Q64" s="3" t="s">
        <v>224</v>
      </c>
    </row>
    <row r="65" spans="1:18" ht="15.75" customHeight="1">
      <c r="A65" s="3" t="s">
        <v>119</v>
      </c>
      <c r="B65" s="3" t="s">
        <v>95</v>
      </c>
      <c r="C65" s="3">
        <v>1</v>
      </c>
      <c r="D65" s="3" t="s">
        <v>121</v>
      </c>
      <c r="E65" s="3" t="s">
        <v>151</v>
      </c>
      <c r="F65" s="3" t="s">
        <v>220</v>
      </c>
      <c r="G65" s="3" t="s">
        <v>221</v>
      </c>
      <c r="H65" s="3" t="s">
        <v>123</v>
      </c>
      <c r="I65" s="3" t="s">
        <v>124</v>
      </c>
      <c r="J65" s="3" t="s">
        <v>125</v>
      </c>
      <c r="K65" s="3">
        <v>2021</v>
      </c>
      <c r="L65" s="9" t="s">
        <v>254</v>
      </c>
      <c r="M65" s="3">
        <v>98.6</v>
      </c>
      <c r="N65" s="3" t="s">
        <v>255</v>
      </c>
      <c r="O65" s="3" t="s">
        <v>128</v>
      </c>
      <c r="Q65" s="3" t="s">
        <v>256</v>
      </c>
    </row>
    <row r="66" spans="1:18" ht="15.75" customHeight="1">
      <c r="A66" s="3" t="s">
        <v>119</v>
      </c>
      <c r="B66" s="3" t="s">
        <v>95</v>
      </c>
      <c r="C66" s="3">
        <v>1</v>
      </c>
      <c r="D66" s="3" t="s">
        <v>121</v>
      </c>
      <c r="E66" s="3" t="s">
        <v>154</v>
      </c>
      <c r="F66" s="3" t="s">
        <v>220</v>
      </c>
      <c r="G66" s="3" t="s">
        <v>221</v>
      </c>
      <c r="H66" s="3" t="s">
        <v>123</v>
      </c>
      <c r="I66" s="3" t="s">
        <v>124</v>
      </c>
      <c r="J66" s="3" t="s">
        <v>125</v>
      </c>
      <c r="K66" s="3">
        <v>2021</v>
      </c>
      <c r="L66" s="9" t="s">
        <v>254</v>
      </c>
      <c r="M66" s="3">
        <v>98.8</v>
      </c>
      <c r="N66" s="3" t="s">
        <v>257</v>
      </c>
      <c r="O66" s="3" t="s">
        <v>128</v>
      </c>
      <c r="Q66" s="3" t="s">
        <v>233</v>
      </c>
    </row>
    <row r="67" spans="1:18" ht="15.75" customHeight="1">
      <c r="A67" s="3" t="s">
        <v>119</v>
      </c>
      <c r="B67" s="3" t="s">
        <v>95</v>
      </c>
      <c r="C67" s="3">
        <v>1</v>
      </c>
      <c r="D67" s="3" t="s">
        <v>121</v>
      </c>
      <c r="E67" s="3" t="s">
        <v>122</v>
      </c>
      <c r="F67" s="3" t="s">
        <v>225</v>
      </c>
      <c r="G67" s="3" t="s">
        <v>226</v>
      </c>
      <c r="H67" s="3" t="s">
        <v>141</v>
      </c>
      <c r="I67" s="3" t="s">
        <v>142</v>
      </c>
      <c r="J67" s="3" t="s">
        <v>143</v>
      </c>
      <c r="K67" s="3">
        <v>2021</v>
      </c>
      <c r="L67" s="9" t="s">
        <v>258</v>
      </c>
      <c r="M67" s="3">
        <v>6.3</v>
      </c>
      <c r="N67" s="12" t="s">
        <v>259</v>
      </c>
      <c r="O67" s="3" t="s">
        <v>128</v>
      </c>
      <c r="P67" s="3">
        <v>0.1</v>
      </c>
      <c r="Q67" s="3" t="s">
        <v>224</v>
      </c>
    </row>
    <row r="68" spans="1:18" ht="15.75" customHeight="1">
      <c r="A68" s="3" t="s">
        <v>119</v>
      </c>
      <c r="B68" s="3" t="s">
        <v>95</v>
      </c>
      <c r="C68" s="3">
        <v>1</v>
      </c>
      <c r="D68" s="3" t="s">
        <v>130</v>
      </c>
      <c r="E68" s="3" t="s">
        <v>122</v>
      </c>
      <c r="F68" s="3" t="s">
        <v>225</v>
      </c>
      <c r="G68" s="3" t="s">
        <v>226</v>
      </c>
      <c r="H68" s="3" t="s">
        <v>141</v>
      </c>
      <c r="I68" s="3" t="s">
        <v>142</v>
      </c>
      <c r="J68" s="3" t="s">
        <v>143</v>
      </c>
      <c r="K68" s="3">
        <v>2021</v>
      </c>
      <c r="L68" s="9" t="s">
        <v>258</v>
      </c>
      <c r="M68" s="3">
        <v>8.4</v>
      </c>
      <c r="N68" s="12" t="s">
        <v>260</v>
      </c>
      <c r="O68" s="3" t="s">
        <v>128</v>
      </c>
      <c r="Q68" s="3" t="s">
        <v>224</v>
      </c>
    </row>
    <row r="69" spans="1:18" ht="15.75" customHeight="1">
      <c r="A69" s="3" t="s">
        <v>119</v>
      </c>
      <c r="B69" s="3" t="s">
        <v>95</v>
      </c>
      <c r="C69" s="3">
        <v>1</v>
      </c>
      <c r="D69" s="3" t="s">
        <v>133</v>
      </c>
      <c r="E69" s="3" t="s">
        <v>122</v>
      </c>
      <c r="F69" s="3" t="s">
        <v>225</v>
      </c>
      <c r="G69" s="3" t="s">
        <v>226</v>
      </c>
      <c r="H69" s="3" t="s">
        <v>141</v>
      </c>
      <c r="I69" s="3" t="s">
        <v>142</v>
      </c>
      <c r="J69" s="3" t="s">
        <v>143</v>
      </c>
      <c r="K69" s="3">
        <v>2021</v>
      </c>
      <c r="L69" s="9" t="s">
        <v>258</v>
      </c>
      <c r="M69" s="3">
        <v>8</v>
      </c>
      <c r="N69" s="3" t="s">
        <v>261</v>
      </c>
      <c r="O69" s="3" t="s">
        <v>128</v>
      </c>
      <c r="Q69" s="3" t="s">
        <v>224</v>
      </c>
    </row>
    <row r="70" spans="1:18" ht="15.75" customHeight="1">
      <c r="A70" s="3" t="s">
        <v>119</v>
      </c>
      <c r="B70" s="3" t="s">
        <v>95</v>
      </c>
      <c r="C70" s="3">
        <v>1</v>
      </c>
      <c r="D70" s="3" t="s">
        <v>135</v>
      </c>
      <c r="E70" s="3" t="s">
        <v>122</v>
      </c>
      <c r="F70" s="3" t="s">
        <v>225</v>
      </c>
      <c r="G70" s="3" t="s">
        <v>226</v>
      </c>
      <c r="H70" s="3" t="s">
        <v>141</v>
      </c>
      <c r="I70" s="3" t="s">
        <v>142</v>
      </c>
      <c r="J70" s="3" t="s">
        <v>143</v>
      </c>
      <c r="K70" s="3">
        <v>2021</v>
      </c>
      <c r="L70" s="9" t="s">
        <v>258</v>
      </c>
      <c r="M70" s="3">
        <v>5.9</v>
      </c>
      <c r="N70" s="3" t="s">
        <v>262</v>
      </c>
      <c r="O70" s="3" t="s">
        <v>128</v>
      </c>
      <c r="Q70" s="3" t="s">
        <v>224</v>
      </c>
    </row>
    <row r="71" spans="1:18" ht="15.75" customHeight="1">
      <c r="A71" s="3" t="s">
        <v>119</v>
      </c>
      <c r="B71" s="3" t="s">
        <v>95</v>
      </c>
      <c r="C71" s="3">
        <v>1</v>
      </c>
      <c r="D71" s="3" t="s">
        <v>137</v>
      </c>
      <c r="E71" s="3" t="s">
        <v>122</v>
      </c>
      <c r="F71" s="3" t="s">
        <v>225</v>
      </c>
      <c r="G71" s="3" t="s">
        <v>226</v>
      </c>
      <c r="H71" s="3" t="s">
        <v>141</v>
      </c>
      <c r="I71" s="3" t="s">
        <v>142</v>
      </c>
      <c r="J71" s="3" t="s">
        <v>143</v>
      </c>
      <c r="K71" s="3">
        <v>2021</v>
      </c>
      <c r="L71" s="9" t="s">
        <v>258</v>
      </c>
      <c r="M71" s="3">
        <v>4.9000000000000004</v>
      </c>
      <c r="N71" s="12" t="s">
        <v>263</v>
      </c>
      <c r="O71" s="3" t="s">
        <v>128</v>
      </c>
      <c r="Q71" s="3" t="s">
        <v>224</v>
      </c>
    </row>
    <row r="72" spans="1:18" ht="15.75" customHeight="1">
      <c r="A72" s="3" t="s">
        <v>119</v>
      </c>
      <c r="B72" s="3" t="s">
        <v>95</v>
      </c>
      <c r="C72" s="3">
        <v>1</v>
      </c>
      <c r="D72" s="3" t="s">
        <v>139</v>
      </c>
      <c r="E72" s="3" t="s">
        <v>122</v>
      </c>
      <c r="F72" s="3" t="s">
        <v>225</v>
      </c>
      <c r="G72" s="3" t="s">
        <v>226</v>
      </c>
      <c r="H72" s="3" t="s">
        <v>141</v>
      </c>
      <c r="I72" s="3" t="s">
        <v>142</v>
      </c>
      <c r="J72" s="3" t="s">
        <v>143</v>
      </c>
      <c r="K72" s="3">
        <v>2021</v>
      </c>
      <c r="L72" s="9" t="s">
        <v>258</v>
      </c>
      <c r="M72" s="3">
        <v>4.5999999999999996</v>
      </c>
      <c r="N72" s="3" t="s">
        <v>264</v>
      </c>
      <c r="O72" s="3" t="s">
        <v>128</v>
      </c>
      <c r="Q72" s="3" t="s">
        <v>224</v>
      </c>
    </row>
    <row r="73" spans="1:18" ht="15.75" customHeight="1">
      <c r="A73" s="3" t="s">
        <v>119</v>
      </c>
      <c r="B73" s="3" t="s">
        <v>95</v>
      </c>
      <c r="C73" s="3">
        <v>1</v>
      </c>
      <c r="D73" s="3" t="s">
        <v>121</v>
      </c>
      <c r="E73" s="3" t="s">
        <v>122</v>
      </c>
      <c r="F73" s="3" t="s">
        <v>225</v>
      </c>
      <c r="G73" s="3" t="s">
        <v>226</v>
      </c>
      <c r="H73" s="3" t="s">
        <v>141</v>
      </c>
      <c r="I73" s="3" t="s">
        <v>228</v>
      </c>
      <c r="J73" s="3" t="s">
        <v>143</v>
      </c>
      <c r="K73" s="3">
        <v>2021</v>
      </c>
      <c r="L73" s="9" t="s">
        <v>258</v>
      </c>
      <c r="M73" s="3">
        <f>(8-3.9)/1.35</f>
        <v>3.0370370370370368</v>
      </c>
      <c r="Q73" s="3" t="s">
        <v>229</v>
      </c>
      <c r="R73" s="3" t="s">
        <v>230</v>
      </c>
    </row>
    <row r="74" spans="1:18" ht="15.75" customHeight="1">
      <c r="A74" s="3" t="s">
        <v>119</v>
      </c>
      <c r="B74" s="3" t="s">
        <v>95</v>
      </c>
      <c r="C74" s="3">
        <v>1</v>
      </c>
      <c r="D74" s="3" t="s">
        <v>130</v>
      </c>
      <c r="E74" s="3" t="s">
        <v>122</v>
      </c>
      <c r="F74" s="3" t="s">
        <v>225</v>
      </c>
      <c r="G74" s="3" t="s">
        <v>226</v>
      </c>
      <c r="H74" s="3" t="s">
        <v>141</v>
      </c>
      <c r="I74" s="3" t="s">
        <v>228</v>
      </c>
      <c r="J74" s="3" t="s">
        <v>143</v>
      </c>
      <c r="K74" s="3">
        <v>2021</v>
      </c>
      <c r="L74" s="9" t="s">
        <v>258</v>
      </c>
      <c r="M74" s="3">
        <f>(10.5-5.6)/1.35</f>
        <v>3.6296296296296298</v>
      </c>
      <c r="Q74" s="3" t="s">
        <v>229</v>
      </c>
      <c r="R74" s="3" t="s">
        <v>230</v>
      </c>
    </row>
    <row r="75" spans="1:18" ht="15.75" customHeight="1">
      <c r="A75" s="3" t="s">
        <v>119</v>
      </c>
      <c r="B75" s="3" t="s">
        <v>95</v>
      </c>
      <c r="C75" s="3">
        <v>1</v>
      </c>
      <c r="D75" s="3" t="s">
        <v>133</v>
      </c>
      <c r="E75" s="3" t="s">
        <v>122</v>
      </c>
      <c r="F75" s="3" t="s">
        <v>225</v>
      </c>
      <c r="G75" s="3" t="s">
        <v>226</v>
      </c>
      <c r="H75" s="3" t="s">
        <v>141</v>
      </c>
      <c r="I75" s="3" t="s">
        <v>228</v>
      </c>
      <c r="J75" s="3" t="s">
        <v>143</v>
      </c>
      <c r="K75" s="3">
        <v>2021</v>
      </c>
      <c r="L75" s="9" t="s">
        <v>258</v>
      </c>
      <c r="M75" s="3">
        <f>(9.9-5.7)/1.35</f>
        <v>3.1111111111111112</v>
      </c>
      <c r="Q75" s="3" t="s">
        <v>229</v>
      </c>
      <c r="R75" s="3" t="s">
        <v>230</v>
      </c>
    </row>
    <row r="76" spans="1:18" ht="15.75" customHeight="1">
      <c r="A76" s="3" t="s">
        <v>119</v>
      </c>
      <c r="B76" s="3" t="s">
        <v>95</v>
      </c>
      <c r="C76" s="3">
        <v>1</v>
      </c>
      <c r="D76" s="3" t="s">
        <v>135</v>
      </c>
      <c r="E76" s="3" t="s">
        <v>122</v>
      </c>
      <c r="F76" s="3" t="s">
        <v>225</v>
      </c>
      <c r="G76" s="3" t="s">
        <v>226</v>
      </c>
      <c r="H76" s="3" t="s">
        <v>141</v>
      </c>
      <c r="I76" s="3" t="s">
        <v>228</v>
      </c>
      <c r="J76" s="3" t="s">
        <v>143</v>
      </c>
      <c r="K76" s="3">
        <v>2021</v>
      </c>
      <c r="L76" s="9" t="s">
        <v>258</v>
      </c>
      <c r="M76" s="3">
        <f>(7.6-3.6)/1.35</f>
        <v>2.9629629629629624</v>
      </c>
      <c r="Q76" s="3" t="s">
        <v>229</v>
      </c>
      <c r="R76" s="3" t="s">
        <v>230</v>
      </c>
    </row>
    <row r="77" spans="1:18" ht="15.75" customHeight="1">
      <c r="A77" s="3" t="s">
        <v>119</v>
      </c>
      <c r="B77" s="3" t="s">
        <v>95</v>
      </c>
      <c r="C77" s="3">
        <v>1</v>
      </c>
      <c r="D77" s="3" t="s">
        <v>137</v>
      </c>
      <c r="E77" s="3" t="s">
        <v>122</v>
      </c>
      <c r="F77" s="3" t="s">
        <v>225</v>
      </c>
      <c r="G77" s="3" t="s">
        <v>226</v>
      </c>
      <c r="H77" s="3" t="s">
        <v>141</v>
      </c>
      <c r="I77" s="3" t="s">
        <v>228</v>
      </c>
      <c r="J77" s="3" t="s">
        <v>143</v>
      </c>
      <c r="K77" s="3">
        <v>2021</v>
      </c>
      <c r="L77" s="9" t="s">
        <v>258</v>
      </c>
      <c r="M77" s="3">
        <f>(6.2-2.9)/1.35</f>
        <v>2.4444444444444446</v>
      </c>
      <c r="Q77" s="3" t="s">
        <v>229</v>
      </c>
      <c r="R77" s="3" t="s">
        <v>230</v>
      </c>
    </row>
    <row r="78" spans="1:18" ht="15.75" customHeight="1">
      <c r="A78" s="3" t="s">
        <v>119</v>
      </c>
      <c r="B78" s="3" t="s">
        <v>95</v>
      </c>
      <c r="C78" s="3">
        <v>1</v>
      </c>
      <c r="D78" s="3" t="s">
        <v>139</v>
      </c>
      <c r="E78" s="3" t="s">
        <v>122</v>
      </c>
      <c r="F78" s="3" t="s">
        <v>225</v>
      </c>
      <c r="G78" s="3" t="s">
        <v>226</v>
      </c>
      <c r="H78" s="3" t="s">
        <v>141</v>
      </c>
      <c r="I78" s="3" t="s">
        <v>228</v>
      </c>
      <c r="J78" s="3" t="s">
        <v>143</v>
      </c>
      <c r="K78" s="3">
        <v>2021</v>
      </c>
      <c r="L78" s="9" t="s">
        <v>258</v>
      </c>
      <c r="M78" s="3">
        <f>(5.6-3.3)/1.35</f>
        <v>1.7037037037037035</v>
      </c>
      <c r="Q78" s="3" t="s">
        <v>229</v>
      </c>
      <c r="R78" s="3" t="s">
        <v>230</v>
      </c>
    </row>
    <row r="79" spans="1:18" ht="15.75" customHeight="1">
      <c r="A79" s="3" t="s">
        <v>119</v>
      </c>
      <c r="B79" s="3" t="s">
        <v>95</v>
      </c>
      <c r="C79" s="3">
        <v>1</v>
      </c>
      <c r="D79" s="3" t="s">
        <v>121</v>
      </c>
      <c r="E79" s="3" t="s">
        <v>151</v>
      </c>
      <c r="F79" s="3" t="s">
        <v>225</v>
      </c>
      <c r="G79" s="3" t="s">
        <v>226</v>
      </c>
      <c r="H79" s="3" t="s">
        <v>141</v>
      </c>
      <c r="I79" s="3" t="s">
        <v>142</v>
      </c>
      <c r="J79" s="3" t="s">
        <v>143</v>
      </c>
      <c r="K79" s="3">
        <v>2021</v>
      </c>
      <c r="L79" s="9" t="s">
        <v>258</v>
      </c>
      <c r="M79" s="3">
        <v>6.7</v>
      </c>
      <c r="N79" s="3" t="s">
        <v>265</v>
      </c>
      <c r="O79" s="3" t="s">
        <v>128</v>
      </c>
      <c r="P79" s="3">
        <v>0.3</v>
      </c>
      <c r="Q79" s="3" t="s">
        <v>266</v>
      </c>
    </row>
    <row r="80" spans="1:18" ht="15.75" customHeight="1">
      <c r="A80" s="3" t="s">
        <v>119</v>
      </c>
      <c r="B80" s="3" t="s">
        <v>95</v>
      </c>
      <c r="C80" s="3">
        <v>1</v>
      </c>
      <c r="D80" s="3" t="s">
        <v>121</v>
      </c>
      <c r="E80" s="3" t="s">
        <v>151</v>
      </c>
      <c r="F80" s="3" t="s">
        <v>225</v>
      </c>
      <c r="G80" s="3" t="s">
        <v>226</v>
      </c>
      <c r="H80" s="3" t="s">
        <v>141</v>
      </c>
      <c r="I80" s="3" t="s">
        <v>228</v>
      </c>
      <c r="J80" s="3" t="s">
        <v>143</v>
      </c>
      <c r="K80" s="3">
        <v>2021</v>
      </c>
      <c r="L80" s="9" t="s">
        <v>258</v>
      </c>
      <c r="M80" s="3">
        <f>(8.6-3.9)/1.35</f>
        <v>3.4814814814814805</v>
      </c>
      <c r="Q80" s="3" t="s">
        <v>229</v>
      </c>
      <c r="R80" s="3" t="s">
        <v>230</v>
      </c>
    </row>
    <row r="81" spans="1:19" ht="15.75" customHeight="1">
      <c r="A81" s="3" t="s">
        <v>119</v>
      </c>
      <c r="B81" s="3" t="s">
        <v>95</v>
      </c>
      <c r="C81" s="3">
        <v>1</v>
      </c>
      <c r="D81" s="3" t="s">
        <v>121</v>
      </c>
      <c r="E81" s="3" t="s">
        <v>154</v>
      </c>
      <c r="F81" s="3" t="s">
        <v>225</v>
      </c>
      <c r="G81" s="3" t="s">
        <v>226</v>
      </c>
      <c r="H81" s="3" t="s">
        <v>155</v>
      </c>
      <c r="I81" s="3" t="s">
        <v>142</v>
      </c>
      <c r="J81" s="3" t="s">
        <v>143</v>
      </c>
      <c r="K81" s="3">
        <v>2021</v>
      </c>
      <c r="L81" s="9" t="s">
        <v>267</v>
      </c>
      <c r="M81" s="3">
        <v>4.2</v>
      </c>
      <c r="N81" s="3" t="s">
        <v>268</v>
      </c>
      <c r="Q81" s="3" t="s">
        <v>233</v>
      </c>
    </row>
    <row r="82" spans="1:19" ht="15.75" customHeight="1">
      <c r="A82" s="3" t="s">
        <v>119</v>
      </c>
      <c r="B82" s="3" t="s">
        <v>95</v>
      </c>
      <c r="C82" s="3">
        <v>1</v>
      </c>
      <c r="D82" s="3" t="s">
        <v>121</v>
      </c>
      <c r="E82" s="3" t="s">
        <v>158</v>
      </c>
      <c r="F82" s="3" t="s">
        <v>225</v>
      </c>
      <c r="G82" s="3" t="s">
        <v>226</v>
      </c>
      <c r="H82" s="3" t="s">
        <v>155</v>
      </c>
      <c r="I82" s="3" t="s">
        <v>142</v>
      </c>
      <c r="J82" s="3" t="s">
        <v>143</v>
      </c>
      <c r="K82" s="3">
        <v>2021</v>
      </c>
      <c r="L82" s="9" t="s">
        <v>267</v>
      </c>
      <c r="M82" s="3">
        <v>4.3</v>
      </c>
      <c r="N82" s="3" t="s">
        <v>269</v>
      </c>
      <c r="Q82" s="3" t="s">
        <v>233</v>
      </c>
    </row>
    <row r="83" spans="1:19" ht="15.75" customHeight="1">
      <c r="A83" s="3" t="s">
        <v>119</v>
      </c>
      <c r="B83" s="3" t="s">
        <v>95</v>
      </c>
      <c r="C83" s="3">
        <v>1</v>
      </c>
      <c r="D83" s="3" t="s">
        <v>121</v>
      </c>
      <c r="E83" s="3" t="s">
        <v>161</v>
      </c>
      <c r="F83" s="3" t="s">
        <v>225</v>
      </c>
      <c r="G83" s="3" t="s">
        <v>226</v>
      </c>
      <c r="H83" s="3" t="s">
        <v>155</v>
      </c>
      <c r="I83" s="3" t="s">
        <v>142</v>
      </c>
      <c r="J83" s="3" t="s">
        <v>143</v>
      </c>
      <c r="K83" s="3">
        <v>2021</v>
      </c>
      <c r="L83" s="9" t="s">
        <v>267</v>
      </c>
      <c r="M83" s="3">
        <v>4.0999999999999996</v>
      </c>
      <c r="N83" s="3" t="s">
        <v>270</v>
      </c>
      <c r="Q83" s="3" t="s">
        <v>233</v>
      </c>
    </row>
    <row r="84" spans="1:19" ht="15.75" customHeight="1">
      <c r="A84" s="3" t="s">
        <v>119</v>
      </c>
      <c r="B84" s="3" t="s">
        <v>95</v>
      </c>
      <c r="C84" s="3">
        <v>1</v>
      </c>
      <c r="D84" s="3" t="s">
        <v>121</v>
      </c>
      <c r="E84" s="3" t="s">
        <v>154</v>
      </c>
      <c r="F84" s="3" t="s">
        <v>225</v>
      </c>
      <c r="G84" s="3" t="s">
        <v>226</v>
      </c>
      <c r="H84" s="3" t="s">
        <v>155</v>
      </c>
      <c r="I84" s="3" t="s">
        <v>228</v>
      </c>
      <c r="J84" s="3" t="s">
        <v>143</v>
      </c>
      <c r="K84" s="3">
        <v>2021</v>
      </c>
      <c r="L84" s="9" t="s">
        <v>267</v>
      </c>
      <c r="M84" s="3">
        <f>(5.5-2.5)/1.35</f>
        <v>2.2222222222222219</v>
      </c>
      <c r="Q84" s="3" t="s">
        <v>229</v>
      </c>
    </row>
    <row r="85" spans="1:19" ht="15.75" customHeight="1">
      <c r="A85" s="3" t="s">
        <v>119</v>
      </c>
      <c r="B85" s="3" t="s">
        <v>95</v>
      </c>
      <c r="C85" s="3">
        <v>1</v>
      </c>
      <c r="D85" s="3" t="s">
        <v>121</v>
      </c>
      <c r="E85" s="3" t="s">
        <v>158</v>
      </c>
      <c r="F85" s="3" t="s">
        <v>225</v>
      </c>
      <c r="G85" s="3" t="s">
        <v>226</v>
      </c>
      <c r="H85" s="3" t="s">
        <v>155</v>
      </c>
      <c r="I85" s="3" t="s">
        <v>228</v>
      </c>
      <c r="J85" s="3" t="s">
        <v>143</v>
      </c>
      <c r="K85" s="3">
        <v>2021</v>
      </c>
      <c r="L85" s="9" t="s">
        <v>267</v>
      </c>
      <c r="M85" s="3">
        <f>(5.6-2.5)/1.35</f>
        <v>2.2962962962962958</v>
      </c>
      <c r="Q85" s="3" t="s">
        <v>229</v>
      </c>
    </row>
    <row r="86" spans="1:19" ht="15.75" customHeight="1">
      <c r="A86" s="3" t="s">
        <v>119</v>
      </c>
      <c r="B86" s="3" t="s">
        <v>95</v>
      </c>
      <c r="C86" s="3">
        <v>1</v>
      </c>
      <c r="D86" s="3" t="s">
        <v>121</v>
      </c>
      <c r="E86" s="3" t="s">
        <v>161</v>
      </c>
      <c r="F86" s="3" t="s">
        <v>225</v>
      </c>
      <c r="G86" s="3" t="s">
        <v>226</v>
      </c>
      <c r="H86" s="3" t="s">
        <v>155</v>
      </c>
      <c r="I86" s="3" t="s">
        <v>228</v>
      </c>
      <c r="J86" s="3" t="s">
        <v>143</v>
      </c>
      <c r="K86" s="3">
        <v>2021</v>
      </c>
      <c r="L86" s="9" t="s">
        <v>267</v>
      </c>
      <c r="M86" s="3">
        <f>(5.4-2.4)/1.35</f>
        <v>2.2222222222222223</v>
      </c>
      <c r="Q86" s="3" t="s">
        <v>229</v>
      </c>
    </row>
    <row r="87" spans="1:19" ht="51" customHeight="1">
      <c r="A87" s="3" t="s">
        <v>119</v>
      </c>
      <c r="B87" s="3" t="s">
        <v>95</v>
      </c>
      <c r="C87" s="3">
        <v>1</v>
      </c>
      <c r="D87" s="3" t="s">
        <v>121</v>
      </c>
      <c r="E87" s="3" t="s">
        <v>196</v>
      </c>
      <c r="F87" s="3" t="s">
        <v>235</v>
      </c>
      <c r="G87" s="3" t="s">
        <v>236</v>
      </c>
      <c r="H87" s="3" t="s">
        <v>237</v>
      </c>
      <c r="I87" s="3" t="s">
        <v>124</v>
      </c>
      <c r="J87" s="3" t="s">
        <v>125</v>
      </c>
      <c r="K87" s="3">
        <v>2025</v>
      </c>
      <c r="L87" s="3" t="s">
        <v>271</v>
      </c>
      <c r="M87" s="3">
        <v>95</v>
      </c>
      <c r="Q87" s="3" t="s">
        <v>242</v>
      </c>
      <c r="S87" s="9" t="s">
        <v>272</v>
      </c>
    </row>
    <row r="88" spans="1:19" ht="51" customHeight="1">
      <c r="A88" s="3" t="s">
        <v>119</v>
      </c>
      <c r="B88" s="3" t="s">
        <v>95</v>
      </c>
      <c r="C88" s="3">
        <v>1</v>
      </c>
      <c r="D88" s="3" t="s">
        <v>121</v>
      </c>
      <c r="E88" s="3" t="s">
        <v>196</v>
      </c>
      <c r="F88" s="3" t="s">
        <v>235</v>
      </c>
      <c r="G88" s="3" t="s">
        <v>236</v>
      </c>
      <c r="H88" s="3" t="s">
        <v>237</v>
      </c>
      <c r="I88" s="3" t="s">
        <v>124</v>
      </c>
      <c r="J88" s="3" t="s">
        <v>125</v>
      </c>
      <c r="K88" s="3">
        <v>2025</v>
      </c>
      <c r="M88" s="3" t="s">
        <v>245</v>
      </c>
      <c r="Q88" s="3" t="s">
        <v>224</v>
      </c>
      <c r="R88" t="s">
        <v>246</v>
      </c>
      <c r="S88" t="s">
        <v>247</v>
      </c>
    </row>
    <row r="89" spans="1:19" ht="15.6" customHeight="1">
      <c r="A89" s="3" t="s">
        <v>119</v>
      </c>
      <c r="B89" s="3" t="s">
        <v>13</v>
      </c>
      <c r="C89" s="3">
        <v>1</v>
      </c>
      <c r="D89" s="3" t="s">
        <v>121</v>
      </c>
      <c r="E89" s="3" t="s">
        <v>196</v>
      </c>
      <c r="F89" s="3" t="s">
        <v>220</v>
      </c>
      <c r="G89" s="3" t="s">
        <v>221</v>
      </c>
      <c r="H89" s="3" t="s">
        <v>123</v>
      </c>
      <c r="I89" s="3" t="s">
        <v>124</v>
      </c>
      <c r="J89" s="3" t="s">
        <v>125</v>
      </c>
      <c r="K89" s="3">
        <v>2021</v>
      </c>
      <c r="L89" s="13" t="s">
        <v>273</v>
      </c>
      <c r="M89" s="3">
        <v>53.6</v>
      </c>
      <c r="N89" s="12"/>
      <c r="Q89" s="3" t="s">
        <v>274</v>
      </c>
    </row>
    <row r="90" spans="1:19" ht="15.75" customHeight="1">
      <c r="A90" s="3" t="s">
        <v>119</v>
      </c>
      <c r="B90" s="3" t="s">
        <v>13</v>
      </c>
      <c r="C90" s="3">
        <v>1</v>
      </c>
      <c r="D90" s="3" t="s">
        <v>130</v>
      </c>
      <c r="E90" s="3" t="s">
        <v>196</v>
      </c>
      <c r="F90" s="3" t="s">
        <v>220</v>
      </c>
      <c r="G90" s="3" t="s">
        <v>221</v>
      </c>
      <c r="H90" s="3" t="s">
        <v>123</v>
      </c>
      <c r="I90" s="3" t="s">
        <v>124</v>
      </c>
      <c r="J90" s="3" t="s">
        <v>125</v>
      </c>
      <c r="K90" s="3">
        <v>2021</v>
      </c>
      <c r="L90" s="13" t="s">
        <v>273</v>
      </c>
      <c r="M90" s="3">
        <v>33.6</v>
      </c>
      <c r="N90" s="12"/>
      <c r="Q90" s="3" t="s">
        <v>224</v>
      </c>
    </row>
    <row r="91" spans="1:19" ht="15.75" customHeight="1">
      <c r="A91" s="3" t="s">
        <v>119</v>
      </c>
      <c r="B91" s="3" t="s">
        <v>13</v>
      </c>
      <c r="C91" s="3">
        <v>1</v>
      </c>
      <c r="D91" s="3" t="s">
        <v>133</v>
      </c>
      <c r="E91" s="3" t="s">
        <v>196</v>
      </c>
      <c r="F91" s="3" t="s">
        <v>220</v>
      </c>
      <c r="G91" s="3" t="s">
        <v>221</v>
      </c>
      <c r="H91" s="3" t="s">
        <v>123</v>
      </c>
      <c r="I91" s="3" t="s">
        <v>124</v>
      </c>
      <c r="J91" s="3" t="s">
        <v>125</v>
      </c>
      <c r="K91" s="3">
        <v>2021</v>
      </c>
      <c r="L91" s="13" t="s">
        <v>273</v>
      </c>
      <c r="M91" s="3">
        <v>44.8</v>
      </c>
      <c r="Q91" s="3" t="s">
        <v>224</v>
      </c>
    </row>
    <row r="92" spans="1:19" ht="15.75" customHeight="1">
      <c r="A92" s="3" t="s">
        <v>119</v>
      </c>
      <c r="B92" s="3" t="s">
        <v>13</v>
      </c>
      <c r="C92" s="3">
        <v>1</v>
      </c>
      <c r="D92" s="3" t="s">
        <v>135</v>
      </c>
      <c r="E92" s="3" t="s">
        <v>196</v>
      </c>
      <c r="F92" s="3" t="s">
        <v>220</v>
      </c>
      <c r="G92" s="3" t="s">
        <v>221</v>
      </c>
      <c r="H92" s="3" t="s">
        <v>123</v>
      </c>
      <c r="I92" s="3" t="s">
        <v>124</v>
      </c>
      <c r="J92" s="3" t="s">
        <v>125</v>
      </c>
      <c r="K92" s="3">
        <v>2021</v>
      </c>
      <c r="L92" s="13" t="s">
        <v>273</v>
      </c>
      <c r="M92" s="3">
        <v>54.6</v>
      </c>
      <c r="N92" s="12"/>
      <c r="Q92" s="3" t="s">
        <v>224</v>
      </c>
    </row>
    <row r="93" spans="1:19" ht="15.75" customHeight="1">
      <c r="A93" s="3" t="s">
        <v>119</v>
      </c>
      <c r="B93" s="3" t="s">
        <v>13</v>
      </c>
      <c r="C93" s="3">
        <v>1</v>
      </c>
      <c r="D93" s="3" t="s">
        <v>137</v>
      </c>
      <c r="E93" s="3" t="s">
        <v>196</v>
      </c>
      <c r="F93" s="3" t="s">
        <v>220</v>
      </c>
      <c r="G93" s="3" t="s">
        <v>221</v>
      </c>
      <c r="H93" s="3" t="s">
        <v>123</v>
      </c>
      <c r="I93" s="3" t="s">
        <v>124</v>
      </c>
      <c r="J93" s="3" t="s">
        <v>125</v>
      </c>
      <c r="K93" s="3">
        <v>2021</v>
      </c>
      <c r="L93" s="13" t="s">
        <v>273</v>
      </c>
      <c r="M93" s="3">
        <v>63.3</v>
      </c>
      <c r="N93" s="12"/>
      <c r="Q93" s="3" t="s">
        <v>224</v>
      </c>
    </row>
    <row r="94" spans="1:19" ht="15.75" customHeight="1">
      <c r="A94" s="3" t="s">
        <v>119</v>
      </c>
      <c r="B94" s="3" t="s">
        <v>13</v>
      </c>
      <c r="C94" s="3">
        <v>1</v>
      </c>
      <c r="D94" s="3" t="s">
        <v>139</v>
      </c>
      <c r="E94" s="3" t="s">
        <v>196</v>
      </c>
      <c r="F94" s="3" t="s">
        <v>220</v>
      </c>
      <c r="G94" s="3" t="s">
        <v>221</v>
      </c>
      <c r="H94" s="3" t="s">
        <v>123</v>
      </c>
      <c r="I94" s="3" t="s">
        <v>124</v>
      </c>
      <c r="J94" s="3" t="s">
        <v>125</v>
      </c>
      <c r="K94" s="3">
        <v>2021</v>
      </c>
      <c r="L94" s="13" t="s">
        <v>273</v>
      </c>
      <c r="M94" s="3">
        <v>67.599999999999994</v>
      </c>
      <c r="Q94" s="3" t="s">
        <v>275</v>
      </c>
    </row>
    <row r="95" spans="1:19" ht="15.75" customHeight="1">
      <c r="A95" s="3" t="s">
        <v>119</v>
      </c>
      <c r="B95" s="3" t="s">
        <v>13</v>
      </c>
      <c r="C95" s="3">
        <v>1</v>
      </c>
      <c r="D95" s="3" t="s">
        <v>121</v>
      </c>
      <c r="E95" s="3" t="s">
        <v>196</v>
      </c>
      <c r="F95" s="3" t="s">
        <v>225</v>
      </c>
      <c r="G95" s="3" t="s">
        <v>226</v>
      </c>
      <c r="H95" s="3" t="s">
        <v>141</v>
      </c>
      <c r="I95" s="3" t="s">
        <v>142</v>
      </c>
      <c r="J95" s="3" t="s">
        <v>143</v>
      </c>
      <c r="K95" s="3">
        <v>2026</v>
      </c>
      <c r="L95" s="13" t="s">
        <v>276</v>
      </c>
      <c r="M95" s="3">
        <v>38</v>
      </c>
      <c r="Q95" s="3" t="s">
        <v>224</v>
      </c>
    </row>
    <row r="96" spans="1:19" ht="91.15" customHeight="1">
      <c r="A96" s="3" t="s">
        <v>119</v>
      </c>
      <c r="B96" s="3" t="s">
        <v>13</v>
      </c>
      <c r="C96" s="3">
        <v>1</v>
      </c>
      <c r="D96" s="3" t="s">
        <v>121</v>
      </c>
      <c r="E96" s="3" t="s">
        <v>122</v>
      </c>
      <c r="F96" s="3" t="s">
        <v>225</v>
      </c>
      <c r="G96" s="3" t="s">
        <v>226</v>
      </c>
      <c r="H96" s="3" t="s">
        <v>141</v>
      </c>
      <c r="I96" s="3" t="s">
        <v>142</v>
      </c>
      <c r="J96" s="3" t="s">
        <v>143</v>
      </c>
      <c r="K96" s="3">
        <v>2021</v>
      </c>
      <c r="L96" s="9" t="s">
        <v>277</v>
      </c>
      <c r="M96" s="3">
        <v>61.2</v>
      </c>
      <c r="N96" s="12" t="s">
        <v>278</v>
      </c>
      <c r="O96" s="3" t="s">
        <v>128</v>
      </c>
      <c r="P96" s="3">
        <v>2.5</v>
      </c>
      <c r="Q96" s="3" t="s">
        <v>279</v>
      </c>
    </row>
    <row r="97" spans="1:17" ht="15.6" customHeight="1">
      <c r="A97" s="3" t="s">
        <v>119</v>
      </c>
      <c r="B97" s="3" t="s">
        <v>13</v>
      </c>
      <c r="C97" s="3">
        <v>1</v>
      </c>
      <c r="D97" s="3" t="s">
        <v>130</v>
      </c>
      <c r="E97" s="3" t="s">
        <v>122</v>
      </c>
      <c r="F97" s="3" t="s">
        <v>225</v>
      </c>
      <c r="G97" s="3" t="s">
        <v>226</v>
      </c>
      <c r="H97" s="3" t="s">
        <v>141</v>
      </c>
      <c r="I97" s="3" t="s">
        <v>142</v>
      </c>
      <c r="J97" s="3" t="s">
        <v>143</v>
      </c>
      <c r="K97" s="3">
        <v>2021</v>
      </c>
      <c r="L97" s="9" t="s">
        <v>277</v>
      </c>
      <c r="M97" s="3">
        <v>34.200000000000003</v>
      </c>
      <c r="N97" s="12" t="s">
        <v>280</v>
      </c>
      <c r="O97" s="3" t="s">
        <v>128</v>
      </c>
      <c r="P97" s="3">
        <v>4.0999999999999996</v>
      </c>
      <c r="Q97" s="3" t="s">
        <v>281</v>
      </c>
    </row>
    <row r="98" spans="1:17" ht="15.75" customHeight="1">
      <c r="A98" s="3" t="s">
        <v>119</v>
      </c>
      <c r="B98" s="3" t="s">
        <v>13</v>
      </c>
      <c r="C98" s="3">
        <v>1</v>
      </c>
      <c r="D98" s="3" t="s">
        <v>133</v>
      </c>
      <c r="E98" s="3" t="s">
        <v>122</v>
      </c>
      <c r="F98" s="3" t="s">
        <v>225</v>
      </c>
      <c r="G98" s="3" t="s">
        <v>226</v>
      </c>
      <c r="H98" s="3" t="s">
        <v>141</v>
      </c>
      <c r="I98" s="3" t="s">
        <v>142</v>
      </c>
      <c r="J98" s="3" t="s">
        <v>143</v>
      </c>
      <c r="K98" s="3">
        <v>2021</v>
      </c>
      <c r="L98" s="9" t="s">
        <v>277</v>
      </c>
      <c r="M98" s="3">
        <v>52.4</v>
      </c>
      <c r="N98" s="3" t="s">
        <v>282</v>
      </c>
      <c r="O98" s="3" t="s">
        <v>128</v>
      </c>
      <c r="P98" s="3">
        <v>4.4000000000000004</v>
      </c>
      <c r="Q98" s="3" t="s">
        <v>224</v>
      </c>
    </row>
    <row r="99" spans="1:17" ht="15.75" customHeight="1">
      <c r="A99" s="3" t="s">
        <v>119</v>
      </c>
      <c r="B99" s="3" t="s">
        <v>13</v>
      </c>
      <c r="C99" s="3">
        <v>1</v>
      </c>
      <c r="D99" s="3" t="s">
        <v>135</v>
      </c>
      <c r="E99" s="3" t="s">
        <v>122</v>
      </c>
      <c r="F99" s="3" t="s">
        <v>225</v>
      </c>
      <c r="G99" s="3" t="s">
        <v>226</v>
      </c>
      <c r="H99" s="3" t="s">
        <v>141</v>
      </c>
      <c r="I99" s="3" t="s">
        <v>142</v>
      </c>
      <c r="J99" s="3" t="s">
        <v>143</v>
      </c>
      <c r="K99" s="3">
        <v>2021</v>
      </c>
      <c r="L99" s="9" t="s">
        <v>277</v>
      </c>
      <c r="M99" s="3">
        <v>60.7</v>
      </c>
      <c r="N99" s="3" t="s">
        <v>283</v>
      </c>
      <c r="O99" s="3" t="s">
        <v>128</v>
      </c>
      <c r="P99" s="3">
        <v>3.7</v>
      </c>
      <c r="Q99" s="3" t="s">
        <v>224</v>
      </c>
    </row>
    <row r="100" spans="1:17" ht="15.75" customHeight="1">
      <c r="A100" s="3" t="s">
        <v>119</v>
      </c>
      <c r="B100" s="3" t="s">
        <v>13</v>
      </c>
      <c r="C100" s="3">
        <v>1</v>
      </c>
      <c r="D100" s="3" t="s">
        <v>137</v>
      </c>
      <c r="E100" s="3" t="s">
        <v>122</v>
      </c>
      <c r="F100" s="3" t="s">
        <v>225</v>
      </c>
      <c r="G100" s="3" t="s">
        <v>226</v>
      </c>
      <c r="H100" s="3" t="s">
        <v>141</v>
      </c>
      <c r="I100" s="3" t="s">
        <v>142</v>
      </c>
      <c r="J100" s="3" t="s">
        <v>143</v>
      </c>
      <c r="K100" s="3">
        <v>2021</v>
      </c>
      <c r="L100" s="9" t="s">
        <v>277</v>
      </c>
      <c r="M100" s="3">
        <v>73.7</v>
      </c>
      <c r="N100" s="12" t="s">
        <v>284</v>
      </c>
      <c r="O100" s="3" t="s">
        <v>128</v>
      </c>
      <c r="P100" s="3">
        <v>2.6</v>
      </c>
      <c r="Q100" s="3" t="s">
        <v>224</v>
      </c>
    </row>
    <row r="101" spans="1:17" ht="15.75" customHeight="1">
      <c r="A101" s="3" t="s">
        <v>119</v>
      </c>
      <c r="B101" s="3" t="s">
        <v>13</v>
      </c>
      <c r="C101" s="3">
        <v>1</v>
      </c>
      <c r="D101" s="3" t="s">
        <v>139</v>
      </c>
      <c r="E101" s="3" t="s">
        <v>122</v>
      </c>
      <c r="F101" s="3" t="s">
        <v>225</v>
      </c>
      <c r="G101" s="3" t="s">
        <v>226</v>
      </c>
      <c r="H101" s="3" t="s">
        <v>141</v>
      </c>
      <c r="I101" s="3" t="s">
        <v>142</v>
      </c>
      <c r="J101" s="3" t="s">
        <v>143</v>
      </c>
      <c r="K101" s="3">
        <v>2021</v>
      </c>
      <c r="L101" s="9" t="s">
        <v>277</v>
      </c>
      <c r="M101" s="3">
        <v>79.5</v>
      </c>
      <c r="N101" s="3" t="s">
        <v>285</v>
      </c>
      <c r="O101" s="3" t="s">
        <v>128</v>
      </c>
      <c r="P101" s="3">
        <v>3.7</v>
      </c>
      <c r="Q101" s="3" t="s">
        <v>224</v>
      </c>
    </row>
    <row r="102" spans="1:17" ht="15.75" customHeight="1">
      <c r="A102" s="3" t="s">
        <v>119</v>
      </c>
      <c r="B102" s="3" t="s">
        <v>13</v>
      </c>
      <c r="C102" s="3">
        <v>1</v>
      </c>
      <c r="D102" s="3" t="s">
        <v>121</v>
      </c>
      <c r="E102" s="3" t="s">
        <v>122</v>
      </c>
      <c r="F102" s="3" t="s">
        <v>225</v>
      </c>
      <c r="G102" s="3" t="s">
        <v>226</v>
      </c>
      <c r="H102" s="3" t="s">
        <v>141</v>
      </c>
      <c r="I102" s="3" t="s">
        <v>228</v>
      </c>
      <c r="J102" s="3" t="s">
        <v>143</v>
      </c>
      <c r="K102" s="3">
        <v>2021</v>
      </c>
      <c r="L102" s="9" t="s">
        <v>277</v>
      </c>
      <c r="M102" s="3">
        <f>(84.6-30.5)/1.35</f>
        <v>40.074074074074069</v>
      </c>
      <c r="Q102" s="3" t="s">
        <v>229</v>
      </c>
    </row>
    <row r="103" spans="1:17" ht="15.75" customHeight="1">
      <c r="A103" s="3" t="s">
        <v>119</v>
      </c>
      <c r="B103" s="3" t="s">
        <v>13</v>
      </c>
      <c r="C103" s="3">
        <v>1</v>
      </c>
      <c r="D103" s="3" t="s">
        <v>130</v>
      </c>
      <c r="E103" s="3" t="s">
        <v>122</v>
      </c>
      <c r="F103" s="3" t="s">
        <v>225</v>
      </c>
      <c r="G103" s="3" t="s">
        <v>226</v>
      </c>
      <c r="H103" s="3" t="s">
        <v>141</v>
      </c>
      <c r="I103" s="3" t="s">
        <v>228</v>
      </c>
      <c r="J103" s="3" t="s">
        <v>143</v>
      </c>
      <c r="K103" s="3">
        <v>2021</v>
      </c>
      <c r="L103" s="9" t="s">
        <v>277</v>
      </c>
      <c r="M103" s="3">
        <f>(47.2-13.7)/1.35</f>
        <v>24.814814814814813</v>
      </c>
      <c r="Q103" s="3" t="s">
        <v>229</v>
      </c>
    </row>
    <row r="104" spans="1:17" ht="15.75" customHeight="1">
      <c r="A104" s="3" t="s">
        <v>119</v>
      </c>
      <c r="B104" s="3" t="s">
        <v>13</v>
      </c>
      <c r="C104" s="3">
        <v>1</v>
      </c>
      <c r="D104" s="3" t="s">
        <v>133</v>
      </c>
      <c r="E104" s="3" t="s">
        <v>122</v>
      </c>
      <c r="F104" s="3" t="s">
        <v>225</v>
      </c>
      <c r="G104" s="3" t="s">
        <v>226</v>
      </c>
      <c r="H104" s="3" t="s">
        <v>141</v>
      </c>
      <c r="I104" s="3" t="s">
        <v>228</v>
      </c>
      <c r="J104" s="3" t="s">
        <v>143</v>
      </c>
      <c r="K104" s="3">
        <v>2021</v>
      </c>
      <c r="L104" s="9" t="s">
        <v>277</v>
      </c>
      <c r="M104" s="3">
        <f>(71.4-26.4)/1.35</f>
        <v>33.333333333333336</v>
      </c>
      <c r="Q104" s="3" t="s">
        <v>229</v>
      </c>
    </row>
    <row r="105" spans="1:17" ht="15.75" customHeight="1">
      <c r="A105" s="3" t="s">
        <v>119</v>
      </c>
      <c r="B105" s="3" t="s">
        <v>13</v>
      </c>
      <c r="C105" s="3">
        <v>1</v>
      </c>
      <c r="D105" s="3" t="s">
        <v>135</v>
      </c>
      <c r="E105" s="3" t="s">
        <v>122</v>
      </c>
      <c r="F105" s="3" t="s">
        <v>225</v>
      </c>
      <c r="G105" s="3" t="s">
        <v>226</v>
      </c>
      <c r="H105" s="3" t="s">
        <v>141</v>
      </c>
      <c r="I105" s="3" t="s">
        <v>228</v>
      </c>
      <c r="J105" s="3" t="s">
        <v>143</v>
      </c>
      <c r="K105" s="3">
        <v>2021</v>
      </c>
      <c r="L105" s="9" t="s">
        <v>277</v>
      </c>
      <c r="M105" s="3">
        <f>(81.1-33.8)/1.35</f>
        <v>35.037037037037031</v>
      </c>
      <c r="Q105" s="3" t="s">
        <v>229</v>
      </c>
    </row>
    <row r="106" spans="1:17" ht="15.75" customHeight="1">
      <c r="A106" s="3" t="s">
        <v>119</v>
      </c>
      <c r="B106" s="3" t="s">
        <v>13</v>
      </c>
      <c r="C106" s="3">
        <v>1</v>
      </c>
      <c r="D106" s="3" t="s">
        <v>137</v>
      </c>
      <c r="E106" s="3" t="s">
        <v>122</v>
      </c>
      <c r="F106" s="3" t="s">
        <v>225</v>
      </c>
      <c r="G106" s="3" t="s">
        <v>226</v>
      </c>
      <c r="H106" s="3" t="s">
        <v>141</v>
      </c>
      <c r="I106" s="3" t="s">
        <v>228</v>
      </c>
      <c r="J106" s="3" t="s">
        <v>143</v>
      </c>
      <c r="K106" s="3">
        <v>2021</v>
      </c>
      <c r="L106" s="9" t="s">
        <v>277</v>
      </c>
      <c r="M106" s="3">
        <f>(96.3-45.3)/1.35</f>
        <v>37.777777777777779</v>
      </c>
      <c r="Q106" s="3" t="s">
        <v>229</v>
      </c>
    </row>
    <row r="107" spans="1:17" ht="15.75" customHeight="1">
      <c r="A107" s="3" t="s">
        <v>119</v>
      </c>
      <c r="B107" s="3" t="s">
        <v>13</v>
      </c>
      <c r="C107" s="3">
        <v>1</v>
      </c>
      <c r="D107" s="3" t="s">
        <v>139</v>
      </c>
      <c r="E107" s="3" t="s">
        <v>122</v>
      </c>
      <c r="F107" s="3" t="s">
        <v>225</v>
      </c>
      <c r="G107" s="3" t="s">
        <v>226</v>
      </c>
      <c r="H107" s="3" t="s">
        <v>141</v>
      </c>
      <c r="I107" s="3" t="s">
        <v>228</v>
      </c>
      <c r="J107" s="3" t="s">
        <v>143</v>
      </c>
      <c r="K107" s="3">
        <v>2021</v>
      </c>
      <c r="L107" s="9" t="s">
        <v>277</v>
      </c>
      <c r="M107" s="3">
        <f>(103.1-50.4)/1.35</f>
        <v>39.037037037037031</v>
      </c>
      <c r="Q107" s="3" t="s">
        <v>229</v>
      </c>
    </row>
    <row r="108" spans="1:17" ht="15.75" customHeight="1">
      <c r="A108" s="3" t="s">
        <v>119</v>
      </c>
      <c r="B108" s="3" t="s">
        <v>13</v>
      </c>
      <c r="C108" s="3">
        <v>1</v>
      </c>
      <c r="D108" s="3" t="s">
        <v>121</v>
      </c>
      <c r="E108" s="3" t="s">
        <v>151</v>
      </c>
      <c r="F108" s="3" t="s">
        <v>225</v>
      </c>
      <c r="G108" s="3" t="s">
        <v>226</v>
      </c>
      <c r="H108" s="3" t="s">
        <v>141</v>
      </c>
      <c r="I108" s="3" t="s">
        <v>142</v>
      </c>
      <c r="J108" s="3" t="s">
        <v>143</v>
      </c>
      <c r="K108" s="3">
        <v>2021</v>
      </c>
      <c r="L108" s="9" t="s">
        <v>277</v>
      </c>
      <c r="M108" s="3">
        <v>59.1</v>
      </c>
      <c r="N108" s="3" t="s">
        <v>286</v>
      </c>
      <c r="O108" s="3">
        <v>3.5</v>
      </c>
      <c r="Q108" s="3" t="s">
        <v>266</v>
      </c>
    </row>
    <row r="109" spans="1:17" ht="15.75" customHeight="1">
      <c r="A109" s="3" t="s">
        <v>119</v>
      </c>
      <c r="B109" s="3" t="s">
        <v>13</v>
      </c>
      <c r="C109" s="3">
        <v>1</v>
      </c>
      <c r="D109" s="3" t="s">
        <v>121</v>
      </c>
      <c r="E109" s="3" t="s">
        <v>151</v>
      </c>
      <c r="F109" s="3" t="s">
        <v>225</v>
      </c>
      <c r="G109" s="3" t="s">
        <v>226</v>
      </c>
      <c r="H109" s="3" t="s">
        <v>141</v>
      </c>
      <c r="I109" s="3" t="s">
        <v>228</v>
      </c>
      <c r="J109" s="3" t="s">
        <v>143</v>
      </c>
      <c r="K109" s="3">
        <v>2021</v>
      </c>
      <c r="L109" s="9" t="s">
        <v>277</v>
      </c>
      <c r="M109" s="3">
        <f>(84.2-27.6)/1.35</f>
        <v>41.925925925925924</v>
      </c>
      <c r="Q109" s="3" t="s">
        <v>229</v>
      </c>
    </row>
    <row r="110" spans="1:17" ht="15.75" customHeight="1">
      <c r="A110" s="3" t="s">
        <v>119</v>
      </c>
      <c r="B110" s="3" t="s">
        <v>13</v>
      </c>
      <c r="C110" s="3">
        <v>1</v>
      </c>
      <c r="D110" s="3" t="s">
        <v>121</v>
      </c>
      <c r="E110" s="3" t="s">
        <v>154</v>
      </c>
      <c r="F110" s="3" t="s">
        <v>225</v>
      </c>
      <c r="G110" s="3" t="s">
        <v>226</v>
      </c>
      <c r="H110" s="3" t="s">
        <v>155</v>
      </c>
      <c r="I110" s="3" t="s">
        <v>142</v>
      </c>
      <c r="J110" s="3" t="s">
        <v>143</v>
      </c>
      <c r="K110" s="3">
        <v>2021</v>
      </c>
      <c r="L110" s="9" t="s">
        <v>287</v>
      </c>
      <c r="M110" s="3">
        <v>38.299999999999997</v>
      </c>
      <c r="N110" s="3" t="s">
        <v>288</v>
      </c>
      <c r="O110" s="3">
        <v>1.7</v>
      </c>
      <c r="Q110" s="3" t="s">
        <v>233</v>
      </c>
    </row>
    <row r="111" spans="1:17" ht="15.75" customHeight="1">
      <c r="A111" s="3" t="s">
        <v>119</v>
      </c>
      <c r="B111" s="3" t="s">
        <v>13</v>
      </c>
      <c r="C111" s="3">
        <v>1</v>
      </c>
      <c r="D111" s="3" t="s">
        <v>121</v>
      </c>
      <c r="E111" s="3" t="s">
        <v>158</v>
      </c>
      <c r="F111" s="3" t="s">
        <v>225</v>
      </c>
      <c r="G111" s="3" t="s">
        <v>226</v>
      </c>
      <c r="H111" s="3" t="s">
        <v>155</v>
      </c>
      <c r="I111" s="3" t="s">
        <v>142</v>
      </c>
      <c r="J111" s="3" t="s">
        <v>143</v>
      </c>
      <c r="K111" s="3">
        <v>2021</v>
      </c>
      <c r="L111" s="9" t="s">
        <v>287</v>
      </c>
      <c r="M111" s="3">
        <v>41</v>
      </c>
      <c r="N111" s="3" t="s">
        <v>289</v>
      </c>
      <c r="O111" s="3">
        <v>1.9</v>
      </c>
      <c r="Q111" s="3" t="s">
        <v>233</v>
      </c>
    </row>
    <row r="112" spans="1:17" ht="15.75" customHeight="1">
      <c r="A112" s="3" t="s">
        <v>119</v>
      </c>
      <c r="B112" s="3" t="s">
        <v>13</v>
      </c>
      <c r="C112" s="3">
        <v>1</v>
      </c>
      <c r="D112" s="3" t="s">
        <v>121</v>
      </c>
      <c r="E112" s="3" t="s">
        <v>161</v>
      </c>
      <c r="F112" s="3" t="s">
        <v>225</v>
      </c>
      <c r="G112" s="3" t="s">
        <v>226</v>
      </c>
      <c r="H112" s="3" t="s">
        <v>155</v>
      </c>
      <c r="I112" s="3" t="s">
        <v>142</v>
      </c>
      <c r="J112" s="3" t="s">
        <v>143</v>
      </c>
      <c r="K112" s="3">
        <v>2021</v>
      </c>
      <c r="L112" s="9" t="s">
        <v>287</v>
      </c>
      <c r="M112" s="3">
        <v>35.5</v>
      </c>
      <c r="N112" s="3" t="s">
        <v>290</v>
      </c>
      <c r="O112" s="3">
        <v>1.9</v>
      </c>
      <c r="Q112" s="3" t="s">
        <v>233</v>
      </c>
    </row>
    <row r="113" spans="1:18" ht="15.75" customHeight="1">
      <c r="A113" s="3" t="s">
        <v>119</v>
      </c>
      <c r="B113" s="3" t="s">
        <v>13</v>
      </c>
      <c r="C113" s="3">
        <v>1</v>
      </c>
      <c r="D113" s="3" t="s">
        <v>121</v>
      </c>
      <c r="E113" s="3" t="s">
        <v>154</v>
      </c>
      <c r="F113" s="3" t="s">
        <v>225</v>
      </c>
      <c r="G113" s="3" t="s">
        <v>226</v>
      </c>
      <c r="H113" s="3" t="s">
        <v>155</v>
      </c>
      <c r="I113" s="3" t="s">
        <v>228</v>
      </c>
      <c r="J113" s="3" t="s">
        <v>143</v>
      </c>
      <c r="K113" s="3">
        <v>2021</v>
      </c>
      <c r="L113" s="9" t="s">
        <v>287</v>
      </c>
      <c r="M113" s="3">
        <f>(53.6-19)/1.35</f>
        <v>25.62962962962963</v>
      </c>
      <c r="Q113" s="3" t="s">
        <v>229</v>
      </c>
    </row>
    <row r="114" spans="1:18" ht="15.75" customHeight="1">
      <c r="A114" s="3" t="s">
        <v>119</v>
      </c>
      <c r="B114" s="3" t="s">
        <v>13</v>
      </c>
      <c r="C114" s="3">
        <v>1</v>
      </c>
      <c r="D114" s="3" t="s">
        <v>121</v>
      </c>
      <c r="E114" s="3" t="s">
        <v>158</v>
      </c>
      <c r="F114" s="3" t="s">
        <v>225</v>
      </c>
      <c r="G114" s="3" t="s">
        <v>226</v>
      </c>
      <c r="H114" s="3" t="s">
        <v>155</v>
      </c>
      <c r="I114" s="3" t="s">
        <v>228</v>
      </c>
      <c r="J114" s="3" t="s">
        <v>143</v>
      </c>
      <c r="K114" s="3">
        <v>2021</v>
      </c>
      <c r="L114" s="9" t="s">
        <v>287</v>
      </c>
      <c r="M114" s="3">
        <f>(57.6-20.7)/1.35</f>
        <v>27.333333333333336</v>
      </c>
      <c r="Q114" s="3" t="s">
        <v>229</v>
      </c>
    </row>
    <row r="115" spans="1:18" ht="15.75" customHeight="1">
      <c r="A115" s="3" t="s">
        <v>119</v>
      </c>
      <c r="B115" s="3" t="s">
        <v>13</v>
      </c>
      <c r="C115" s="3">
        <v>1</v>
      </c>
      <c r="D115" s="3" t="s">
        <v>121</v>
      </c>
      <c r="E115" s="3" t="s">
        <v>161</v>
      </c>
      <c r="F115" s="3" t="s">
        <v>225</v>
      </c>
      <c r="G115" s="3" t="s">
        <v>226</v>
      </c>
      <c r="H115" s="3" t="s">
        <v>155</v>
      </c>
      <c r="I115" s="3" t="s">
        <v>228</v>
      </c>
      <c r="J115" s="3" t="s">
        <v>143</v>
      </c>
      <c r="K115" s="3">
        <v>2021</v>
      </c>
      <c r="L115" s="9" t="s">
        <v>287</v>
      </c>
      <c r="M115" s="3">
        <f>(49.5-17.1)/1.35</f>
        <v>23.999999999999996</v>
      </c>
      <c r="Q115" s="3" t="s">
        <v>229</v>
      </c>
    </row>
    <row r="116" spans="1:18" ht="15.75" customHeight="1">
      <c r="A116" s="3" t="s">
        <v>119</v>
      </c>
      <c r="B116" s="3" t="s">
        <v>13</v>
      </c>
      <c r="C116" s="3">
        <v>1</v>
      </c>
      <c r="D116" s="3" t="s">
        <v>121</v>
      </c>
      <c r="E116" s="3" t="s">
        <v>196</v>
      </c>
      <c r="F116" s="3" t="s">
        <v>235</v>
      </c>
      <c r="G116" s="3" t="s">
        <v>236</v>
      </c>
      <c r="H116" s="3" t="s">
        <v>237</v>
      </c>
      <c r="I116" s="3" t="s">
        <v>124</v>
      </c>
      <c r="J116" s="3" t="s">
        <v>125</v>
      </c>
      <c r="K116" s="3">
        <v>2026</v>
      </c>
      <c r="L116" s="9" t="s">
        <v>291</v>
      </c>
      <c r="M116" s="3">
        <v>30</v>
      </c>
      <c r="Q116" s="3" t="s">
        <v>292</v>
      </c>
    </row>
    <row r="117" spans="1:18" ht="15.75" customHeight="1">
      <c r="A117" s="3" t="s">
        <v>119</v>
      </c>
      <c r="B117" s="3" t="s">
        <v>13</v>
      </c>
      <c r="C117" s="3">
        <v>1</v>
      </c>
      <c r="D117" s="3" t="s">
        <v>121</v>
      </c>
      <c r="E117" s="3" t="s">
        <v>196</v>
      </c>
      <c r="F117" s="3" t="s">
        <v>235</v>
      </c>
      <c r="G117" s="3" t="s">
        <v>236</v>
      </c>
      <c r="H117" s="3" t="s">
        <v>237</v>
      </c>
      <c r="I117" s="3" t="s">
        <v>124</v>
      </c>
      <c r="J117" s="3" t="s">
        <v>125</v>
      </c>
      <c r="K117" s="3">
        <v>2026</v>
      </c>
      <c r="L117" s="3" t="s">
        <v>293</v>
      </c>
      <c r="M117" s="3">
        <v>54</v>
      </c>
      <c r="Q117" s="3" t="s">
        <v>224</v>
      </c>
      <c r="R117" s="9"/>
    </row>
    <row r="118" spans="1:18" ht="15.75" customHeight="1">
      <c r="A118" s="3" t="s">
        <v>213</v>
      </c>
      <c r="B118" s="3" t="s">
        <v>13</v>
      </c>
      <c r="C118" s="3">
        <v>1</v>
      </c>
      <c r="D118" s="3" t="s">
        <v>121</v>
      </c>
      <c r="E118" s="3" t="s">
        <v>196</v>
      </c>
      <c r="F118" s="3" t="s">
        <v>235</v>
      </c>
      <c r="G118" s="3" t="s">
        <v>236</v>
      </c>
      <c r="H118" s="3" t="s">
        <v>237</v>
      </c>
      <c r="I118" s="3" t="s">
        <v>124</v>
      </c>
      <c r="J118" s="3" t="s">
        <v>125</v>
      </c>
      <c r="K118" s="3">
        <v>2026</v>
      </c>
      <c r="L118" s="13" t="s">
        <v>293</v>
      </c>
      <c r="M118" s="3">
        <v>50</v>
      </c>
      <c r="Q118" s="3" t="s">
        <v>224</v>
      </c>
    </row>
    <row r="119" spans="1:18" ht="15.75" customHeight="1">
      <c r="A119" s="3" t="s">
        <v>213</v>
      </c>
      <c r="B119" s="3" t="s">
        <v>120</v>
      </c>
      <c r="C119" s="3">
        <v>2</v>
      </c>
      <c r="D119" s="3" t="s">
        <v>121</v>
      </c>
      <c r="E119" s="3" t="s">
        <v>196</v>
      </c>
      <c r="F119" s="3" t="s">
        <v>235</v>
      </c>
      <c r="G119" s="3" t="s">
        <v>236</v>
      </c>
      <c r="H119" s="3" t="s">
        <v>237</v>
      </c>
      <c r="I119" s="3" t="s">
        <v>124</v>
      </c>
      <c r="J119" s="3" t="s">
        <v>125</v>
      </c>
      <c r="K119" s="3">
        <v>2026</v>
      </c>
      <c r="L119" s="13" t="s">
        <v>294</v>
      </c>
      <c r="M119" s="3">
        <v>15</v>
      </c>
      <c r="Q119" s="3" t="s">
        <v>224</v>
      </c>
    </row>
  </sheetData>
  <conditionalFormatting sqref="A2:S119">
    <cfRule type="expression" dxfId="21" priority="1">
      <formula>ISNUMBER(SEARCH("Yes", $Q2))</formula>
    </cfRule>
  </conditionalFormatting>
  <hyperlinks>
    <hyperlink ref="L2" r:id="rId1" xr:uid="{0F5F8027-ECFF-45CF-A967-97259CA27A59}"/>
    <hyperlink ref="L29:L56" r:id="rId2" display="NFCMS, Table 166, p 215" xr:uid="{3A6A3260-762A-47BE-8156-E33CB110846C}"/>
    <hyperlink ref="L43:L48" r:id="rId3" display="NFCMS, Table 166, p 215" xr:uid="{D5F2715F-A475-4B05-920F-81036B6C64B6}"/>
    <hyperlink ref="L50" r:id="rId4" display="NFCMS, Table 166, p 215" xr:uid="{01E22B4F-3F62-42A5-994C-911062C10676}"/>
    <hyperlink ref="L54:L56" r:id="rId5" display="NFCMS, Table 166, p 215" xr:uid="{A73D664B-137C-4BF2-B142-65182A32E300}"/>
    <hyperlink ref="L59" r:id="rId6" xr:uid="{364866DF-D55F-4CF9-92B0-32B7FEC06CE0}"/>
    <hyperlink ref="L60" r:id="rId7" xr:uid="{1BB2A01C-EE59-4ED0-B06E-99409744EBAC}"/>
    <hyperlink ref="L61" r:id="rId8" xr:uid="{76497E8B-4B17-4EA5-AFCB-5771AE501E03}"/>
    <hyperlink ref="L62" r:id="rId9" xr:uid="{34D57D93-EC28-4698-A591-CE0A6858EE36}"/>
    <hyperlink ref="L63" r:id="rId10" xr:uid="{66A23132-5BCE-4FE2-BD04-98266CF95245}"/>
    <hyperlink ref="L64" r:id="rId11" xr:uid="{67050E11-DCE0-4564-B9C8-8E404355E21F}"/>
    <hyperlink ref="L86" r:id="rId12" xr:uid="{3A0F21DD-3C75-43D1-B493-6AF49F82851D}"/>
    <hyperlink ref="L85" r:id="rId13" xr:uid="{D87C08A9-FF71-4435-8176-0C7122855499}"/>
    <hyperlink ref="L84" r:id="rId14" xr:uid="{B36CA1DD-4256-4F7F-BC79-CF90395706B6}"/>
    <hyperlink ref="L83" r:id="rId15" xr:uid="{DD7B8484-A284-4E3E-873B-757B1FC9B4C9}"/>
    <hyperlink ref="L82" r:id="rId16" xr:uid="{86A2A30A-205C-4D5A-AEE9-C3E2B28F15E8}"/>
    <hyperlink ref="L81" r:id="rId17" xr:uid="{F893009D-5006-474B-AA1C-E15B45293CE5}"/>
    <hyperlink ref="L80" r:id="rId18" xr:uid="{C1030DB5-2434-4B16-80FE-54BCA6D937BD}"/>
    <hyperlink ref="L79" r:id="rId19" xr:uid="{DDEA47C1-0C6D-4777-8034-4843264469D2}"/>
    <hyperlink ref="L78" r:id="rId20" xr:uid="{C212D0E2-D41A-4C33-AE79-B29B0AFE0680}"/>
    <hyperlink ref="L77" r:id="rId21" xr:uid="{BFFD1E22-E4CF-4066-8BE2-4C207FD72256}"/>
    <hyperlink ref="L76" r:id="rId22" xr:uid="{9CCF554A-5F3E-4864-A863-0EBD08F3D771}"/>
    <hyperlink ref="L75" r:id="rId23" xr:uid="{BB685AEC-DEE2-4CF3-9172-6B4C76D42EF1}"/>
    <hyperlink ref="L74" r:id="rId24" xr:uid="{8077C7AB-E710-44C9-A602-A23E87D120CB}"/>
    <hyperlink ref="L73" r:id="rId25" xr:uid="{83F3F761-EE1F-419C-94CC-70561457B443}"/>
    <hyperlink ref="L72" r:id="rId26" xr:uid="{F0FAD45B-5D6B-4446-A2E6-046998870F1A}"/>
    <hyperlink ref="L71" r:id="rId27" xr:uid="{1370B9FD-3B4B-471C-9B20-A6842004DF44}"/>
    <hyperlink ref="L70" r:id="rId28" xr:uid="{66C785C0-2C6F-4667-94E6-C5562DF03A5D}"/>
    <hyperlink ref="L69" r:id="rId29" xr:uid="{47841EBE-5362-46DE-BC7D-922FDF4346A9}"/>
    <hyperlink ref="L68" r:id="rId30" xr:uid="{7138FF50-B042-46D9-A619-21EB53CE61DB}"/>
    <hyperlink ref="L67" r:id="rId31" xr:uid="{3ED887E1-9589-44C6-9322-B3677392EA9F}"/>
    <hyperlink ref="S87" r:id="rId32" xr:uid="{18816624-3241-41B0-854E-79A155A0E4C8}"/>
    <hyperlink ref="L66" r:id="rId33" display="NFCMS, Table 169, p 220" xr:uid="{7EDA3E6C-856F-4ADB-913B-24EC5E49990A}"/>
    <hyperlink ref="L110" r:id="rId34" display="NFCMS, Table 171, p 223" xr:uid="{51D2B3FD-73C2-49A9-86A4-8C89695780CD}"/>
    <hyperlink ref="L96" r:id="rId35" display="NFCMS, Table 170, p 222" xr:uid="{0652BBED-C374-4A65-A253-8BFE6E0CF142}"/>
    <hyperlink ref="L65" r:id="rId36" display="NFCMS, Table 169, p 220" xr:uid="{0C6DF5DE-B666-4A4D-AC69-7EC1DE32768D}"/>
    <hyperlink ref="L97" r:id="rId37" display="NFCMS, Table 170, p 222" xr:uid="{5FEEF394-3544-44FE-A30A-01CDC85EF15A}"/>
    <hyperlink ref="L98" r:id="rId38" display="NFCMS, Table 170, p 222" xr:uid="{8BE1FC06-C14D-4C2A-83D5-C8E94F57786C}"/>
    <hyperlink ref="L99" r:id="rId39" display="NFCMS, Table 170, p 222" xr:uid="{82FE3717-E2F2-4D96-AF7C-58089CE3DD5A}"/>
    <hyperlink ref="L100" r:id="rId40" display="NFCMS, Table 170, p 222" xr:uid="{FCA34350-B311-4DB5-88D2-FD685D37DD35}"/>
    <hyperlink ref="L101" r:id="rId41" display="NFCMS, Table 170, p 222" xr:uid="{1C9728F5-CFBD-4F61-90FC-E80E2DE27AA3}"/>
    <hyperlink ref="L102" r:id="rId42" display="NFCMS, Table 170, p 222" xr:uid="{751E6EBB-F67F-42A2-AD7D-C4E7B70A7EA4}"/>
    <hyperlink ref="L103" r:id="rId43" display="NFCMS, Table 170, p 222" xr:uid="{CEE4C315-F001-4788-A50B-D94F268B2A91}"/>
    <hyperlink ref="L104" r:id="rId44" display="NFCMS, Table 170, p 222" xr:uid="{88072941-467B-45B0-A8C8-4D1086F9B0A8}"/>
    <hyperlink ref="L105" r:id="rId45" display="NFCMS, Table 170, p 222" xr:uid="{9BCBD374-E36F-4778-B29B-870966ED9297}"/>
    <hyperlink ref="L106" r:id="rId46" display="NFCMS, Table 170, p 222" xr:uid="{8537AB93-60DE-4FCC-9F54-4F702708B5C0}"/>
    <hyperlink ref="L107" r:id="rId47" display="NFCMS, Table 170, p 222" xr:uid="{6D17A71E-063D-4457-AE91-A5A6CC76FA7B}"/>
    <hyperlink ref="L108" r:id="rId48" display="NFCMS, Table 170, p 222" xr:uid="{99FAE4F4-E935-4642-9C46-70ACAF1E87FB}"/>
    <hyperlink ref="L109" r:id="rId49" display="NFCMS, Table 170, p 222" xr:uid="{9F7445B6-CE94-4F41-83FD-09BAC2BBEB6D}"/>
    <hyperlink ref="L111" r:id="rId50" display="NFCMS, Table 171, p 223" xr:uid="{E9479483-AF02-479D-B22A-8108E44748A1}"/>
    <hyperlink ref="L112" r:id="rId51" display="NFCMS, Table 171, p 223" xr:uid="{7309056B-6570-485E-B229-BFCBAD8FD08F}"/>
    <hyperlink ref="L113" r:id="rId52" display="NFCMS, Table 171, p 223" xr:uid="{8FB61346-3E17-4ADC-8BA2-1ACBE7AE6B45}"/>
    <hyperlink ref="L114" r:id="rId53" display="NFCMS, Table 171, p 223" xr:uid="{AD14CC4C-7DAD-49B6-9BB4-1081DBB8BE87}"/>
    <hyperlink ref="L115" r:id="rId54" display="NFCMS, Table 171, p 223" xr:uid="{CD694D31-B0B1-4A5D-832E-70D82D71F67F}"/>
    <hyperlink ref="L116" r:id="rId55" xr:uid="{0958BA0E-4C6B-4844-9AD6-36150916D205}"/>
  </hyperlinks>
  <pageMargins left="0.7" right="0.7" top="0.75" bottom="0.75" header="0.3" footer="0.3"/>
  <tableParts count="1">
    <tablePart r:id="rId56"/>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52803-891E-431F-BC37-01F21C88B22B}">
  <sheetPr codeName="Sheet4"/>
  <dimension ref="A1:Q24"/>
  <sheetViews>
    <sheetView tabSelected="1" topLeftCell="H14" zoomScale="96" zoomScaleNormal="100" workbookViewId="0">
      <selection activeCell="M24" sqref="M24"/>
    </sheetView>
  </sheetViews>
  <sheetFormatPr defaultColWidth="8.75" defaultRowHeight="15.6"/>
  <cols>
    <col min="1" max="1" width="17.75" style="3" customWidth="1"/>
    <col min="2" max="2" width="8.75" style="3"/>
    <col min="3" max="4" width="10" style="3" customWidth="1"/>
    <col min="5" max="5" width="16.5" style="3" bestFit="1" customWidth="1"/>
    <col min="6" max="7" width="22.25" customWidth="1"/>
    <col min="8" max="8" width="51.25" style="3" customWidth="1"/>
    <col min="9" max="9" width="17.125" style="3" customWidth="1"/>
    <col min="10" max="11" width="8.75" style="3"/>
    <col min="12" max="12" width="42.75" style="3" customWidth="1"/>
    <col min="13" max="13" width="11.875" style="3" bestFit="1" customWidth="1"/>
    <col min="14" max="14" width="19" style="3" customWidth="1"/>
    <col min="15" max="15" width="38.25" style="3" customWidth="1"/>
    <col min="16" max="16" width="16.125" style="3" customWidth="1"/>
    <col min="17" max="17" width="45.375" style="3" customWidth="1"/>
    <col min="18" max="16384" width="8.75" style="3"/>
  </cols>
  <sheetData>
    <row r="1" spans="1:17">
      <c r="A1" s="8" t="s">
        <v>111</v>
      </c>
      <c r="B1" s="8" t="s">
        <v>0</v>
      </c>
      <c r="C1" s="8" t="s">
        <v>295</v>
      </c>
      <c r="D1" s="8" t="s">
        <v>215</v>
      </c>
      <c r="E1" s="8" t="s">
        <v>112</v>
      </c>
      <c r="F1" s="10" t="s">
        <v>216</v>
      </c>
      <c r="G1" s="10" t="s">
        <v>296</v>
      </c>
      <c r="H1" s="8" t="s">
        <v>3</v>
      </c>
      <c r="I1" s="8" t="s">
        <v>114</v>
      </c>
      <c r="J1" s="8" t="s">
        <v>5</v>
      </c>
      <c r="K1" s="8" t="s">
        <v>8</v>
      </c>
      <c r="L1" s="8" t="s">
        <v>115</v>
      </c>
      <c r="M1" s="8" t="s">
        <v>6</v>
      </c>
      <c r="N1" s="8" t="s">
        <v>128</v>
      </c>
      <c r="O1" s="8" t="s">
        <v>297</v>
      </c>
      <c r="P1" s="8" t="s">
        <v>219</v>
      </c>
      <c r="Q1" s="8" t="s">
        <v>12</v>
      </c>
    </row>
    <row r="2" spans="1:17">
      <c r="A2" s="3" t="s">
        <v>119</v>
      </c>
      <c r="B2" s="3" t="s">
        <v>120</v>
      </c>
      <c r="C2" s="3" t="s">
        <v>298</v>
      </c>
      <c r="D2" s="3">
        <v>2</v>
      </c>
      <c r="E2" s="3" t="s">
        <v>121</v>
      </c>
      <c r="F2" s="3" t="s">
        <v>299</v>
      </c>
      <c r="G2" s="3"/>
      <c r="H2" s="3" t="s">
        <v>300</v>
      </c>
      <c r="I2" s="3" t="s">
        <v>124</v>
      </c>
      <c r="J2" s="3" t="s">
        <v>125</v>
      </c>
      <c r="K2" s="3">
        <v>2022</v>
      </c>
      <c r="L2" s="9" t="s">
        <v>131</v>
      </c>
      <c r="M2" s="3">
        <v>12.6</v>
      </c>
      <c r="O2" s="3" t="s">
        <v>301</v>
      </c>
      <c r="Q2" s="3" t="s">
        <v>302</v>
      </c>
    </row>
    <row r="3" spans="1:17" ht="46.9">
      <c r="A3" s="3" t="s">
        <v>119</v>
      </c>
      <c r="B3" s="3" t="s">
        <v>120</v>
      </c>
      <c r="C3" s="3" t="s">
        <v>298</v>
      </c>
      <c r="D3" s="3">
        <v>2</v>
      </c>
      <c r="E3" s="3" t="s">
        <v>121</v>
      </c>
      <c r="F3" t="s">
        <v>303</v>
      </c>
      <c r="H3" s="3" t="s">
        <v>304</v>
      </c>
      <c r="I3" s="3" t="s">
        <v>305</v>
      </c>
      <c r="J3" s="3" t="s">
        <v>306</v>
      </c>
      <c r="K3" s="3">
        <v>2021</v>
      </c>
      <c r="L3" s="9" t="s">
        <v>307</v>
      </c>
      <c r="M3" s="3">
        <v>53.9</v>
      </c>
      <c r="O3" s="3" t="s">
        <v>308</v>
      </c>
      <c r="Q3" s="3" t="s">
        <v>309</v>
      </c>
    </row>
    <row r="4" spans="1:17" ht="46.9">
      <c r="A4" s="3" t="s">
        <v>119</v>
      </c>
      <c r="B4" s="3" t="s">
        <v>120</v>
      </c>
      <c r="C4" s="3" t="s">
        <v>298</v>
      </c>
      <c r="D4" s="3">
        <v>2</v>
      </c>
      <c r="E4" s="3" t="s">
        <v>121</v>
      </c>
      <c r="F4" s="3" t="s">
        <v>303</v>
      </c>
      <c r="H4" s="3" t="s">
        <v>304</v>
      </c>
      <c r="I4" s="3" t="s">
        <v>305</v>
      </c>
      <c r="J4" s="3" t="s">
        <v>306</v>
      </c>
      <c r="K4" s="3">
        <v>2021</v>
      </c>
      <c r="L4" s="18" t="s">
        <v>310</v>
      </c>
      <c r="M4" s="3">
        <v>40</v>
      </c>
      <c r="O4" s="3" t="s">
        <v>308</v>
      </c>
    </row>
    <row r="5" spans="1:17" ht="62.45">
      <c r="A5" s="3" t="s">
        <v>119</v>
      </c>
      <c r="B5" s="3" t="s">
        <v>120</v>
      </c>
      <c r="C5" s="3" t="s">
        <v>298</v>
      </c>
      <c r="D5" s="3">
        <v>2</v>
      </c>
      <c r="E5" s="3" t="s">
        <v>121</v>
      </c>
      <c r="F5" t="s">
        <v>311</v>
      </c>
      <c r="G5" s="3" t="s">
        <v>312</v>
      </c>
      <c r="H5" t="s">
        <v>313</v>
      </c>
      <c r="I5" s="3" t="s">
        <v>124</v>
      </c>
      <c r="J5" s="3" t="s">
        <v>125</v>
      </c>
      <c r="K5" s="3">
        <v>2026</v>
      </c>
      <c r="L5" s="3" t="s">
        <v>293</v>
      </c>
      <c r="M5" s="3">
        <v>63</v>
      </c>
      <c r="O5" s="3" t="s">
        <v>224</v>
      </c>
      <c r="Q5" s="3" t="s">
        <v>314</v>
      </c>
    </row>
    <row r="6" spans="1:17" ht="62.45">
      <c r="A6" s="3" t="s">
        <v>119</v>
      </c>
      <c r="B6" s="3" t="s">
        <v>120</v>
      </c>
      <c r="C6" s="3" t="s">
        <v>298</v>
      </c>
      <c r="D6" s="3">
        <v>2</v>
      </c>
      <c r="E6" s="3" t="s">
        <v>121</v>
      </c>
      <c r="F6" s="3" t="s">
        <v>311</v>
      </c>
      <c r="G6" s="3" t="s">
        <v>312</v>
      </c>
      <c r="H6" t="s">
        <v>313</v>
      </c>
      <c r="I6" s="3" t="s">
        <v>124</v>
      </c>
      <c r="J6" s="3" t="s">
        <v>125</v>
      </c>
      <c r="L6" s="9" t="s">
        <v>315</v>
      </c>
      <c r="M6" s="3">
        <v>73</v>
      </c>
      <c r="O6" s="3" t="s">
        <v>292</v>
      </c>
      <c r="Q6" s="3" t="s">
        <v>316</v>
      </c>
    </row>
    <row r="7" spans="1:17" ht="31.15">
      <c r="A7" s="3" t="s">
        <v>119</v>
      </c>
      <c r="B7" s="3" t="s">
        <v>120</v>
      </c>
      <c r="C7" s="3" t="s">
        <v>298</v>
      </c>
      <c r="D7" s="3">
        <v>2</v>
      </c>
      <c r="E7" s="3" t="s">
        <v>121</v>
      </c>
      <c r="F7" s="3" t="s">
        <v>317</v>
      </c>
      <c r="G7" s="3" t="s">
        <v>318</v>
      </c>
      <c r="H7" s="3" t="s">
        <v>319</v>
      </c>
      <c r="I7" s="3" t="s">
        <v>124</v>
      </c>
      <c r="J7" s="3" t="s">
        <v>125</v>
      </c>
      <c r="L7" s="3" t="s">
        <v>320</v>
      </c>
      <c r="M7" s="3">
        <v>17.600000000000001</v>
      </c>
      <c r="O7" s="3" t="s">
        <v>224</v>
      </c>
      <c r="Q7" s="3" t="s">
        <v>314</v>
      </c>
    </row>
    <row r="8" spans="1:17">
      <c r="A8" s="3" t="s">
        <v>119</v>
      </c>
      <c r="B8" s="3" t="s">
        <v>120</v>
      </c>
      <c r="C8" s="3" t="s">
        <v>321</v>
      </c>
      <c r="D8" s="3">
        <v>2</v>
      </c>
      <c r="E8" s="3" t="s">
        <v>121</v>
      </c>
      <c r="F8" s="3" t="s">
        <v>299</v>
      </c>
      <c r="G8" s="3"/>
      <c r="H8" s="3" t="s">
        <v>300</v>
      </c>
      <c r="I8" s="3" t="s">
        <v>124</v>
      </c>
      <c r="J8" s="3" t="s">
        <v>125</v>
      </c>
      <c r="L8" s="3" t="s">
        <v>241</v>
      </c>
      <c r="M8" s="3">
        <v>0</v>
      </c>
      <c r="O8" s="3" t="s">
        <v>301</v>
      </c>
    </row>
    <row r="9" spans="1:17" ht="46.9">
      <c r="A9" s="3" t="s">
        <v>119</v>
      </c>
      <c r="B9" s="3" t="s">
        <v>120</v>
      </c>
      <c r="C9" s="3" t="s">
        <v>321</v>
      </c>
      <c r="D9" s="3">
        <v>2</v>
      </c>
      <c r="E9" s="3" t="s">
        <v>121</v>
      </c>
      <c r="F9" t="s">
        <v>303</v>
      </c>
      <c r="H9" s="3" t="s">
        <v>304</v>
      </c>
      <c r="I9" s="3" t="s">
        <v>305</v>
      </c>
      <c r="J9" s="3" t="s">
        <v>306</v>
      </c>
      <c r="L9" s="3" t="s">
        <v>241</v>
      </c>
      <c r="M9" s="3">
        <v>0</v>
      </c>
      <c r="O9" s="3" t="s">
        <v>308</v>
      </c>
      <c r="Q9" s="3" t="s">
        <v>322</v>
      </c>
    </row>
    <row r="10" spans="1:17" ht="62.45">
      <c r="A10" s="3" t="s">
        <v>119</v>
      </c>
      <c r="B10" s="3" t="s">
        <v>120</v>
      </c>
      <c r="C10" s="3" t="s">
        <v>321</v>
      </c>
      <c r="D10" s="3">
        <v>2</v>
      </c>
      <c r="E10" s="3" t="s">
        <v>121</v>
      </c>
      <c r="F10" t="s">
        <v>311</v>
      </c>
      <c r="G10" s="3" t="s">
        <v>312</v>
      </c>
      <c r="H10" t="s">
        <v>313</v>
      </c>
      <c r="I10" s="3" t="s">
        <v>124</v>
      </c>
      <c r="J10" s="3" t="s">
        <v>125</v>
      </c>
      <c r="L10" s="3" t="s">
        <v>241</v>
      </c>
      <c r="M10" s="3">
        <v>0</v>
      </c>
      <c r="O10" s="3" t="s">
        <v>292</v>
      </c>
      <c r="Q10" s="9" t="s">
        <v>323</v>
      </c>
    </row>
    <row r="11" spans="1:17" ht="62.45">
      <c r="A11" s="3" t="s">
        <v>119</v>
      </c>
      <c r="B11" s="3" t="s">
        <v>120</v>
      </c>
      <c r="C11" s="3" t="s">
        <v>321</v>
      </c>
      <c r="D11" s="3">
        <v>2</v>
      </c>
      <c r="E11" s="3" t="s">
        <v>121</v>
      </c>
      <c r="F11" t="s">
        <v>311</v>
      </c>
      <c r="G11" s="3" t="s">
        <v>312</v>
      </c>
      <c r="H11" t="s">
        <v>313</v>
      </c>
      <c r="I11" s="3" t="s">
        <v>124</v>
      </c>
      <c r="J11" s="3" t="s">
        <v>125</v>
      </c>
      <c r="L11" s="3" t="s">
        <v>241</v>
      </c>
      <c r="M11" s="3">
        <v>63</v>
      </c>
      <c r="O11" s="3" t="s">
        <v>224</v>
      </c>
      <c r="Q11" s="3" t="s">
        <v>314</v>
      </c>
    </row>
    <row r="12" spans="1:17" ht="31.15">
      <c r="A12" s="3" t="s">
        <v>119</v>
      </c>
      <c r="B12" s="3" t="s">
        <v>120</v>
      </c>
      <c r="C12" s="3" t="s">
        <v>321</v>
      </c>
      <c r="D12" s="3">
        <v>2</v>
      </c>
      <c r="E12" s="3" t="s">
        <v>121</v>
      </c>
      <c r="F12" s="3" t="s">
        <v>317</v>
      </c>
      <c r="G12" s="3" t="s">
        <v>318</v>
      </c>
      <c r="H12" s="3" t="s">
        <v>319</v>
      </c>
      <c r="I12" s="3" t="s">
        <v>124</v>
      </c>
      <c r="J12" s="3" t="s">
        <v>125</v>
      </c>
      <c r="L12" s="3" t="s">
        <v>324</v>
      </c>
      <c r="M12" s="3">
        <v>0</v>
      </c>
      <c r="O12" s="3" t="s">
        <v>292</v>
      </c>
      <c r="Q12" s="9" t="s">
        <v>325</v>
      </c>
    </row>
    <row r="13" spans="1:17" ht="31.15">
      <c r="A13" s="3" t="s">
        <v>119</v>
      </c>
      <c r="B13" s="3" t="s">
        <v>120</v>
      </c>
      <c r="C13" s="3" t="s">
        <v>321</v>
      </c>
      <c r="D13" s="3">
        <v>2</v>
      </c>
      <c r="E13" s="3" t="s">
        <v>121</v>
      </c>
      <c r="F13" s="3" t="s">
        <v>317</v>
      </c>
      <c r="G13" s="3" t="s">
        <v>318</v>
      </c>
      <c r="H13" s="3" t="s">
        <v>319</v>
      </c>
      <c r="I13" s="3" t="s">
        <v>124</v>
      </c>
      <c r="J13" s="3" t="s">
        <v>125</v>
      </c>
      <c r="L13" s="3" t="s">
        <v>320</v>
      </c>
      <c r="M13" s="3">
        <v>17.600000000000001</v>
      </c>
      <c r="O13" s="3" t="s">
        <v>224</v>
      </c>
      <c r="Q13" s="3" t="s">
        <v>314</v>
      </c>
    </row>
    <row r="14" spans="1:17" ht="78">
      <c r="A14" s="3" t="s">
        <v>119</v>
      </c>
      <c r="B14" s="3" t="s">
        <v>53</v>
      </c>
      <c r="C14" s="3" t="s">
        <v>321</v>
      </c>
      <c r="D14" s="3">
        <v>2</v>
      </c>
      <c r="E14" s="3" t="s">
        <v>121</v>
      </c>
      <c r="F14" s="3" t="s">
        <v>299</v>
      </c>
      <c r="G14" s="3"/>
      <c r="H14" s="3" t="s">
        <v>300</v>
      </c>
      <c r="I14" s="3" t="s">
        <v>124</v>
      </c>
      <c r="J14" s="3" t="s">
        <v>125</v>
      </c>
      <c r="L14" s="3" t="s">
        <v>241</v>
      </c>
      <c r="M14" s="3">
        <v>0</v>
      </c>
      <c r="O14" s="3" t="s">
        <v>301</v>
      </c>
      <c r="Q14" s="9" t="s">
        <v>326</v>
      </c>
    </row>
    <row r="15" spans="1:17" ht="46.9">
      <c r="A15" s="3" t="s">
        <v>119</v>
      </c>
      <c r="B15" s="3" t="s">
        <v>53</v>
      </c>
      <c r="C15" s="3" t="s">
        <v>321</v>
      </c>
      <c r="D15" s="3">
        <v>2</v>
      </c>
      <c r="E15" s="3" t="s">
        <v>121</v>
      </c>
      <c r="F15" t="s">
        <v>303</v>
      </c>
      <c r="H15" s="3" t="s">
        <v>304</v>
      </c>
      <c r="I15" s="3" t="s">
        <v>305</v>
      </c>
      <c r="J15" s="3" t="s">
        <v>306</v>
      </c>
      <c r="L15" s="3" t="s">
        <v>241</v>
      </c>
      <c r="M15" s="3">
        <v>0</v>
      </c>
      <c r="O15" s="3" t="s">
        <v>308</v>
      </c>
      <c r="Q15" s="3" t="s">
        <v>327</v>
      </c>
    </row>
    <row r="16" spans="1:17" ht="78">
      <c r="A16" s="3" t="s">
        <v>119</v>
      </c>
      <c r="B16" s="3" t="s">
        <v>53</v>
      </c>
      <c r="C16" s="3" t="s">
        <v>321</v>
      </c>
      <c r="D16" s="3">
        <v>2</v>
      </c>
      <c r="E16" s="3" t="s">
        <v>121</v>
      </c>
      <c r="F16" s="3" t="s">
        <v>311</v>
      </c>
      <c r="G16" s="3" t="s">
        <v>312</v>
      </c>
      <c r="H16" t="s">
        <v>313</v>
      </c>
      <c r="I16" s="3" t="s">
        <v>124</v>
      </c>
      <c r="J16" s="3" t="s">
        <v>125</v>
      </c>
      <c r="L16" s="3" t="s">
        <v>241</v>
      </c>
      <c r="M16" s="3">
        <v>0</v>
      </c>
      <c r="O16" s="3" t="s">
        <v>224</v>
      </c>
      <c r="Q16" s="3" t="s">
        <v>326</v>
      </c>
    </row>
    <row r="17" spans="1:17" ht="31.15">
      <c r="A17" s="3" t="s">
        <v>119</v>
      </c>
      <c r="B17" s="3" t="s">
        <v>53</v>
      </c>
      <c r="C17" s="3" t="s">
        <v>321</v>
      </c>
      <c r="D17" s="3">
        <v>2</v>
      </c>
      <c r="E17" s="3" t="s">
        <v>121</v>
      </c>
      <c r="F17" s="3" t="s">
        <v>317</v>
      </c>
      <c r="G17" s="3" t="s">
        <v>318</v>
      </c>
      <c r="H17" t="s">
        <v>319</v>
      </c>
      <c r="I17" s="3" t="s">
        <v>124</v>
      </c>
      <c r="J17" s="3" t="s">
        <v>125</v>
      </c>
      <c r="L17" s="3" t="s">
        <v>320</v>
      </c>
      <c r="M17" s="3">
        <v>0</v>
      </c>
      <c r="O17" s="3" t="s">
        <v>224</v>
      </c>
      <c r="Q17" s="3" t="s">
        <v>328</v>
      </c>
    </row>
    <row r="18" spans="1:17">
      <c r="A18" s="3" t="s">
        <v>119</v>
      </c>
      <c r="B18" s="3" t="s">
        <v>95</v>
      </c>
      <c r="C18" s="3" t="s">
        <v>298</v>
      </c>
      <c r="D18" s="3">
        <v>1</v>
      </c>
      <c r="E18" s="3" t="s">
        <v>121</v>
      </c>
      <c r="F18" s="3" t="s">
        <v>299</v>
      </c>
      <c r="G18" s="3"/>
      <c r="H18" s="3" t="s">
        <v>300</v>
      </c>
      <c r="I18" s="3" t="s">
        <v>124</v>
      </c>
      <c r="J18" s="3" t="s">
        <v>125</v>
      </c>
      <c r="L18" s="9" t="s">
        <v>131</v>
      </c>
      <c r="M18" s="3">
        <f>60.7/'Vehicle Consumption'!M59*100</f>
        <v>61.875637104994908</v>
      </c>
      <c r="N18" s="9"/>
      <c r="O18" s="3" t="s">
        <v>292</v>
      </c>
      <c r="Q18" s="15" t="s">
        <v>329</v>
      </c>
    </row>
    <row r="19" spans="1:17">
      <c r="A19" s="3" t="s">
        <v>119</v>
      </c>
      <c r="B19" s="3" t="s">
        <v>95</v>
      </c>
      <c r="C19" s="3" t="s">
        <v>298</v>
      </c>
      <c r="D19" s="3">
        <v>1</v>
      </c>
      <c r="E19" s="3" t="s">
        <v>130</v>
      </c>
      <c r="F19" s="3" t="s">
        <v>299</v>
      </c>
      <c r="G19" s="3"/>
      <c r="H19" s="3" t="s">
        <v>300</v>
      </c>
      <c r="I19" s="3" t="s">
        <v>124</v>
      </c>
      <c r="J19" s="3" t="s">
        <v>125</v>
      </c>
      <c r="L19" s="9" t="s">
        <v>131</v>
      </c>
      <c r="M19" s="3">
        <f>50/'Vehicle Consumption'!M60*100</f>
        <v>51.921079958463132</v>
      </c>
      <c r="N19"/>
      <c r="O19" s="3" t="s">
        <v>292</v>
      </c>
      <c r="Q19" s="15" t="s">
        <v>329</v>
      </c>
    </row>
    <row r="20" spans="1:17">
      <c r="A20" s="3" t="s">
        <v>119</v>
      </c>
      <c r="B20" s="3" t="s">
        <v>95</v>
      </c>
      <c r="C20" s="3" t="s">
        <v>298</v>
      </c>
      <c r="D20" s="3">
        <v>1</v>
      </c>
      <c r="E20" s="3" t="s">
        <v>133</v>
      </c>
      <c r="F20" s="3" t="s">
        <v>299</v>
      </c>
      <c r="G20" s="3"/>
      <c r="H20" s="3" t="s">
        <v>300</v>
      </c>
      <c r="I20" s="3" t="s">
        <v>124</v>
      </c>
      <c r="J20" s="3" t="s">
        <v>125</v>
      </c>
      <c r="L20" s="9" t="s">
        <v>131</v>
      </c>
      <c r="M20" s="3">
        <f>57.3/'Vehicle Consumption'!M61*100</f>
        <v>58.409785932721711</v>
      </c>
      <c r="O20" s="3" t="s">
        <v>292</v>
      </c>
      <c r="Q20" s="15" t="s">
        <v>329</v>
      </c>
    </row>
    <row r="21" spans="1:17">
      <c r="A21" s="3" t="s">
        <v>119</v>
      </c>
      <c r="B21" s="3" t="s">
        <v>95</v>
      </c>
      <c r="C21" s="3" t="s">
        <v>298</v>
      </c>
      <c r="D21" s="3">
        <v>1</v>
      </c>
      <c r="E21" s="3" t="s">
        <v>135</v>
      </c>
      <c r="F21" s="3" t="s">
        <v>299</v>
      </c>
      <c r="G21" s="3"/>
      <c r="H21" s="3" t="s">
        <v>300</v>
      </c>
      <c r="I21" s="3" t="s">
        <v>124</v>
      </c>
      <c r="J21" s="3" t="s">
        <v>125</v>
      </c>
      <c r="L21" s="9" t="s">
        <v>131</v>
      </c>
      <c r="M21" s="3">
        <f>63.3/'Vehicle Consumption'!M62*100</f>
        <v>63.810483870967737</v>
      </c>
      <c r="O21" s="3" t="s">
        <v>292</v>
      </c>
      <c r="Q21" s="15" t="s">
        <v>329</v>
      </c>
    </row>
    <row r="22" spans="1:17">
      <c r="A22" s="3" t="s">
        <v>119</v>
      </c>
      <c r="B22" s="3" t="s">
        <v>95</v>
      </c>
      <c r="C22" s="3" t="s">
        <v>298</v>
      </c>
      <c r="D22" s="3">
        <v>1</v>
      </c>
      <c r="E22" s="3" t="s">
        <v>137</v>
      </c>
      <c r="F22" s="3" t="s">
        <v>299</v>
      </c>
      <c r="G22" s="3"/>
      <c r="H22" s="3" t="s">
        <v>300</v>
      </c>
      <c r="I22" s="3" t="s">
        <v>124</v>
      </c>
      <c r="J22" s="3" t="s">
        <v>125</v>
      </c>
      <c r="L22" s="9" t="s">
        <v>131</v>
      </c>
      <c r="M22" s="3">
        <f>66/'Vehicle Consumption'!M63*100</f>
        <v>66.937119675456387</v>
      </c>
      <c r="O22" s="3" t="s">
        <v>292</v>
      </c>
      <c r="Q22" s="15" t="s">
        <v>329</v>
      </c>
    </row>
    <row r="23" spans="1:17">
      <c r="A23" s="3" t="s">
        <v>119</v>
      </c>
      <c r="B23" s="3" t="s">
        <v>95</v>
      </c>
      <c r="C23" s="3" t="s">
        <v>298</v>
      </c>
      <c r="D23" s="3">
        <v>1</v>
      </c>
      <c r="E23" s="3" t="s">
        <v>139</v>
      </c>
      <c r="F23" s="3" t="s">
        <v>299</v>
      </c>
      <c r="G23" s="3"/>
      <c r="H23" s="3" t="s">
        <v>300</v>
      </c>
      <c r="I23" s="3" t="s">
        <v>124</v>
      </c>
      <c r="J23" s="3" t="s">
        <v>125</v>
      </c>
      <c r="L23" s="9" t="s">
        <v>131</v>
      </c>
      <c r="M23" s="3">
        <f>69/'Vehicle Consumption'!M64*100</f>
        <v>69.979716024340775</v>
      </c>
      <c r="O23" s="3" t="s">
        <v>292</v>
      </c>
      <c r="Q23" s="15" t="s">
        <v>329</v>
      </c>
    </row>
    <row r="24" spans="1:17">
      <c r="A24" s="3" t="s">
        <v>213</v>
      </c>
      <c r="B24" s="3" t="s">
        <v>13</v>
      </c>
      <c r="F24" t="s">
        <v>311</v>
      </c>
      <c r="H24" s="3" t="s">
        <v>313</v>
      </c>
      <c r="I24" s="3" t="s">
        <v>124</v>
      </c>
      <c r="J24" s="3" t="s">
        <v>125</v>
      </c>
      <c r="M24" s="3">
        <v>50</v>
      </c>
      <c r="Q24" s="3" t="s">
        <v>330</v>
      </c>
    </row>
  </sheetData>
  <dataValidations count="2">
    <dataValidation allowBlank="1" showInputMessage="1" showErrorMessage="1" sqref="A1:B15" xr:uid="{FDB3DCBA-31CD-43C5-A0A2-CD1C8D44B2AB}"/>
    <dataValidation type="list" allowBlank="1" showInputMessage="1" showErrorMessage="1" sqref="E1:E15" xr:uid="{B171E11D-AF4A-4B55-A7C9-BBFEF6D219AB}">
      <formula1>"All (assumed same),Total,Lowest,Second,Middle,Fourth,Highest"</formula1>
    </dataValidation>
  </dataValidations>
  <hyperlinks>
    <hyperlink ref="L2" r:id="rId1" display="NFCMS, Table 177, p. 228" xr:uid="{5681E31B-CC31-41DC-BA5C-354CA5FA1700}"/>
    <hyperlink ref="L3" r:id="rId2" display="NFCMS, Table 177, p. 228" xr:uid="{B5921F43-5706-42FA-BB70-27546EE0D3AB}"/>
    <hyperlink ref="L6" r:id="rId3" display="NFCMS, Table 177, p. 228" xr:uid="{50616653-EA79-4307-AE77-6A90B990D7B8}"/>
    <hyperlink ref="Q10" r:id="rId4" xr:uid="{53BE4EC1-5D88-464E-944C-D4A48068E910}"/>
    <hyperlink ref="Q12" r:id="rId5" xr:uid="{AB329FEA-A1A7-4C72-ADBE-F43B98886511}"/>
    <hyperlink ref="Q14" r:id="rId6" xr:uid="{4FA6A4F2-78B8-46A5-9160-79AC132B1F7E}"/>
    <hyperlink ref="L18" r:id="rId7" display="NFCMS, Table 177, p. 228" xr:uid="{48DE4419-15EE-47CF-9603-C56C7FBB97E8}"/>
    <hyperlink ref="L19" r:id="rId8" display="NFCMS, Table 177, p. 228" xr:uid="{0F785947-8AFC-4413-9009-AB1F07DAF7A0}"/>
    <hyperlink ref="L20" r:id="rId9" display="NFCMS, Table 177, p. 228" xr:uid="{D3AA9EA2-14C4-4C2B-AFB2-A48018C54DD3}"/>
    <hyperlink ref="L21" r:id="rId10" display="NFCMS, Table 177, p. 228" xr:uid="{B6F44C94-B8AB-435E-A451-01F7B541A89F}"/>
    <hyperlink ref="L22" r:id="rId11" display="NFCMS, Table 177, p. 228" xr:uid="{321D15C0-EDDA-4F40-A137-A9AEFBC0069F}"/>
    <hyperlink ref="L23" r:id="rId12" display="NFCMS, Table 177, p. 228" xr:uid="{FD8703B8-DF7D-4F50-800F-7ED28F3B42DF}"/>
    <hyperlink ref="L4" r:id="rId13" display="NFCMS, Table 178, p 229" xr:uid="{B6325D2D-D02E-4F28-976F-F885E6786AD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B0C8-5C05-42F7-8DAB-997D6EF7E650}">
  <sheetPr codeName="Sheet5"/>
  <dimension ref="A1:J7"/>
  <sheetViews>
    <sheetView zoomScale="97" workbookViewId="0">
      <selection activeCell="H5" sqref="H5"/>
    </sheetView>
  </sheetViews>
  <sheetFormatPr defaultColWidth="8.75" defaultRowHeight="15.6"/>
  <cols>
    <col min="1" max="1" width="7.25" style="3" bestFit="1" customWidth="1"/>
    <col min="2" max="2" width="8.75" style="3"/>
    <col min="3" max="3" width="9.25" style="3" bestFit="1" customWidth="1"/>
    <col min="4" max="4" width="24" style="3" customWidth="1"/>
    <col min="5" max="5" width="57.625" style="3" customWidth="1"/>
    <col min="6" max="6" width="17.125" style="3" customWidth="1"/>
    <col min="7" max="7" width="24.75" style="3" customWidth="1"/>
    <col min="8" max="8" width="23.25" style="3" bestFit="1" customWidth="1"/>
    <col min="9" max="9" width="8.75" style="3"/>
    <col min="10" max="10" width="62.625" style="3" customWidth="1"/>
    <col min="11" max="16384" width="8.75" style="3"/>
  </cols>
  <sheetData>
    <row r="1" spans="1:10">
      <c r="A1" s="5" t="s">
        <v>111</v>
      </c>
      <c r="B1" s="5" t="s">
        <v>0</v>
      </c>
      <c r="C1" s="5" t="s">
        <v>295</v>
      </c>
      <c r="D1" s="5" t="s">
        <v>331</v>
      </c>
      <c r="E1" s="5" t="s">
        <v>3</v>
      </c>
      <c r="F1" s="5" t="s">
        <v>114</v>
      </c>
      <c r="G1" s="5" t="s">
        <v>5</v>
      </c>
      <c r="H1" s="5" t="s">
        <v>115</v>
      </c>
      <c r="I1" s="5" t="s">
        <v>6</v>
      </c>
      <c r="J1" s="5" t="s">
        <v>12</v>
      </c>
    </row>
    <row r="2" spans="1:10">
      <c r="A2" s="3" t="s">
        <v>119</v>
      </c>
      <c r="B2" s="3" t="s">
        <v>120</v>
      </c>
      <c r="C2" s="3" t="s">
        <v>298</v>
      </c>
      <c r="D2" s="3" t="s">
        <v>332</v>
      </c>
      <c r="E2" s="3" t="s">
        <v>333</v>
      </c>
      <c r="F2" s="3" t="s">
        <v>124</v>
      </c>
      <c r="G2" s="3" t="s">
        <v>125</v>
      </c>
      <c r="H2" s="9" t="s">
        <v>334</v>
      </c>
      <c r="I2" s="3">
        <f>SQRT(1)*100</f>
        <v>100</v>
      </c>
      <c r="J2" s="3" t="s">
        <v>335</v>
      </c>
    </row>
    <row r="3" spans="1:10">
      <c r="A3" s="3" t="s">
        <v>119</v>
      </c>
      <c r="B3" s="3" t="s">
        <v>120</v>
      </c>
      <c r="C3" s="3" t="s">
        <v>321</v>
      </c>
      <c r="D3" s="3" t="s">
        <v>332</v>
      </c>
      <c r="E3" s="3" t="s">
        <v>333</v>
      </c>
      <c r="F3" s="3" t="s">
        <v>124</v>
      </c>
      <c r="G3" s="3" t="s">
        <v>125</v>
      </c>
      <c r="H3" s="9" t="s">
        <v>334</v>
      </c>
      <c r="I3" s="3">
        <f>SQRT(1)*100</f>
        <v>100</v>
      </c>
      <c r="J3" s="3" t="s">
        <v>335</v>
      </c>
    </row>
    <row r="4" spans="1:10">
      <c r="A4" s="3" t="s">
        <v>119</v>
      </c>
      <c r="B4" s="3" t="s">
        <v>53</v>
      </c>
      <c r="C4" s="3" t="s">
        <v>321</v>
      </c>
      <c r="D4" s="3" t="s">
        <v>332</v>
      </c>
      <c r="E4" s="3" t="s">
        <v>333</v>
      </c>
      <c r="F4" s="3" t="s">
        <v>124</v>
      </c>
      <c r="G4" s="3" t="s">
        <v>125</v>
      </c>
    </row>
    <row r="5" spans="1:10" ht="31.15">
      <c r="A5" s="3" t="s">
        <v>336</v>
      </c>
      <c r="B5" s="3" t="s">
        <v>120</v>
      </c>
      <c r="C5" s="3" t="s">
        <v>298</v>
      </c>
      <c r="D5" s="3" t="s">
        <v>121</v>
      </c>
      <c r="E5" s="3" t="s">
        <v>337</v>
      </c>
      <c r="F5" s="3" t="s">
        <v>305</v>
      </c>
      <c r="G5" s="3" t="s">
        <v>306</v>
      </c>
      <c r="H5" s="9" t="s">
        <v>338</v>
      </c>
      <c r="I5" s="3">
        <v>40</v>
      </c>
      <c r="J5" s="3" t="s">
        <v>339</v>
      </c>
    </row>
    <row r="6" spans="1:10" ht="31.15">
      <c r="A6" s="3" t="s">
        <v>336</v>
      </c>
      <c r="B6" s="3" t="s">
        <v>120</v>
      </c>
      <c r="C6" s="3" t="s">
        <v>321</v>
      </c>
      <c r="D6" s="3" t="s">
        <v>121</v>
      </c>
      <c r="E6" s="3" t="s">
        <v>337</v>
      </c>
      <c r="F6" s="3" t="s">
        <v>305</v>
      </c>
      <c r="G6" s="3" t="s">
        <v>306</v>
      </c>
      <c r="H6" s="9" t="s">
        <v>338</v>
      </c>
      <c r="I6" s="3">
        <v>2.6</v>
      </c>
      <c r="J6" s="3" t="s">
        <v>339</v>
      </c>
    </row>
    <row r="7" spans="1:10">
      <c r="A7" s="3" t="s">
        <v>336</v>
      </c>
      <c r="B7" s="3" t="s">
        <v>53</v>
      </c>
      <c r="C7" s="3" t="s">
        <v>321</v>
      </c>
      <c r="D7" s="3" t="s">
        <v>121</v>
      </c>
      <c r="E7" s="3" t="s">
        <v>337</v>
      </c>
      <c r="F7" s="3" t="s">
        <v>305</v>
      </c>
      <c r="G7" s="3" t="s">
        <v>306</v>
      </c>
      <c r="H7" s="9"/>
    </row>
  </sheetData>
  <dataValidations count="1">
    <dataValidation allowBlank="1" showInputMessage="1" showErrorMessage="1" sqref="A1:B1" xr:uid="{DB462776-9A2D-403F-B155-1E75F396319A}"/>
  </dataValidations>
  <hyperlinks>
    <hyperlink ref="H5" r:id="rId1" xr:uid="{4E22354E-4E49-43B8-9BCF-598C36641FAE}"/>
    <hyperlink ref="H2" r:id="rId2" xr:uid="{8D83CC79-70E3-4D0F-A56C-AD60054D8EE4}"/>
    <hyperlink ref="H3" r:id="rId3" xr:uid="{FEF97EB8-1489-4713-A669-25305596DCB0}"/>
    <hyperlink ref="H6" r:id="rId4" xr:uid="{5F45934A-1269-4E3E-A9B6-33C7B68EF24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001CF-88C0-4D42-A935-CAA16D25AB9F}">
  <sheetPr codeName="Sheet6"/>
  <dimension ref="A1:J5"/>
  <sheetViews>
    <sheetView workbookViewId="0">
      <selection activeCell="G12" sqref="G12"/>
    </sheetView>
  </sheetViews>
  <sheetFormatPr defaultRowHeight="15.6"/>
  <cols>
    <col min="1" max="1" width="46" customWidth="1"/>
    <col min="7" max="7" width="13" customWidth="1"/>
    <col min="8" max="8" width="20" customWidth="1"/>
  </cols>
  <sheetData>
    <row r="1" spans="1:10">
      <c r="A1" s="1" t="s">
        <v>3</v>
      </c>
      <c r="B1" s="1" t="s">
        <v>4</v>
      </c>
      <c r="C1" s="1" t="s">
        <v>5</v>
      </c>
      <c r="D1" s="1" t="s">
        <v>6</v>
      </c>
      <c r="E1" s="1" t="s">
        <v>7</v>
      </c>
      <c r="F1" s="1" t="s">
        <v>8</v>
      </c>
      <c r="G1" s="1" t="s">
        <v>9</v>
      </c>
      <c r="H1" s="1" t="s">
        <v>10</v>
      </c>
      <c r="I1" s="1" t="s">
        <v>11</v>
      </c>
      <c r="J1" s="1" t="s">
        <v>12</v>
      </c>
    </row>
    <row r="2" spans="1:10">
      <c r="A2" t="s">
        <v>340</v>
      </c>
      <c r="F2">
        <v>2026</v>
      </c>
      <c r="G2" t="s">
        <v>341</v>
      </c>
      <c r="H2" t="s">
        <v>342</v>
      </c>
      <c r="I2" s="2" t="s">
        <v>343</v>
      </c>
    </row>
    <row r="3" spans="1:10">
      <c r="A3" t="s">
        <v>344</v>
      </c>
      <c r="F3">
        <v>2025</v>
      </c>
      <c r="G3" t="s">
        <v>345</v>
      </c>
      <c r="H3" t="s">
        <v>346</v>
      </c>
      <c r="I3" s="2" t="s">
        <v>347</v>
      </c>
    </row>
    <row r="4" spans="1:10">
      <c r="A4" t="s">
        <v>348</v>
      </c>
      <c r="F4">
        <v>2014</v>
      </c>
      <c r="G4" t="s">
        <v>349</v>
      </c>
      <c r="H4" t="s">
        <v>350</v>
      </c>
      <c r="I4" s="2" t="s">
        <v>351</v>
      </c>
    </row>
    <row r="5" spans="1:10">
      <c r="A5" t="s">
        <v>352</v>
      </c>
      <c r="F5">
        <v>2022</v>
      </c>
      <c r="G5" t="s">
        <v>353</v>
      </c>
      <c r="H5" t="s">
        <v>354</v>
      </c>
      <c r="I5" s="2" t="s">
        <v>355</v>
      </c>
    </row>
  </sheetData>
  <hyperlinks>
    <hyperlink ref="I2" r:id="rId1" xr:uid="{65E8F26E-3381-4464-B055-41A0BB4B611C}"/>
    <hyperlink ref="I3" r:id="rId2" xr:uid="{D46CFB08-73CB-4277-8282-DD419C105CDF}"/>
    <hyperlink ref="I4" r:id="rId3" xr:uid="{58870E9E-7A43-486B-A778-E853D608C5D7}"/>
    <hyperlink ref="I5" r:id="rId4" xr:uid="{321D8E47-2763-4699-943C-34965ED62DC7}"/>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17B53-67CB-4AB4-87F4-17CBC861D2BB}">
  <dimension ref="A1:I9"/>
  <sheetViews>
    <sheetView workbookViewId="0">
      <selection activeCell="F2" sqref="F2"/>
    </sheetView>
  </sheetViews>
  <sheetFormatPr defaultRowHeight="15.6"/>
  <cols>
    <col min="1" max="1" width="7.25" bestFit="1" customWidth="1"/>
    <col min="2" max="2" width="41.75" bestFit="1" customWidth="1"/>
    <col min="3" max="3" width="17.125" customWidth="1"/>
    <col min="4" max="4" width="16.5" customWidth="1"/>
    <col min="5" max="5" width="26.625" customWidth="1"/>
    <col min="6" max="6" width="30.75" customWidth="1"/>
    <col min="8" max="8" width="11.75" bestFit="1" customWidth="1"/>
    <col min="9" max="9" width="45.375" customWidth="1"/>
  </cols>
  <sheetData>
    <row r="1" spans="1:9">
      <c r="A1" s="16" t="s">
        <v>0</v>
      </c>
      <c r="B1" s="16" t="s">
        <v>3</v>
      </c>
      <c r="C1" s="16" t="s">
        <v>114</v>
      </c>
      <c r="D1" s="16" t="s">
        <v>5</v>
      </c>
      <c r="E1" s="16" t="s">
        <v>8</v>
      </c>
      <c r="F1" s="16" t="s">
        <v>115</v>
      </c>
      <c r="G1" s="16" t="s">
        <v>6</v>
      </c>
      <c r="H1" s="16" t="s">
        <v>116</v>
      </c>
      <c r="I1" s="16" t="s">
        <v>12</v>
      </c>
    </row>
    <row r="2" spans="1:9" ht="109.15">
      <c r="A2" t="s">
        <v>13</v>
      </c>
      <c r="B2" t="s">
        <v>356</v>
      </c>
      <c r="C2" t="s">
        <v>46</v>
      </c>
      <c r="D2" t="s">
        <v>18</v>
      </c>
      <c r="E2" t="s">
        <v>357</v>
      </c>
      <c r="F2" s="3" t="s">
        <v>358</v>
      </c>
      <c r="G2" s="14">
        <v>3.25</v>
      </c>
      <c r="H2" s="14" t="s">
        <v>359</v>
      </c>
      <c r="I2" s="3" t="s">
        <v>360</v>
      </c>
    </row>
    <row r="3" spans="1:9">
      <c r="A3" t="s">
        <v>53</v>
      </c>
      <c r="B3" t="s">
        <v>356</v>
      </c>
      <c r="C3" t="s">
        <v>46</v>
      </c>
      <c r="D3" t="s">
        <v>18</v>
      </c>
      <c r="E3">
        <v>2021</v>
      </c>
      <c r="F3" t="s">
        <v>361</v>
      </c>
      <c r="G3">
        <v>4.4000000000000004</v>
      </c>
      <c r="H3" t="s">
        <v>362</v>
      </c>
      <c r="I3" s="17" t="s">
        <v>363</v>
      </c>
    </row>
    <row r="4" spans="1:9" ht="62.45">
      <c r="A4" t="s">
        <v>95</v>
      </c>
      <c r="B4" t="s">
        <v>356</v>
      </c>
      <c r="C4" t="s">
        <v>46</v>
      </c>
      <c r="D4" t="s">
        <v>18</v>
      </c>
      <c r="E4">
        <v>2012</v>
      </c>
      <c r="F4" s="3" t="s">
        <v>35</v>
      </c>
      <c r="G4">
        <v>4.2</v>
      </c>
      <c r="H4" t="s">
        <v>33</v>
      </c>
      <c r="I4" s="17" t="s">
        <v>364</v>
      </c>
    </row>
    <row r="5" spans="1:9">
      <c r="F5" s="3"/>
      <c r="I5" s="17"/>
    </row>
    <row r="6" spans="1:9" ht="62.45">
      <c r="A6" t="s">
        <v>13</v>
      </c>
      <c r="B6" t="s">
        <v>45</v>
      </c>
      <c r="C6" t="s">
        <v>46</v>
      </c>
      <c r="D6" t="s">
        <v>47</v>
      </c>
      <c r="E6">
        <v>2013</v>
      </c>
      <c r="F6" s="3" t="s">
        <v>50</v>
      </c>
      <c r="G6">
        <v>1.67</v>
      </c>
      <c r="H6" t="s">
        <v>365</v>
      </c>
      <c r="I6" s="17" t="s">
        <v>366</v>
      </c>
    </row>
    <row r="7" spans="1:9">
      <c r="A7" t="s">
        <v>95</v>
      </c>
      <c r="B7" t="s">
        <v>45</v>
      </c>
      <c r="C7" t="s">
        <v>46</v>
      </c>
      <c r="D7" t="s">
        <v>47</v>
      </c>
      <c r="E7">
        <v>2013</v>
      </c>
      <c r="F7" t="s">
        <v>50</v>
      </c>
      <c r="G7">
        <v>1.67</v>
      </c>
      <c r="H7" t="s">
        <v>365</v>
      </c>
      <c r="I7" s="17" t="s">
        <v>366</v>
      </c>
    </row>
    <row r="9" spans="1:9">
      <c r="A9" t="s">
        <v>120</v>
      </c>
      <c r="B9" t="s">
        <v>356</v>
      </c>
      <c r="C9" t="s">
        <v>46</v>
      </c>
    </row>
  </sheetData>
  <hyperlinks>
    <hyperlink ref="I3" r:id="rId1" xr:uid="{A73371D5-A336-4F52-890C-3209B6F63941}"/>
    <hyperlink ref="I4" r:id="rId2" xr:uid="{7A0BDFC6-2277-4D7D-A003-D006AFBDE239}"/>
    <hyperlink ref="I6" r:id="rId3" xr:uid="{8F85EABC-C8F7-4A03-86DF-2E10ABDFBE83}"/>
    <hyperlink ref="I7" r:id="rId4" xr:uid="{897E3BC4-6A51-475D-A05E-AE4ADA16BBBB}"/>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ab06a5aa-8e31-4bdb-9b13-38c58a92ec8a" xsi:nil="true"/>
    <lcf76f155ced4ddcb4097134ff3c332f xmlns="19a3940c-c740-4699-845a-46837f99845a">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47C4EFE3BCDC24F9D43FB479AF7E97A" ma:contentTypeVersion="18" ma:contentTypeDescription="Create a new document." ma:contentTypeScope="" ma:versionID="43f172045ba510b977c55fbaace2d061">
  <xsd:schema xmlns:xsd="http://www.w3.org/2001/XMLSchema" xmlns:xs="http://www.w3.org/2001/XMLSchema" xmlns:p="http://schemas.microsoft.com/office/2006/metadata/properties" xmlns:ns2="19a3940c-c740-4699-845a-46837f99845a" xmlns:ns3="539a68f6-d0ac-4a73-9041-e1fa437c4cee" xmlns:ns4="ab06a5aa-8e31-4bdb-9b13-38c58a92ec8a" targetNamespace="http://schemas.microsoft.com/office/2006/metadata/properties" ma:root="true" ma:fieldsID="dda298fac121f044fce7727b2932798c" ns2:_="" ns3:_="" ns4:_="">
    <xsd:import namespace="19a3940c-c740-4699-845a-46837f99845a"/>
    <xsd:import namespace="539a68f6-d0ac-4a73-9041-e1fa437c4cee"/>
    <xsd:import namespace="ab06a5aa-8e31-4bdb-9b13-38c58a92ec8a"/>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4:TaxCatchAll" minOccurs="0"/>
                <xsd:element ref="ns2:MediaServiceSearchProperties" minOccurs="0"/>
                <xsd:element ref="ns2:MediaServiceObjectDetectorVersion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a3940c-c740-4699-845a-46837f99845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e20148b9-20a4-48a0-acba-ba52d68a37a3" ma:termSetId="09814cd3-568e-fe90-9814-8d621ff8fb84" ma:anchorId="fba54fb3-c3e1-fe81-a776-ca4b69148c4d" ma:open="true" ma:isKeyword="false">
      <xsd:complexType>
        <xsd:sequence>
          <xsd:element ref="pc:Terms" minOccurs="0" maxOccurs="1"/>
        </xsd:sequence>
      </xsd:complex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BillingMetadata" ma:index="25"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39a68f6-d0ac-4a73-9041-e1fa437c4ce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b06a5aa-8e31-4bdb-9b13-38c58a92ec8a"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9111928-6144-480e-b796-ec79b7d3c2f4}" ma:internalName="TaxCatchAll" ma:showField="CatchAllData" ma:web="539a68f6-d0ac-4a73-9041-e1fa437c4ce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DFF749C-E13A-42AA-830F-E4D602796749}"/>
</file>

<file path=customXml/itemProps2.xml><?xml version="1.0" encoding="utf-8"?>
<ds:datastoreItem xmlns:ds="http://schemas.openxmlformats.org/officeDocument/2006/customXml" ds:itemID="{113BCDC3-2235-4039-89D8-6F1A17BE5DB3}"/>
</file>

<file path=customXml/itemProps3.xml><?xml version="1.0" encoding="utf-8"?>
<ds:datastoreItem xmlns:ds="http://schemas.openxmlformats.org/officeDocument/2006/customXml" ds:itemID="{4819A5BE-CE13-4059-AAFB-6070A2707B5E}"/>
</file>

<file path=docMetadata/LabelInfo.xml><?xml version="1.0" encoding="utf-8"?>
<clbl:labelList xmlns:clbl="http://schemas.microsoft.com/office/2020/mipLabelMetadata">
  <clbl:label id="{f6b6dd5b-f02f-441a-99a0-162ac5060bd2}" enabled="0" method="" siteId="{f6b6dd5b-f02f-441a-99a0-162ac5060bd2}"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Nathaniel Blair-Stahn</dc:creator>
  <cp:keywords/>
  <dc:description/>
  <cp:lastModifiedBy/>
  <cp:revision/>
  <dcterms:created xsi:type="dcterms:W3CDTF">2026-09-09T17:12:51Z</dcterms:created>
  <dcterms:modified xsi:type="dcterms:W3CDTF">2026-10-02T02:54:22Z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0x010100447C4EFE3BCDC24F9D43FB479AF7E97A</vt:lpwstr>
  </property>
  <property fmtid="{D5CDD505-2E9C-101B-9397-08002B2CF9AE}" pid="3" name="MediaServiceImageTags">
    <vt:lpwstr/>
  </property>
</Properties>
</file>