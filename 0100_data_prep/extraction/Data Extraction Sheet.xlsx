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0" yWindow="-90" windowWidth="19380" windowHeight="10260" tabRatio="600" firstSheet="8" activeTab="10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>
    <definedName name="_xlnm._FilterDatabase" localSheetId="1" hidden="1">'Country-Vehicle Extraction'!$A$1:$M$106</definedName>
    <definedName name="_xlnm._FilterDatabase" localSheetId="10" hidden="1">'Scenario Definition Extraction'!$A$1:$J$28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rgb="FF444444"/>
      <sz val="11"/>
    </font>
    <font>
      <name val="Aptos"/>
      <family val="2"/>
      <color rgb="FF000000"/>
      <sz val="11"/>
    </font>
    <font>
      <name val="Aptos"/>
      <family val="2"/>
      <sz val="12"/>
    </font>
    <font>
      <name val="Aptos"/>
      <family val="2"/>
      <b val="1"/>
      <sz val="12"/>
    </font>
    <font>
      <name val="Aptos"/>
      <family val="2"/>
      <sz val="11"/>
    </font>
    <font>
      <name val="Aptos Narrow"/>
      <family val="2"/>
      <color rgb="FF000000"/>
      <sz val="11"/>
    </font>
    <font>
      <name val="Aptos Narrow"/>
      <family val="2"/>
      <color rgb="FF00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i val="1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14" fillId="0" borderId="0"/>
    <xf numFmtId="0" fontId="15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9" fontId="0" fillId="3" borderId="0" pivotButton="0" quotePrefix="0" xfId="0"/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../../../../../../../snfs/DATA/DHS_PROG_DHS/ETH/2016/ETH_DHS7_2016_REP_QUEST_Y2017M08D15.PDF" TargetMode="External" Id="rId1" /><Relationship Type="http://schemas.openxmlformats.org/officeDocument/2006/relationships/hyperlink" Target="../../../../../../../snfs/DATA/DHS_PROG_DHS/ETH/2016/ETH_DHS7_2016_REP_QUEST_Y2017M08D15.PDF" TargetMode="External" Id="rId2" /><Relationship Type="http://schemas.openxmlformats.org/officeDocument/2006/relationships/hyperlink" Target="../../../../../../../snfs/DATA/DHS_PROG_DHS/ETH/2016/ETH_DHS7_2016_REP_QUEST_Y2017M08D15.PDF" TargetMode="External" Id="rId3" /><Relationship Type="http://schemas.openxmlformats.org/officeDocument/2006/relationships/hyperlink" Target="../../../../../../../snfs/DATA/DHS_PROG_DHS/ETH/2016/ETH_DHS7_2016_REP_QUEST_Y2017M08D15.PDF" TargetMode="External" Id="rId4" /><Relationship Type="http://schemas.openxmlformats.org/officeDocument/2006/relationships/hyperlink" Target="../../../../../../../snfs/DATA/DHS_PROG_DHS/ETH/2016/ETH_DHS7_2016_REP_QUEST_Y2017M08D15.PDF" TargetMode="External" Id="rId5" /><Relationship Type="http://schemas.openxmlformats.org/officeDocument/2006/relationships/hyperlink" Target="../../../../../../../snfs/DATA/DHS_PROG_DHS/NGA/2018/NGA_DHS7_2018_REP_QUEST_Y2019M11D05.PDF" TargetMode="External" Id="rId6" /><Relationship Type="http://schemas.openxmlformats.org/officeDocument/2006/relationships/hyperlink" Target="../../../../../../../snfs/DATA/DHS_PROG_DHS/NGA/2018/NGA_DHS7_2018_REP_QUEST_Y2019M11D05.PDF" TargetMode="External" Id="rId7" /><Relationship Type="http://schemas.openxmlformats.org/officeDocument/2006/relationships/hyperlink" Target="../../../../../../../snfs/DATA/DHS_PROG_DHS/NGA/2018/NGA_DHS7_2018_REP_QUEST_Y2019M11D05.PDF" TargetMode="External" Id="rId8" /><Relationship Type="http://schemas.openxmlformats.org/officeDocument/2006/relationships/hyperlink" Target="../../../../../../../snfs/DATA/DHS_PROG_DHS/NGA/2018/NGA_DHS7_2018_REP_QUEST_Y2019M11D05.PDF" TargetMode="External" Id="rId9" /><Relationship Type="http://schemas.openxmlformats.org/officeDocument/2006/relationships/hyperlink" Target="../../../../../../../snfs/DATA/DHS_PROG_DHS/NGA/2018/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75"/>
  <cols>
    <col width="58.26953125" bestFit="1" customWidth="1" min="1" max="1"/>
    <col width="12.453125" bestFit="1" customWidth="1" min="2" max="2"/>
    <col width="15.54296875" bestFit="1" customWidth="1" min="3" max="3"/>
    <col width="9.7265625" bestFit="1" customWidth="1" min="4" max="4"/>
    <col width="15.81640625" bestFit="1" customWidth="1" min="8" max="9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>
      <c r="A5" t="inlineStr">
        <is>
          <t>Vehicle consumption by WRA -- any</t>
        </is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</c>
      <c r="H5" t="inlineStr">
        <is>
          <t>Microdata: HCES</t>
        </is>
      </c>
      <c r="I5" t="inlineStr">
        <is>
          <t>Microdata: HCES</t>
        </is>
      </c>
    </row>
    <row r="6">
      <c r="A6" t="inlineStr">
        <is>
          <t>Vehicle consumption by WRA -- amount</t>
        </is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</c>
      <c r="H6" t="inlineStr">
        <is>
          <t>Microdata: HCES</t>
        </is>
      </c>
      <c r="I6" t="inlineStr">
        <is>
          <t>Microdata: HCES</t>
        </is>
      </c>
    </row>
    <row r="7">
      <c r="A7" t="inlineStr">
        <is>
          <t>Vehicle consumption by U5 children -- any</t>
        </is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</c>
      <c r="H7" t="inlineStr">
        <is>
          <t>Microdata: HCES</t>
        </is>
      </c>
      <c r="I7" t="inlineStr">
        <is>
          <t>Microdata: HCES</t>
        </is>
      </c>
    </row>
    <row r="8">
      <c r="A8" t="inlineStr">
        <is>
          <t>Vehicle consumption by U5 children -- amount</t>
        </is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</c>
      <c r="H8" t="inlineStr">
        <is>
          <t>Microdata: HCES</t>
        </is>
      </c>
      <c r="I8" t="inlineStr">
        <is>
          <t>Microdata: HCES</t>
        </is>
      </c>
    </row>
    <row r="9">
      <c r="A9" t="inlineStr">
        <is>
          <t>Vehicle "fortifiability" (essentially amount industrially produced)</t>
        </is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106"/>
  <sheetViews>
    <sheetView topLeftCell="D1" zoomScale="75" workbookViewId="0">
      <pane ySplit="1" topLeftCell="A65" activePane="bottomLeft" state="frozen"/>
      <selection pane="bottomLeft" activeCell="I66" sqref="I66"/>
    </sheetView>
  </sheetViews>
  <sheetFormatPr baseColWidth="8" defaultRowHeight="14.75"/>
  <cols>
    <col width="8" bestFit="1" customWidth="1" min="1" max="1"/>
    <col width="18.26953125" bestFit="1" customWidth="1" min="3" max="3"/>
    <col width="18.26953125" customWidth="1" min="4" max="4"/>
    <col width="60.1796875" bestFit="1" customWidth="1" min="5" max="5"/>
    <col width="19" customWidth="1" min="6" max="6"/>
    <col width="11.81640625" bestFit="1" customWidth="1" min="9" max="9"/>
    <col width="10.26953125" bestFit="1" customWidth="1" min="10" max="10"/>
    <col width="10.1796875" customWidth="1" min="11" max="12"/>
    <col width="50.453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0.981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0.963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0.981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0.992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0.986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0.986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3.037037037037037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3.62962962962963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2.444444444444445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0.988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0.963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0.981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0.992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0.986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0.986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4.1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>2.222222222222222</v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>2.2222222222222223</v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>2.296296296296296</v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3.62962962962963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2.444444444444445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0.965732087227414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0.9808467741935484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</v>
      </c>
    </row>
    <row r="65" ht="88.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2024</v>
      </c>
      <c r="I65" t="inlineStr">
        <is>
          <t>Laura Key (BCG), "India_Bangladesh_data" (note in "Vehicles - preschool!Q48" of "20260416_Input data to IHME models.xlsx"</t>
        </is>
      </c>
      <c r="J65" s="21" t="n">
        <v>0.45</v>
      </c>
      <c r="M65" s="5" t="inlineStr">
        <is>
      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      </is>
      </c>
    </row>
    <row r="66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I66" t="inlineStr">
        <is>
          <t>BCG-measured tonnage</t>
        </is>
      </c>
      <c r="J66" s="7" t="n">
        <v>0.74</v>
      </c>
      <c r="M66" t="inlineStr">
        <is>
          <t>"Updated for Portfolio Review - 3.92 / 5.23 MT" and is attributed to Laura Key (Boston Consulting Group), from "20260416_Input data to IHME models.xlsx" and on both the "Vehicles - WRA" and "Vehicles - Preschool" sheets, cell Q10</t>
        </is>
      </c>
    </row>
    <row r="67" ht="44.2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>32.803200000000004</v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4.2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>11.491200000000001</v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4.2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>23.4752</v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4.2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>33.1422</v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4.2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>46.652100000000004</v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4.2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>53.742000000000004</v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</v>
      </c>
    </row>
    <row r="79" ht="29.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>40.07407407407407</v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>24.814814814814813</v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>33.333333333333336</v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>35.03703703703703</v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>37.77777777777778</v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>39.03703703703703</v>
      </c>
    </row>
    <row r="85" ht="44.2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>20.5288</v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4.2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>19.028000000000002</v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4.2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>21.976000000000003</v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</v>
      </c>
    </row>
    <row r="93" ht="29.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>25.62962962962963</v>
      </c>
      <c r="M93" s="5" t="inlineStr">
        <is>
          <t>Very rough estimate using SD = IQR / 1.35 (normality assumption), IQR reported in table 173</t>
        </is>
      </c>
    </row>
    <row r="94" ht="29.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>23.999999999999996</v>
      </c>
      <c r="M94" s="5" t="inlineStr">
        <is>
          <t>Very rough estimate using SD = IQR / 1.35 (normality assumption), IQR reported in table 173</t>
        </is>
      </c>
    </row>
    <row r="95" ht="29.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>27.333333333333336</v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>24.814814814814813</v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>33.333333333333336</v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>35.03703703703703</v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>37.77777777777778</v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>39.03703703703703</v>
      </c>
    </row>
    <row r="101" ht="29.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</v>
      </c>
    </row>
  </sheetData>
  <autoFilter ref="A1:M106"/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ref="M9" r:id="rId1"/>
    <hyperlink ref="M17" r:id="rId2"/>
    <hyperlink ref="M19" r:id="rId3"/>
  </hyperlink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75"/>
  <cols>
    <col width="52.453125" bestFit="1" customWidth="1" min="1" max="1"/>
    <col width="12.453125" bestFit="1" customWidth="1" min="2" max="2"/>
    <col width="15.54296875" bestFit="1" customWidth="1" min="3" max="3"/>
    <col width="15.54296875" customWidth="1" min="4" max="5"/>
    <col width="9.7265625" bestFit="1" customWidth="1" min="6" max="6"/>
    <col width="15.81640625" bestFit="1" customWidth="1" min="14" max="17"/>
  </cols>
  <sheetData>
    <row r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inlineStr">
        <is>
          <t>N/A</t>
        </is>
      </c>
    </row>
    <row r="8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topLeftCell="D1" workbookViewId="0">
      <pane ySplit="1" topLeftCell="A2" activePane="bottomLeft" state="frozen"/>
      <selection pane="bottomLeft" activeCell="B24" sqref="B24"/>
    </sheetView>
  </sheetViews>
  <sheetFormatPr baseColWidth="8" defaultRowHeight="14.75"/>
  <cols>
    <col width="8" bestFit="1" customWidth="1" min="1" max="1"/>
    <col width="9.54296875" bestFit="1" customWidth="1" min="3" max="3"/>
    <col width="18.26953125" bestFit="1" customWidth="1" min="4" max="4"/>
    <col width="52.7265625" bestFit="1" customWidth="1" min="5" max="5"/>
    <col width="19" customWidth="1" min="6" max="6"/>
    <col width="11.81640625" bestFit="1" customWidth="1" min="9" max="9"/>
    <col width="50.453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0.6187563710499491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0.6381048387096774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0.6997971602434078</v>
      </c>
      <c r="L13" s="9" t="n"/>
    </row>
    <row r="14" ht="103.2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4.2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4.2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75"/>
  <cols>
    <col width="52.453125" bestFit="1" customWidth="1" min="1" max="1"/>
    <col width="12.453125" bestFit="1" customWidth="1" min="2" max="2"/>
    <col width="12.26953125" customWidth="1" min="3" max="3"/>
    <col width="9.726562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8" defaultRowHeight="14.75"/>
  <cols>
    <col width="8" bestFit="1" customWidth="1" min="1" max="1"/>
    <col width="40.453125" customWidth="1" min="3" max="3"/>
    <col width="19" customWidth="1" min="4" max="4"/>
    <col width="34.1796875" customWidth="1" min="7" max="7"/>
    <col width="50.453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6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6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4.2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6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6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7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75"/>
  <cols>
    <col width="52.453125" bestFit="1" customWidth="1" min="1" max="1"/>
    <col width="12.453125" bestFit="1" customWidth="1" min="2" max="2"/>
    <col width="9.726562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I4" sqref="I4"/>
    </sheetView>
  </sheetViews>
  <sheetFormatPr baseColWidth="8" defaultRowHeight="14.75"/>
  <cols>
    <col width="8" bestFit="1" customWidth="1" min="1" max="1"/>
    <col width="46.453125" bestFit="1" customWidth="1" min="2" max="2"/>
    <col width="19" customWidth="1" min="3" max="3"/>
    <col width="18.26953125" customWidth="1" min="4" max="4"/>
    <col width="34.1796875" customWidth="1" min="6" max="6"/>
    <col width="13.1796875" bestFit="1" customWidth="1" min="8" max="8"/>
    <col width="50.453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3.2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75"/>
  <cols>
    <col width="56.453125" bestFit="1" customWidth="1" min="1" max="1"/>
    <col width="32.26953125" bestFit="1" customWidth="1" min="2" max="2"/>
    <col width="12.453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D9" sqref="D9"/>
    </sheetView>
  </sheetViews>
  <sheetFormatPr baseColWidth="8" defaultRowHeight="14.75"/>
  <cols>
    <col width="52.453125" bestFit="1" customWidth="1" min="1" max="1"/>
    <col width="52.453125" customWidth="1" min="2" max="2"/>
    <col width="21" bestFit="1" customWidth="1" min="3" max="3"/>
    <col width="22.26953125" bestFit="1" customWidth="1" min="4" max="4"/>
    <col width="11.453125" bestFit="1" customWidth="1" min="5" max="6"/>
    <col width="11.453125" customWidth="1" min="7" max="8"/>
    <col width="11.453125" bestFit="1" customWidth="1" min="9" max="10"/>
  </cols>
  <sheetData>
    <row r="1">
      <c r="A1" s="3" t="inlineStr">
        <is>
          <t>Country</t>
        </is>
      </c>
      <c r="B1" s="33" t="inlineStr">
        <is>
          <t>Ethiopia</t>
        </is>
      </c>
      <c r="E1" s="33" t="inlineStr">
        <is>
          <t>Nigeria</t>
        </is>
      </c>
      <c r="I1" s="33" t="inlineStr">
        <is>
          <t>India</t>
        </is>
      </c>
    </row>
    <row r="2">
      <c r="A2" s="3" t="inlineStr">
        <is>
          <t>Vehicle</t>
        </is>
      </c>
      <c r="B2" s="33" t="inlineStr">
        <is>
          <t>Salt</t>
        </is>
      </c>
      <c r="E2" s="33" t="inlineStr">
        <is>
          <t>Bouillon</t>
        </is>
      </c>
      <c r="G2" s="33" t="inlineStr">
        <is>
          <t>Rice</t>
        </is>
      </c>
      <c r="I2" s="33" t="inlineStr">
        <is>
          <t>Rice</t>
        </is>
      </c>
    </row>
    <row r="3">
      <c r="A3" s="3" t="inlineStr">
        <is>
          <t>Fortificant</t>
        </is>
      </c>
      <c r="B3" s="33" t="inlineStr">
        <is>
          <t>Folate</t>
        </is>
      </c>
      <c r="E3" s="33" t="inlineStr">
        <is>
          <t>Folate</t>
        </is>
      </c>
      <c r="F3" s="33" t="inlineStr">
        <is>
          <t>Iron</t>
        </is>
      </c>
      <c r="G3" s="33" t="inlineStr">
        <is>
          <t>Folate</t>
        </is>
      </c>
      <c r="H3" s="33" t="inlineStr">
        <is>
          <t>Iron</t>
        </is>
      </c>
      <c r="I3" s="33" t="inlineStr">
        <is>
          <t>Folate</t>
        </is>
      </c>
      <c r="J3" s="33" t="inlineStr">
        <is>
          <t>Iron</t>
        </is>
      </c>
    </row>
    <row r="4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t="inlineStr">
        <is>
          <t>Intervention - 45 ppm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  <c r="J4" s="31" t="inlineStr">
        <is>
          <t>Intervention</t>
        </is>
      </c>
    </row>
    <row r="5">
      <c r="A5" s="1" t="inlineStr">
        <is>
          <t>Data need</t>
        </is>
      </c>
      <c r="B5" s="1" t="n"/>
      <c r="C5" s="1" t="n"/>
      <c r="E5" s="1" t="n"/>
      <c r="I5" s="1" t="n"/>
    </row>
    <row r="6">
      <c r="A6" t="inlineStr">
        <is>
          <t>Vehicle fortification in intervention -- amount among fortified</t>
        </is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inlineStr">
        <is>
          <t>Complete</t>
        </is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>
      <c r="A7" t="inlineStr">
        <is>
          <t>Intervention coverage % of fortifiable</t>
        </is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inlineStr">
        <is>
          <t>Complete</t>
        </is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>
      <c r="A8" t="inlineStr">
        <is>
          <t>Intervention effective % of fortified</t>
        </is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inlineStr">
        <is>
          <t>Complete</t>
        </is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I1:J1"/>
    <mergeCell ref="B3:D3"/>
    <mergeCell ref="G2:H2"/>
    <mergeCell ref="E2:F2"/>
    <mergeCell ref="B1:D1"/>
    <mergeCell ref="I2:J2"/>
    <mergeCell ref="E1:H1"/>
    <mergeCell ref="B2:D2"/>
  </mergeCells>
  <conditionalFormatting sqref="B6:C8 E6:J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tabSelected="1" zoomScale="80" zoomScaleNormal="80" workbookViewId="0">
      <pane ySplit="1" topLeftCell="A2" activePane="bottomLeft" state="frozen"/>
      <selection pane="bottomLeft" activeCell="D5" sqref="D5"/>
    </sheetView>
  </sheetViews>
  <sheetFormatPr baseColWidth="8" defaultRowHeight="14.75"/>
  <cols>
    <col width="8" bestFit="1" customWidth="1" min="1" max="1"/>
    <col width="10.26953125" bestFit="1" customWidth="1" min="3" max="3"/>
    <col width="26.7265625" customWidth="1" min="4" max="4"/>
    <col width="52.7265625" bestFit="1" customWidth="1" min="5" max="5"/>
    <col width="19" customWidth="1" min="6" max="6"/>
    <col width="25.81640625" bestFit="1" customWidth="1" min="8" max="8"/>
    <col width="50.453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GF Apr-2026 workbook 'Vehicles - WRA' BI10/BL10 (2035 compliance 50%); Kathy Banke email 9/9/2026: use 2035 targets</t>
        </is>
      </c>
      <c r="I2" s="35" t="n">
        <v>0.715</v>
      </c>
      <c r="J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GF Apr-2026 workbook 'Vehicles - WRA' BI10/BL10 (2035 compliance 50%); Kathy Banke email 9/9/2026: use 2035 targets</t>
        </is>
      </c>
      <c r="I3" s="35" t="n">
        <v>0.715</v>
      </c>
      <c r="J3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4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GF Apr-2026 workbook 'Vehicles - WRA' V10/Y10 (2035 compliance 90%); Kathy Banke email 9/9/2026: use 2035 targets</t>
        </is>
      </c>
      <c r="I4" s="35" t="n">
        <v>0.95</v>
      </c>
      <c r="J4" t="inlineStr">
        <is>
          <t>coverage = effectiveness = sqrt(0.90) ~ 0.95, product 0.9025 realizes the 2035 compliance target</t>
        </is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GF Apr-2026 workbook 'Vehicles - WRA' V10/Y10 (2035 compliance 90%); Kathy Banke email 9/9/2026: use 2035 targets</t>
        </is>
      </c>
      <c r="I5" s="35" t="n">
        <v>0.95</v>
      </c>
      <c r="J5" t="inlineStr">
        <is>
          <t>coverage = effectiveness = sqrt(0.90) ~ 0.95, product 0.9025 realizes the 2035 compliance target</t>
        </is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GF Apr-2026 workbook 'Vehicles - WRA' AZ27 (2035 FA compliance 90%); Kathy Banke email 9/9/2026: use 2035 targets</t>
        </is>
      </c>
      <c r="I6" s="35" t="n">
        <v>0.95</v>
      </c>
      <c r="J6" t="inlineStr">
        <is>
          <t>coverage = effectiveness = sqrt(0.90) ~ 0.95, product 0.9025 realizes the 2035 compliance target; applies to all three Ethiopia arms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GF Apr-2026 workbook 'Vehicles - WRA' AZ27 (2035 FA compliance 90%); Kathy Banke email 9/9/2026: use 2035 targets</t>
        </is>
      </c>
      <c r="I7" s="35" t="n">
        <v>0.95</v>
      </c>
      <c r="J7" t="inlineStr">
        <is>
          <t>coverage = effectiveness = sqrt(0.90) ~ 0.95, product 0.9025 realizes the 2035 compliance target; applies to all three Ethiopia arms</t>
        </is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Folate</t>
        </is>
      </c>
      <c r="D8" t="inlineStr">
        <is>
          <t>Intervention - 45 ppm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GF Apr-2026 workbook 'Vehicles - WRA' AZ27 (2035 FA compliance 90%); Kathy Banke email 9/9/2026: use 2035 targets</t>
        </is>
      </c>
      <c r="I8" s="35" t="n">
        <v>0.95</v>
      </c>
      <c r="J8" t="inlineStr">
        <is>
          <t>Same program reach as the NRV scenarios (Andy Garcia 7/26); coverage = effectiveness = sqrt(0.90) ~ 0.95, product 0.9025 realizes the 2035 compliance target; applies to all three Ethiopia arms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Iron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GF Apr-2026 workbook 'Vehicles - WRA' V55/Y55 (2035 compliance 85%); Kathy Banke email 9/9/2026: use 2035 targets</t>
        </is>
      </c>
      <c r="I9" s="35" t="n">
        <v>0.92</v>
      </c>
      <c r="J9" t="inlineStr">
        <is>
          <t>coverage = effectiveness = sqrt(0.85) ~ 0.92, product 0.8464 realizes the 2035 compliance target</t>
        </is>
      </c>
    </row>
    <row r="10">
      <c r="A10" t="inlineStr">
        <is>
          <t>India</t>
        </is>
      </c>
      <c r="B10" t="inlineStr">
        <is>
          <t>Rice</t>
        </is>
      </c>
      <c r="C10" t="inlineStr">
        <is>
          <t>Folate</t>
        </is>
      </c>
      <c r="D10" t="inlineStr">
        <is>
          <t>Intervention</t>
        </is>
      </c>
      <c r="E10" t="inlineStr">
        <is>
          <t>Intervention coverage % of fortifiable</t>
        </is>
      </c>
      <c r="F10" t="inlineStr">
        <is>
          <t>percentage</t>
        </is>
      </c>
      <c r="G10" t="inlineStr">
        <is>
          <t>%</t>
        </is>
      </c>
      <c r="H10" t="inlineStr">
        <is>
          <t>GF Apr-2026 workbook 'Vehicles - WRA' V55/Y55 (2035 compliance 85%); Kathy Banke email 9/9/2026: use 2035 targets</t>
        </is>
      </c>
      <c r="I10" s="35" t="n">
        <v>0.92</v>
      </c>
      <c r="J10" t="inlineStr">
        <is>
          <t>coverage = effectiveness = sqrt(0.85) ~ 0.92, product 0.8464 realizes the 2035 compliance target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Apr-2026 workbook 'Vehicles - WRA' BI10/BL10 (2035 compliance 50%); Kathy Banke email 9/9/2026: use 2035 targets</t>
        </is>
      </c>
      <c r="I11" s="35" t="n">
        <v>0.715</v>
      </c>
      <c r="J11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2">
      <c r="A12" t="inlineStr">
        <is>
          <t>Nigeria</t>
        </is>
      </c>
      <c r="B12" t="inlineStr">
        <is>
          <t>Bouillon</t>
        </is>
      </c>
      <c r="C12" t="inlineStr">
        <is>
          <t>Folate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Apr-2026 workbook 'Vehicles - WRA' BI10/BL10 (2035 compliance 50%); Kathy Banke email 9/9/2026: use 2035 targets</t>
        </is>
      </c>
      <c r="I12" s="35" t="n">
        <v>0.715</v>
      </c>
      <c r="J1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3">
      <c r="A13" t="inlineStr">
        <is>
          <t>Nigeria</t>
        </is>
      </c>
      <c r="B13" t="inlineStr">
        <is>
          <t>Rice</t>
        </is>
      </c>
      <c r="C13" t="inlineStr">
        <is>
          <t>Iron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Apr-2026 workbook 'Vehicles - WRA' V10/Y10 (2035 compliance 90%); Kathy Banke email 9/9/2026: use 2035 targets</t>
        </is>
      </c>
      <c r="I13" s="35" t="n">
        <v>0.95</v>
      </c>
      <c r="J13" t="inlineStr">
        <is>
          <t>coverage = effectiveness = sqrt(0.90) ~ 0.95, product 0.9025 realizes the 2035 compliance target</t>
        </is>
      </c>
    </row>
    <row r="14">
      <c r="A14" t="inlineStr">
        <is>
          <t>Nigeria</t>
        </is>
      </c>
      <c r="B14" t="inlineStr">
        <is>
          <t>Rice</t>
        </is>
      </c>
      <c r="C14" t="inlineStr">
        <is>
          <t>Folate</t>
        </is>
      </c>
      <c r="D14" t="inlineStr">
        <is>
          <t>Intervention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Apr-2026 workbook 'Vehicles - WRA' V10/Y10 (2035 compliance 90%); Kathy Banke email 9/9/2026: use 2035 targets</t>
        </is>
      </c>
      <c r="I14" s="35" t="n">
        <v>0.95</v>
      </c>
      <c r="J14" t="inlineStr">
        <is>
          <t>coverage = effectiveness = sqrt(0.90) ~ 0.95, product 0.9025 realizes the 2035 compliance target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- 25%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Apr-2026 workbook 'Vehicles - WRA' AZ27 (2035 FA compliance 90%); Kathy Banke email 9/9/2026: use 2035 targets</t>
        </is>
      </c>
      <c r="I15" s="35" t="n">
        <v>0.95</v>
      </c>
      <c r="J15" t="inlineStr">
        <is>
          <t>coverage = effectiveness = sqrt(0.90) ~ 0.95, product 0.9025 realizes the 2035 compliance target; applies to all three Ethiopia arms</t>
        </is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Folate</t>
        </is>
      </c>
      <c r="D16" t="inlineStr">
        <is>
          <t>Intervention - 100% NRV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Apr-2026 workbook 'Vehicles - WRA' AZ27 (2035 FA compliance 90%); Kathy Banke email 9/9/2026: use 2035 targets</t>
        </is>
      </c>
      <c r="I16" s="35" t="n">
        <v>0.95</v>
      </c>
      <c r="J16" t="inlineStr">
        <is>
          <t>coverage = effectiveness = sqrt(0.90) ~ 0.95, product 0.9025 realizes the 2035 compliance target; applies to all three Ethiopia arms</t>
        </is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Folate</t>
        </is>
      </c>
      <c r="D17" t="inlineStr">
        <is>
          <t>Intervention - 45 ppm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Apr-2026 workbook 'Vehicles - WRA' AZ27 (2035 FA compliance 90%); Kathy Banke email 9/9/2026: use 2035 targets</t>
        </is>
      </c>
      <c r="I17" s="35" t="n">
        <v>0.95</v>
      </c>
      <c r="J17" t="inlineStr">
        <is>
          <t>coverage = effectiveness = sqrt(0.90) ~ 0.95, product 0.9025 realizes the 2035 compliance target; applies to all three Ethiopia arms</t>
        </is>
      </c>
    </row>
    <row r="18">
      <c r="A18" t="inlineStr">
        <is>
          <t>India</t>
        </is>
      </c>
      <c r="B18" t="inlineStr">
        <is>
          <t>Rice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Intervention effective % of fortified</t>
        </is>
      </c>
      <c r="F18" t="inlineStr">
        <is>
          <t>percentage</t>
        </is>
      </c>
      <c r="G18" t="inlineStr">
        <is>
          <t>%</t>
        </is>
      </c>
      <c r="H18" t="inlineStr">
        <is>
          <t>GF Apr-2026 workbook 'Vehicles - WRA' V55/Y55 (2035 compliance 85%); Kathy Banke email 9/9/2026: use 2035 targets</t>
        </is>
      </c>
      <c r="I18" s="35" t="n">
        <v>0.92</v>
      </c>
      <c r="J18" t="inlineStr">
        <is>
          <t>coverage = effectiveness = sqrt(0.85) ~ 0.92, product 0.8464 realizes the 2035 compliance target</t>
        </is>
      </c>
    </row>
    <row r="19">
      <c r="A19" t="inlineStr">
        <is>
          <t>India</t>
        </is>
      </c>
      <c r="B19" t="inlineStr">
        <is>
          <t>Rice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Intervention effective % of fortified</t>
        </is>
      </c>
      <c r="F19" t="inlineStr">
        <is>
          <t>percentage</t>
        </is>
      </c>
      <c r="G19" t="inlineStr">
        <is>
          <t>%</t>
        </is>
      </c>
      <c r="H19" t="inlineStr">
        <is>
          <t>GF Apr-2026 workbook 'Vehicles - WRA' V55/Y55 (2035 compliance 85%); Kathy Banke email 9/9/2026: use 2035 targets</t>
        </is>
      </c>
      <c r="I19" s="35" t="n">
        <v>0.92</v>
      </c>
      <c r="J19" t="inlineStr">
        <is>
          <t>coverage = effectiveness = sqrt(0.85) ~ 0.92, product 0.8464 realizes the 2035 compliance target</t>
        </is>
      </c>
    </row>
    <row r="20" ht="44.25" customHeight="1">
      <c r="A20" t="inlineStr">
        <is>
          <t>Nigeria</t>
        </is>
      </c>
      <c r="B20" t="inlineStr">
        <is>
          <t>Bouillon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Andy Garcia email 7/26</t>
        </is>
      </c>
      <c r="I20" t="n">
        <v>1320</v>
      </c>
      <c r="J20" s="5" t="inlineStr">
        <is>
          <t>15% Nigeria-specific NRV per 2.5 grams; https://www.wolframalpha.com/input?i=15%25+of+22mg+per+2.5+grams+in+mcg%2Fg</t>
        </is>
      </c>
    </row>
    <row r="21" ht="44.25" customHeight="1">
      <c r="A21" t="inlineStr">
        <is>
          <t>Nigeria</t>
        </is>
      </c>
      <c r="B21" t="inlineStr">
        <is>
          <t>Bouillon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Andy Garcia email 7/26</t>
        </is>
      </c>
      <c r="I21" t="n">
        <v>24</v>
      </c>
      <c r="J21" s="5" t="inlineStr">
        <is>
          <t>15% Codex (60mcg) per 2.5 grams; https://www.wolframalpha.com/input?i=15%25+of+400mcg+per+2.5+grams+in+mcg%2Fg</t>
        </is>
      </c>
    </row>
    <row r="22" ht="29.5" customHeight="1">
      <c r="A22" t="inlineStr">
        <is>
          <t>Nigeria</t>
        </is>
      </c>
      <c r="B22" t="inlineStr">
        <is>
          <t>Rice</t>
        </is>
      </c>
      <c r="C22" t="inlineStr">
        <is>
          <t>Iron</t>
        </is>
      </c>
      <c r="D22" t="inlineStr">
        <is>
          <t>Intervention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Jonathan Gorstein email 8/30</t>
        </is>
      </c>
      <c r="I22" t="n">
        <v>40</v>
      </c>
      <c r="J22" s="14" t="inlineStr">
        <is>
          <t>https://www.wolframalpha.com/input?i=4+mg%2F100g+in+mcg%2Fg</t>
        </is>
      </c>
    </row>
    <row r="23" ht="29.5" customHeight="1">
      <c r="A23" t="inlineStr">
        <is>
          <t>Nigeria</t>
        </is>
      </c>
      <c r="B23" t="inlineStr">
        <is>
          <t>Rice</t>
        </is>
      </c>
      <c r="C23" t="inlineStr">
        <is>
          <t>Folate</t>
        </is>
      </c>
      <c r="D23" t="inlineStr">
        <is>
          <t>Intervention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Jonathan Gorstein email 8/30</t>
        </is>
      </c>
      <c r="I23" t="n">
        <v>1.69</v>
      </c>
      <c r="J23" s="14" t="inlineStr">
        <is>
          <t>https://www.wolframalpha.com/input?i=0.169+mg%2F100g+in+mcg%2Fg</t>
        </is>
      </c>
    </row>
    <row r="24">
      <c r="A24" t="inlineStr">
        <is>
          <t>Ethiopia</t>
        </is>
      </c>
      <c r="B24" t="inlineStr">
        <is>
          <t>Salt</t>
        </is>
      </c>
      <c r="C24" t="inlineStr">
        <is>
          <t>Folate</t>
        </is>
      </c>
      <c r="D24" t="inlineStr">
        <is>
          <t>Intervention - 25% NRV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Andy Garcia email 7/26</t>
        </is>
      </c>
      <c r="I24" t="n">
        <v>14.08450704225352</v>
      </c>
      <c r="J24" t="inlineStr">
        <is>
          <t>25% Codex (100mcg) per 7.1 grams</t>
        </is>
      </c>
    </row>
    <row r="25">
      <c r="A25" t="inlineStr">
        <is>
          <t>Ethiopia</t>
        </is>
      </c>
      <c r="B25" t="inlineStr">
        <is>
          <t>Salt</t>
        </is>
      </c>
      <c r="C25" t="inlineStr">
        <is>
          <t>Folate</t>
        </is>
      </c>
      <c r="D25" t="inlineStr">
        <is>
          <t>Intervention - 100% NRV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t="inlineStr">
        <is>
          <t>Andy Garcia email 7/26</t>
        </is>
      </c>
      <c r="I25" t="n">
        <v>56.33802816901409</v>
      </c>
      <c r="J25" t="inlineStr">
        <is>
          <t>100% Codex (400mcg) per 7.1 grams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Vehicle fortification in intervention -- amount among fortified</t>
        </is>
      </c>
      <c r="F26" t="inlineStr">
        <is>
          <t>concentration</t>
        </is>
      </c>
      <c r="G26" t="inlineStr">
        <is>
          <t>mcg/g</t>
        </is>
      </c>
      <c r="H26" t="inlineStr">
        <is>
          <t>20260416_Input data to IHME models.xlsx spreadsheet from Jonathan Gorstein, attached to Email 4/16/2026</t>
        </is>
      </c>
      <c r="I26" t="n">
        <v>45</v>
      </c>
      <c r="J26" t="inlineStr">
        <is>
          <t>45 ppm = 45 µg/g</t>
        </is>
      </c>
    </row>
    <row r="27">
      <c r="A27" t="inlineStr">
        <is>
          <t>India</t>
        </is>
      </c>
      <c r="B27" t="inlineStr">
        <is>
          <t>Rice</t>
        </is>
      </c>
      <c r="C27" t="inlineStr">
        <is>
          <t>Iron</t>
        </is>
      </c>
      <c r="D27" t="inlineStr">
        <is>
          <t>Intervention</t>
        </is>
      </c>
      <c r="E27" t="inlineStr">
        <is>
          <t>Vehicle fortification in intervention -- amount among fortified</t>
        </is>
      </c>
      <c r="F27" t="inlineStr">
        <is>
          <t>concentration</t>
        </is>
      </c>
      <c r="G27" t="inlineStr">
        <is>
          <t>mcg/g</t>
        </is>
      </c>
      <c r="H27" t="inlineStr">
        <is>
          <t>FSSAI</t>
        </is>
      </c>
      <c r="I27" t="n">
        <v>42.5</v>
      </c>
      <c r="J27" t="inlineStr">
        <is>
          <t>Same as baseline, PDS rice; see county-vehicle-fort extraction</t>
        </is>
      </c>
    </row>
    <row r="28">
      <c r="A28" t="inlineStr">
        <is>
          <t>India</t>
        </is>
      </c>
      <c r="B28" t="inlineStr">
        <is>
          <t>Rice</t>
        </is>
      </c>
      <c r="C28" t="inlineStr">
        <is>
          <t>Folate</t>
        </is>
      </c>
      <c r="D28" t="inlineStr">
        <is>
          <t>Intervention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s="6" t="inlineStr">
        <is>
          <t>https://nyaspubs.onlinelibrary.wiley.com/doi/full/10.1111/nyas.12478</t>
        </is>
      </c>
      <c r="I28" t="n">
        <v>1.3</v>
      </c>
      <c r="J28" s="6" t="inlineStr">
        <is>
          <t>https://www.wolframalpha.com/input?i=0.13+mg%2F100g+in+mcg%2Fg</t>
        </is>
      </c>
    </row>
  </sheetData>
  <autoFilter ref="A1:J28"/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2" r:id="rId1"/>
    <hyperlink xmlns:r="http://schemas.openxmlformats.org/officeDocument/2006/relationships" ref="J23" r:id="rId2"/>
    <hyperlink xmlns:r="http://schemas.openxmlformats.org/officeDocument/2006/relationships" ref="H28" r:id="rId3"/>
    <hyperlink xmlns:r="http://schemas.openxmlformats.org/officeDocument/2006/relationships" ref="J28" r:id="rId4"/>
  </hyperlink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75"/>
  <cols>
    <col width="40.54296875" bestFit="1" customWidth="1" min="2" max="2"/>
    <col width="10.453125" bestFit="1" customWidth="1" min="5" max="5"/>
    <col width="14.179687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4.2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2026-09-09T21:15:58Z</dcterms:modified>
  <cp:lastModifiedBy>Abraham D Flaxman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