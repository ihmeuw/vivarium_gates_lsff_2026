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1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3" borderId="0" pivotButton="0" quotePrefix="0" xfId="0"/>
    <xf numFmtId="0" fontId="0" fillId="0" borderId="0" applyAlignment="1" pivotButton="0" quotePrefix="0" xfId="1">
      <alignment wrapText="1"/>
    </xf>
    <xf numFmtId="0" fontId="5" fillId="0" borderId="0" pivotButton="0" quotePrefix="0" xfId="0"/>
    <xf numFmtId="0" fontId="0" fillId="0" borderId="0" pivotButton="0" quotePrefix="0" xfId="1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H1" s="34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D2" s="34" t="inlineStr">
        <is>
          <t>Bouillon</t>
        </is>
      </c>
      <c r="F2" s="34" t="inlineStr">
        <is>
          <t>Rice</t>
        </is>
      </c>
      <c r="H2" s="34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7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 ht="29.25" customHeight="1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s="5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Total</t>
        </is>
      </c>
      <c r="D46" t="inlineStr">
        <is>
          <t>Total</t>
        </is>
      </c>
      <c r="E46" t="inlineStr">
        <is>
          <t>Vehicle consumption by U5 children -- amount</t>
        </is>
      </c>
      <c r="F46" t="inlineStr">
        <is>
          <t>standard deviation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>
        <f>(5.5-2.5)/1.35</f>
        <v>2.2222222222222219</v>
      </c>
      <c r="M46" t="inlineStr">
        <is>
          <t>Very rough estimate using SD = IQR / 1.35 (normality assumption), IQR reported in table 171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Total</t>
        </is>
      </c>
      <c r="D47" t="inlineStr">
        <is>
          <t>Female</t>
        </is>
      </c>
      <c r="E47" t="inlineStr">
        <is>
          <t>Vehicle consumption by U5 children -- amount</t>
        </is>
      </c>
      <c r="F47" t="inlineStr">
        <is>
          <t>standard deviation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>
        <f>(5.4-2.4)/1.35</f>
        <v>2.2222222222222223</v>
      </c>
      <c r="M47" t="inlineStr">
        <is>
          <t>Very rough estimate using SD = IQR / 1.35 (normality assumption), IQR reported in table 171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Total</t>
        </is>
      </c>
      <c r="D48" t="inlineStr">
        <is>
          <t>Male</t>
        </is>
      </c>
      <c r="E48" t="inlineStr">
        <is>
          <t>Vehicle consumption by U5 children -- amount</t>
        </is>
      </c>
      <c r="F48" t="inlineStr">
        <is>
          <t>standard deviation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>
        <f>(5.6-2.5)/1.35</f>
        <v>2.2962962962962958</v>
      </c>
      <c r="M48" t="inlineStr">
        <is>
          <t>Very rough estimate using SD = IQR / 1.35 (normality assumption), IQR reported in table 171</t>
        </is>
      </c>
    </row>
    <row r="49" ht="144.75" customHeight="1">
      <c r="A49" t="inlineStr">
        <is>
          <t>Nigeria</t>
        </is>
      </c>
      <c r="B49" t="inlineStr">
        <is>
          <t>Bouillon</t>
        </is>
      </c>
      <c r="C49" t="inlineStr">
        <is>
          <t>Total</t>
        </is>
      </c>
      <c r="D49" t="inlineStr">
        <is>
          <t>Total</t>
        </is>
      </c>
      <c r="E49" t="inlineStr">
        <is>
          <t>Vehicle "fortifiability" (essentially amount industrially produced)</t>
        </is>
      </c>
      <c r="F49" t="inlineStr">
        <is>
          <t>percentage</t>
        </is>
      </c>
      <c r="G49" t="inlineStr">
        <is>
          <t>%</t>
        </is>
      </c>
      <c r="H49" t="n">
        <v>2021</v>
      </c>
      <c r="I49" t="inlineStr">
        <is>
          <t>NFCMS</t>
        </is>
      </c>
      <c r="J49" s="21" t="n">
        <v>0.979612640163099</v>
      </c>
      <c r="K49" s="17" t="n"/>
      <c r="L49" s="17" t="n"/>
      <c r="M49" s="5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Lowest</t>
        </is>
      </c>
      <c r="D50" t="inlineStr">
        <is>
          <t>All (assumed same)</t>
        </is>
      </c>
      <c r="E50" t="inlineStr">
        <is>
          <t>Vehicle "fortifiability" (essentially amount industrially produced)</t>
        </is>
      </c>
      <c r="F50" t="inlineStr">
        <is>
          <t>percentage</t>
        </is>
      </c>
      <c r="G50" t="inlineStr">
        <is>
          <t>%</t>
        </is>
      </c>
      <c r="H50" t="n">
        <v>2021</v>
      </c>
      <c r="I50" t="inlineStr">
        <is>
          <t>NFCMS</t>
        </is>
      </c>
      <c r="J50" s="17" t="n">
        <v>0.965732087227414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Second</t>
        </is>
      </c>
      <c r="D51" t="inlineStr">
        <is>
          <t>All (assumed same)</t>
        </is>
      </c>
      <c r="E51" t="inlineStr">
        <is>
          <t>Vehicle "fortifiability" (essentially amount industrially produced)</t>
        </is>
      </c>
      <c r="F51" t="inlineStr">
        <is>
          <t>percentage</t>
        </is>
      </c>
      <c r="G51" t="inlineStr">
        <is>
          <t>%</t>
        </is>
      </c>
      <c r="H51" t="n">
        <v>2021</v>
      </c>
      <c r="I51" t="inlineStr">
        <is>
          <t>NFCMS</t>
        </is>
      </c>
      <c r="J51" s="7" t="n">
        <v>0.9785932721712538</v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Middle</t>
        </is>
      </c>
      <c r="D52" t="inlineStr">
        <is>
          <t>All (assumed same)</t>
        </is>
      </c>
      <c r="E52" t="inlineStr">
        <is>
          <t>Vehicle "fortifiability" (essentially amount industrially produced)</t>
        </is>
      </c>
      <c r="F52" t="inlineStr">
        <is>
          <t>percentage</t>
        </is>
      </c>
      <c r="G52" t="inlineStr">
        <is>
          <t>%</t>
        </is>
      </c>
      <c r="H52" t="n">
        <v>2021</v>
      </c>
      <c r="I52" t="inlineStr">
        <is>
          <t>NFCMS</t>
        </is>
      </c>
      <c r="J52" s="20" t="n">
        <v>0.9808467741935484</v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Fourth</t>
        </is>
      </c>
      <c r="D53" t="inlineStr">
        <is>
          <t>All (assumed same)</t>
        </is>
      </c>
      <c r="E53" t="inlineStr">
        <is>
          <t>Vehicle "fortifiability" (essentially amount industrially produced)</t>
        </is>
      </c>
      <c r="F53" t="inlineStr">
        <is>
          <t>percentage</t>
        </is>
      </c>
      <c r="G53" t="inlineStr">
        <is>
          <t>%</t>
        </is>
      </c>
      <c r="H53" t="n">
        <v>2021</v>
      </c>
      <c r="I53" t="inlineStr">
        <is>
          <t>NFCMS</t>
        </is>
      </c>
      <c r="J53" s="7" t="n">
        <v>0.9888438133874239</v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Highest</t>
        </is>
      </c>
      <c r="D54" t="inlineStr">
        <is>
          <t>All (assumed same)</t>
        </is>
      </c>
      <c r="E54" t="inlineStr">
        <is>
          <t>Vehicle "fortifiability" (essentially amount industrially produced)</t>
        </is>
      </c>
      <c r="F54" t="inlineStr">
        <is>
          <t>percentage</t>
        </is>
      </c>
      <c r="G54" t="inlineStr">
        <is>
          <t>%</t>
        </is>
      </c>
      <c r="H54" t="n">
        <v>2021</v>
      </c>
      <c r="I54" t="inlineStr">
        <is>
          <t>NFCMS</t>
        </is>
      </c>
      <c r="J54" s="20" t="n">
        <v>0.9837728194726166</v>
      </c>
    </row>
    <row r="55" ht="57.75" customHeight="1">
      <c r="A55" t="inlineStr">
        <is>
          <t>India</t>
        </is>
      </c>
      <c r="B55" t="inlineStr">
        <is>
          <t>Rice</t>
        </is>
      </c>
      <c r="C55" t="inlineStr">
        <is>
          <t>Total</t>
        </is>
      </c>
      <c r="D55" t="inlineStr">
        <is>
          <t>All (assumed same)</t>
        </is>
      </c>
      <c r="E55" t="inlineStr">
        <is>
          <t>Vehicle "fortifiability" (essentially amount industrially produced)</t>
        </is>
      </c>
      <c r="F55" t="inlineStr">
        <is>
          <t>percentage</t>
        </is>
      </c>
      <c r="G55" t="inlineStr">
        <is>
          <t>%</t>
        </is>
      </c>
      <c r="H55" t="n">
        <v>2024</v>
      </c>
      <c r="I55" t="inlineStr">
        <is>
          <t>Laura Key (BCG), "India_Bangladesh_data" (note in "Vehicles - preschool!Q48" of "20260416_Input data to IHME models.xlsx"</t>
        </is>
      </c>
      <c r="J55" s="21" t="n">
        <v>0.45</v>
      </c>
      <c r="M5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56" ht="15" customHeight="1">
      <c r="A56" t="inlineStr">
        <is>
          <t>Nigeria</t>
        </is>
      </c>
      <c r="B56" t="inlineStr">
        <is>
          <t>Rice</t>
        </is>
      </c>
      <c r="C56" t="inlineStr">
        <is>
          <t>All (assumed same)</t>
        </is>
      </c>
      <c r="D56" t="inlineStr">
        <is>
          <t>All (assumed same)</t>
        </is>
      </c>
      <c r="E56" t="inlineStr">
        <is>
          <t>Vehicle "fortifiability" (essentially amount industrially produced)</t>
        </is>
      </c>
      <c r="F56" t="inlineStr">
        <is>
          <t>percentage</t>
        </is>
      </c>
      <c r="G56" t="inlineStr">
        <is>
          <t>%</t>
        </is>
      </c>
      <c r="I56" t="inlineStr">
        <is>
          <t>BCG-measured tonnage</t>
        </is>
      </c>
      <c r="J56" s="7" t="n">
        <v>0.74</v>
      </c>
      <c r="M56" s="5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57" ht="43.5" customHeight="1">
      <c r="A57" t="inlineStr">
        <is>
          <t>Nigeria</t>
        </is>
      </c>
      <c r="B57" t="inlineStr">
        <is>
          <t>Rice</t>
        </is>
      </c>
      <c r="C57" t="inlineStr">
        <is>
          <t>Total</t>
        </is>
      </c>
      <c r="D57" t="inlineStr">
        <is>
          <t>Female</t>
        </is>
      </c>
      <c r="E57" t="inlineStr">
        <is>
          <t>Vehicle consumption by WRA -- amount</t>
        </is>
      </c>
      <c r="F57" t="inlineStr">
        <is>
          <t>mean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>
        <f>61.2*J63</f>
        <v>32.803200000000004</v>
      </c>
      <c r="M57" s="5" t="inlineStr">
        <is>
          <t>Table 172, page 224; based on email from Jonathan Gorstein 8/31 we have assumed the number reported is among consumers, so have multiplied it by coverage here</t>
        </is>
      </c>
    </row>
    <row r="58" ht="43.5" customHeight="1">
      <c r="A58" t="inlineStr">
        <is>
          <t>Nigeria</t>
        </is>
      </c>
      <c r="B58" t="inlineStr">
        <is>
          <t>Rice</t>
        </is>
      </c>
      <c r="C58" t="inlineStr">
        <is>
          <t>Lowest</t>
        </is>
      </c>
      <c r="D58" t="inlineStr">
        <is>
          <t>Female</t>
        </is>
      </c>
      <c r="E58" t="inlineStr">
        <is>
          <t>Vehicle consumption by WRA -- amount</t>
        </is>
      </c>
      <c r="F58" t="inlineStr">
        <is>
          <t>mean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>
        <f>34.2*J64</f>
        <v>11.491200000000001</v>
      </c>
      <c r="M58" s="5" t="inlineStr">
        <is>
          <t>Table 172, page 224; based on email from Jonathan Gorstein 8/31 we have assumed the number reported is among consumers, so have multiplied it by coverage here</t>
        </is>
      </c>
    </row>
    <row r="59" ht="43.5" customHeight="1">
      <c r="A59" t="inlineStr">
        <is>
          <t>Nigeria</t>
        </is>
      </c>
      <c r="B59" t="inlineStr">
        <is>
          <t>Rice</t>
        </is>
      </c>
      <c r="C59" t="inlineStr">
        <is>
          <t>Second</t>
        </is>
      </c>
      <c r="D59" t="inlineStr">
        <is>
          <t>Female</t>
        </is>
      </c>
      <c r="E59" t="inlineStr">
        <is>
          <t>Vehicle consumption by WRA -- amount</t>
        </is>
      </c>
      <c r="F59" t="inlineStr">
        <is>
          <t>mean</t>
        </is>
      </c>
      <c r="G59" t="inlineStr">
        <is>
          <t>g/day</t>
        </is>
      </c>
      <c r="H59" t="n">
        <v>2021</v>
      </c>
      <c r="I59" t="inlineStr">
        <is>
          <t>NFCMS</t>
        </is>
      </c>
      <c r="J59">
        <f>52.4*J65</f>
        <v>23.475200000000001</v>
      </c>
      <c r="M59" s="5" t="inlineStr">
        <is>
          <t>Table 172, page 224; based on email from Jonathan Gorstein 8/31 we have assumed the number reported is among consumers, so have multiplied it by coverage here</t>
        </is>
      </c>
    </row>
    <row r="60" ht="43.5" customHeight="1">
      <c r="A60" t="inlineStr">
        <is>
          <t>Nigeria</t>
        </is>
      </c>
      <c r="B60" t="inlineStr">
        <is>
          <t>Rice</t>
        </is>
      </c>
      <c r="C60" t="inlineStr">
        <is>
          <t>Middle</t>
        </is>
      </c>
      <c r="D60" t="inlineStr">
        <is>
          <t>Female</t>
        </is>
      </c>
      <c r="E60" t="inlineStr">
        <is>
          <t>Vehicle consumption by WRA -- amount</t>
        </is>
      </c>
      <c r="F60" t="inlineStr">
        <is>
          <t>mean</t>
        </is>
      </c>
      <c r="G60" t="inlineStr">
        <is>
          <t>g/day</t>
        </is>
      </c>
      <c r="H60" t="n">
        <v>2021</v>
      </c>
      <c r="I60" t="inlineStr">
        <is>
          <t>NFCMS</t>
        </is>
      </c>
      <c r="J60">
        <f>60.7*J66</f>
        <v>33.142200000000003</v>
      </c>
      <c r="M60" s="5" t="inlineStr">
        <is>
          <t>Table 172, page 224; based on email from Jonathan Gorstein 8/31 we have assumed the number reported is among consumers, so have multiplied it by coverage here</t>
        </is>
      </c>
    </row>
    <row r="61" ht="43.5" customHeight="1">
      <c r="A61" t="inlineStr">
        <is>
          <t>Nigeria</t>
        </is>
      </c>
      <c r="B61" t="inlineStr">
        <is>
          <t>Rice</t>
        </is>
      </c>
      <c r="C61" t="inlineStr">
        <is>
          <t>Fourth</t>
        </is>
      </c>
      <c r="D61" t="inlineStr">
        <is>
          <t>Female</t>
        </is>
      </c>
      <c r="E61" t="inlineStr">
        <is>
          <t>Vehicle consumption by WRA -- amount</t>
        </is>
      </c>
      <c r="F61" t="inlineStr">
        <is>
          <t>mean</t>
        </is>
      </c>
      <c r="G61" t="inlineStr">
        <is>
          <t>g/day</t>
        </is>
      </c>
      <c r="H61" t="n">
        <v>2021</v>
      </c>
      <c r="I61" t="inlineStr">
        <is>
          <t>NFCMS</t>
        </is>
      </c>
      <c r="J61">
        <f>73.7*J67</f>
        <v>46.652100000000004</v>
      </c>
      <c r="M61" s="5" t="inlineStr">
        <is>
          <t>Table 172, page 224; based on email from Jonathan Gorstein 8/31 we have assumed the number reported is among consumers, so have multiplied it by coverage here</t>
        </is>
      </c>
    </row>
    <row r="62" ht="43.5" customHeight="1">
      <c r="A62" t="inlineStr">
        <is>
          <t>Nigeria</t>
        </is>
      </c>
      <c r="B62" t="inlineStr">
        <is>
          <t>Rice</t>
        </is>
      </c>
      <c r="C62" t="inlineStr">
        <is>
          <t>Highest</t>
        </is>
      </c>
      <c r="D62" t="inlineStr">
        <is>
          <t>Female</t>
        </is>
      </c>
      <c r="E62" t="inlineStr">
        <is>
          <t>Vehicle consumption by WRA -- amount</t>
        </is>
      </c>
      <c r="F62" t="inlineStr">
        <is>
          <t>mean</t>
        </is>
      </c>
      <c r="G62" t="inlineStr">
        <is>
          <t>g/day</t>
        </is>
      </c>
      <c r="H62" t="n">
        <v>2021</v>
      </c>
      <c r="I62" t="inlineStr">
        <is>
          <t>NFCMS</t>
        </is>
      </c>
      <c r="J62">
        <f>79.5*J68</f>
        <v>53.742000000000004</v>
      </c>
      <c r="M62" s="5" t="inlineStr">
        <is>
          <t>Table 172, page 224; based on email from Jonathan Gorstein 8/31 we have assumed the number reported is among consumers, so have multiplied it by coverage here</t>
        </is>
      </c>
    </row>
    <row r="63" ht="29.25" customHeight="1">
      <c r="A63" t="inlineStr">
        <is>
          <t>Nigeria</t>
        </is>
      </c>
      <c r="B63" t="inlineStr">
        <is>
          <t>Rice</t>
        </is>
      </c>
      <c r="C63" t="inlineStr">
        <is>
          <t>Total</t>
        </is>
      </c>
      <c r="D63" t="inlineStr">
        <is>
          <t>Female</t>
        </is>
      </c>
      <c r="E63" t="inlineStr">
        <is>
          <t>Vehicle consumption by WRA -- any</t>
        </is>
      </c>
      <c r="F63" t="inlineStr">
        <is>
          <t>percentage</t>
        </is>
      </c>
      <c r="G63" t="inlineStr">
        <is>
          <t>%</t>
        </is>
      </c>
      <c r="I63" t="inlineStr">
        <is>
          <t>INTAKE</t>
        </is>
      </c>
      <c r="J63" s="21" t="n">
        <v>0.536</v>
      </c>
      <c r="M63" s="5" t="inlineStr">
        <is>
          <t>INTAKE tabulation of NFCMS (?) shared by Jonathan Gorstein on 8/30; presumably in WRA</t>
        </is>
      </c>
    </row>
    <row r="64">
      <c r="A64" t="inlineStr">
        <is>
          <t>Nigeria</t>
        </is>
      </c>
      <c r="B64" t="inlineStr">
        <is>
          <t>Rice</t>
        </is>
      </c>
      <c r="C64" t="inlineStr">
        <is>
          <t>Lowest</t>
        </is>
      </c>
      <c r="D64" t="inlineStr">
        <is>
          <t>Female</t>
        </is>
      </c>
      <c r="E64" t="inlineStr">
        <is>
          <t>Vehicle consumption by WRA -- any</t>
        </is>
      </c>
      <c r="F64" t="inlineStr">
        <is>
          <t>percentage</t>
        </is>
      </c>
      <c r="G64" t="inlineStr">
        <is>
          <t>%</t>
        </is>
      </c>
      <c r="I64" t="inlineStr">
        <is>
          <t>INTAKE</t>
        </is>
      </c>
      <c r="J64" s="21" t="n">
        <v>0.336</v>
      </c>
    </row>
    <row r="65">
      <c r="A65" t="inlineStr">
        <is>
          <t>Nigeria</t>
        </is>
      </c>
      <c r="B65" t="inlineStr">
        <is>
          <t>Rice</t>
        </is>
      </c>
      <c r="C65" t="inlineStr">
        <is>
          <t>Second</t>
        </is>
      </c>
      <c r="D65" t="inlineStr">
        <is>
          <t>Female</t>
        </is>
      </c>
      <c r="E65" t="inlineStr">
        <is>
          <t>Vehicle consumption by WRA -- any</t>
        </is>
      </c>
      <c r="F65" t="inlineStr">
        <is>
          <t>percentage</t>
        </is>
      </c>
      <c r="G65" t="inlineStr">
        <is>
          <t>%</t>
        </is>
      </c>
      <c r="I65" t="inlineStr">
        <is>
          <t>INTAKE</t>
        </is>
      </c>
      <c r="J65" s="21" t="n">
        <v>0.448</v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Middle</t>
        </is>
      </c>
      <c r="D66" t="inlineStr">
        <is>
          <t>Female</t>
        </is>
      </c>
      <c r="E66" t="inlineStr">
        <is>
          <t>Vehicle consumption by WRA -- any</t>
        </is>
      </c>
      <c r="F66" t="inlineStr">
        <is>
          <t>percentage</t>
        </is>
      </c>
      <c r="G66" t="inlineStr">
        <is>
          <t>%</t>
        </is>
      </c>
      <c r="I66" t="inlineStr">
        <is>
          <t>INTAKE</t>
        </is>
      </c>
      <c r="J66" s="21" t="n">
        <v>0.546</v>
      </c>
    </row>
    <row r="67">
      <c r="A67" t="inlineStr">
        <is>
          <t>Nigeria</t>
        </is>
      </c>
      <c r="B67" t="inlineStr">
        <is>
          <t>Rice</t>
        </is>
      </c>
      <c r="C67" t="inlineStr">
        <is>
          <t>Fourth</t>
        </is>
      </c>
      <c r="D67" t="inlineStr">
        <is>
          <t>Female</t>
        </is>
      </c>
      <c r="E67" t="inlineStr">
        <is>
          <t>Vehicle consumption by WRA -- any</t>
        </is>
      </c>
      <c r="F67" t="inlineStr">
        <is>
          <t>percentage</t>
        </is>
      </c>
      <c r="G67" t="inlineStr">
        <is>
          <t>%</t>
        </is>
      </c>
      <c r="I67" t="inlineStr">
        <is>
          <t>INTAKE</t>
        </is>
      </c>
      <c r="J67" s="21" t="n">
        <v>0.633</v>
      </c>
    </row>
    <row r="68">
      <c r="A68" t="inlineStr">
        <is>
          <t>Nigeria</t>
        </is>
      </c>
      <c r="B68" t="inlineStr">
        <is>
          <t>Rice</t>
        </is>
      </c>
      <c r="C68" t="inlineStr">
        <is>
          <t>Highest</t>
        </is>
      </c>
      <c r="D68" t="inlineStr">
        <is>
          <t>Female</t>
        </is>
      </c>
      <c r="E68" t="inlineStr">
        <is>
          <t>Vehicle consumption by WRA -- any</t>
        </is>
      </c>
      <c r="F68" t="inlineStr">
        <is>
          <t>percentage</t>
        </is>
      </c>
      <c r="G68" t="inlineStr">
        <is>
          <t>%</t>
        </is>
      </c>
      <c r="I68" t="inlineStr">
        <is>
          <t>INTAKE</t>
        </is>
      </c>
      <c r="J68" s="21" t="n">
        <v>0.676</v>
      </c>
    </row>
    <row r="69" ht="29.25" customHeight="1">
      <c r="A69" t="inlineStr">
        <is>
          <t>Nigeria</t>
        </is>
      </c>
      <c r="B69" t="inlineStr">
        <is>
          <t>Rice</t>
        </is>
      </c>
      <c r="C69" t="inlineStr">
        <is>
          <t>Total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standard deviation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(84.6-30.5)/1.35</f>
        <v>40.074074074074069</v>
      </c>
      <c r="M69" s="5" t="inlineStr">
        <is>
          <t>Very rough estimate using SD = IQR / 1.35 (normality assumption), IQR reported in table 172</t>
        </is>
      </c>
    </row>
    <row r="70">
      <c r="A70" t="inlineStr">
        <is>
          <t>Nigeria</t>
        </is>
      </c>
      <c r="B70" t="inlineStr">
        <is>
          <t>Rice</t>
        </is>
      </c>
      <c r="C70" t="inlineStr">
        <is>
          <t>Lowest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standard deviation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(47.2-13.7)/1.35</f>
        <v>24.814814814814813</v>
      </c>
    </row>
    <row r="71">
      <c r="A71" t="inlineStr">
        <is>
          <t>Nigeria</t>
        </is>
      </c>
      <c r="B71" t="inlineStr">
        <is>
          <t>Rice</t>
        </is>
      </c>
      <c r="C71" t="inlineStr">
        <is>
          <t>Second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standard deviation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(71.4-26.4)/1.35</f>
        <v>33.333333333333336</v>
      </c>
    </row>
    <row r="72">
      <c r="A72" t="inlineStr">
        <is>
          <t>Nigeria</t>
        </is>
      </c>
      <c r="B72" t="inlineStr">
        <is>
          <t>Rice</t>
        </is>
      </c>
      <c r="C72" t="inlineStr">
        <is>
          <t>Middle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standard deviation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(81.1-33.8)/1.35</f>
        <v>35.037037037037031</v>
      </c>
    </row>
    <row r="73">
      <c r="A73" t="inlineStr">
        <is>
          <t>Nigeria</t>
        </is>
      </c>
      <c r="B73" t="inlineStr">
        <is>
          <t>Rice</t>
        </is>
      </c>
      <c r="C73" t="inlineStr">
        <is>
          <t>Fourth</t>
        </is>
      </c>
      <c r="D73" t="inlineStr">
        <is>
          <t>Female</t>
        </is>
      </c>
      <c r="E73" t="inlineStr">
        <is>
          <t>Vehicle consumption by WRA -- amount</t>
        </is>
      </c>
      <c r="F73" t="inlineStr">
        <is>
          <t>standard deviation</t>
        </is>
      </c>
      <c r="G73" t="inlineStr">
        <is>
          <t>g/day</t>
        </is>
      </c>
      <c r="H73" t="n">
        <v>2021</v>
      </c>
      <c r="I73" t="inlineStr">
        <is>
          <t>NFCMS</t>
        </is>
      </c>
      <c r="J73">
        <f>(96.3-45.3)/1.35</f>
        <v>37.777777777777779</v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Highest</t>
        </is>
      </c>
      <c r="D74" t="inlineStr">
        <is>
          <t>Female</t>
        </is>
      </c>
      <c r="E74" t="inlineStr">
        <is>
          <t>Vehicle consumption by WRA -- amount</t>
        </is>
      </c>
      <c r="F74" t="inlineStr">
        <is>
          <t>standard deviation</t>
        </is>
      </c>
      <c r="G74" t="inlineStr">
        <is>
          <t>g/day</t>
        </is>
      </c>
      <c r="H74" t="n">
        <v>2021</v>
      </c>
      <c r="I74" t="inlineStr">
        <is>
          <t>NFCMS</t>
        </is>
      </c>
      <c r="J74">
        <f>(103.1-50.4)/1.35</f>
        <v>39.037037037037031</v>
      </c>
    </row>
    <row r="75" ht="43.5" customHeight="1">
      <c r="A75" t="inlineStr">
        <is>
          <t>Nigeria</t>
        </is>
      </c>
      <c r="B75" t="inlineStr">
        <is>
          <t>Rice</t>
        </is>
      </c>
      <c r="C75" t="inlineStr">
        <is>
          <t>Total</t>
        </is>
      </c>
      <c r="D75" t="inlineStr">
        <is>
          <t>Total</t>
        </is>
      </c>
      <c r="E75" t="inlineStr">
        <is>
          <t>Vehicle consumption by U5 children -- amount</t>
        </is>
      </c>
      <c r="F75" t="inlineStr">
        <is>
          <t>mean</t>
        </is>
      </c>
      <c r="G75" t="inlineStr">
        <is>
          <t>g/day</t>
        </is>
      </c>
      <c r="H75" t="n">
        <v>2021</v>
      </c>
      <c r="I75" t="inlineStr">
        <is>
          <t>NFCMS</t>
        </is>
      </c>
      <c r="J75">
        <f>38.3*J81</f>
        <v>20.5288</v>
      </c>
      <c r="M75" s="5" t="inlineStr">
        <is>
          <t>Table 173, page 224; based on email from Jonathan Gorstein 8/31 we have assumed the number reported is among consumers, so have multiplied it by coverage here</t>
        </is>
      </c>
    </row>
    <row r="76" ht="43.5" customHeight="1">
      <c r="A76" t="inlineStr">
        <is>
          <t>Nigeria</t>
        </is>
      </c>
      <c r="B76" t="inlineStr">
        <is>
          <t>Rice</t>
        </is>
      </c>
      <c r="C76" t="inlineStr">
        <is>
          <t>Total</t>
        </is>
      </c>
      <c r="D76" t="inlineStr">
        <is>
          <t>Female</t>
        </is>
      </c>
      <c r="E76" t="inlineStr">
        <is>
          <t>Vehicle consumption by U5 children -- amount</t>
        </is>
      </c>
      <c r="F76" t="inlineStr">
        <is>
          <t>mean</t>
        </is>
      </c>
      <c r="G76" t="inlineStr">
        <is>
          <t>g/day</t>
        </is>
      </c>
      <c r="H76" t="n">
        <v>2021</v>
      </c>
      <c r="I76" t="inlineStr">
        <is>
          <t>NFCMS</t>
        </is>
      </c>
      <c r="J76">
        <f>35.5*J81</f>
        <v>19.028000000000002</v>
      </c>
      <c r="M76" s="5" t="inlineStr">
        <is>
          <t>Table 173, page 224; based on email from Jonathan Gorstein 8/31 we have assumed the number reported is among consumers, so have multiplied it by coverage here</t>
        </is>
      </c>
    </row>
    <row r="77" ht="43.5" customHeight="1">
      <c r="A77" t="inlineStr">
        <is>
          <t>Nigeria</t>
        </is>
      </c>
      <c r="B77" t="inlineStr">
        <is>
          <t>Rice</t>
        </is>
      </c>
      <c r="C77" t="inlineStr">
        <is>
          <t>Total</t>
        </is>
      </c>
      <c r="D77" t="inlineStr">
        <is>
          <t>Male</t>
        </is>
      </c>
      <c r="E77" t="inlineStr">
        <is>
          <t>Vehicle consumption by U5 children -- amount</t>
        </is>
      </c>
      <c r="F77" t="inlineStr">
        <is>
          <t>mean</t>
        </is>
      </c>
      <c r="G77" t="inlineStr">
        <is>
          <t>g/day</t>
        </is>
      </c>
      <c r="H77" t="n">
        <v>2021</v>
      </c>
      <c r="I77" t="inlineStr">
        <is>
          <t>NFCMS</t>
        </is>
      </c>
      <c r="J77">
        <f>41*J81</f>
        <v>21.976000000000003</v>
      </c>
      <c r="M77" s="5" t="inlineStr">
        <is>
          <t>Table 173, page 224; based on email from Jonathan Gorstein 8/31 we have assumed the number reported is among consumers, so have multiplied it by coverage here</t>
        </is>
      </c>
    </row>
    <row r="78" ht="29.25" customHeight="1">
      <c r="A78" t="inlineStr">
        <is>
          <t>Nigeria</t>
        </is>
      </c>
      <c r="B78" t="inlineStr">
        <is>
          <t>Rice</t>
        </is>
      </c>
      <c r="C78" t="inlineStr">
        <is>
          <t>Total</t>
        </is>
      </c>
      <c r="D78" t="inlineStr">
        <is>
          <t>Total</t>
        </is>
      </c>
      <c r="E78" t="inlineStr">
        <is>
          <t>Vehicle consumption by U5 children -- amount</t>
        </is>
      </c>
      <c r="F78" t="inlineStr">
        <is>
          <t>standard deviation</t>
        </is>
      </c>
      <c r="G78" t="inlineStr">
        <is>
          <t>g/day</t>
        </is>
      </c>
      <c r="H78" t="n">
        <v>2021</v>
      </c>
      <c r="I78" t="inlineStr">
        <is>
          <t>NFCMS</t>
        </is>
      </c>
      <c r="J78">
        <f>(53.6-19)/1.35</f>
        <v>25.62962962962963</v>
      </c>
      <c r="M78" s="5" t="inlineStr">
        <is>
          <t>Very rough estimate using SD = IQR / 1.35 (normality assumption), IQR reported in table 173</t>
        </is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U5 children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(49.5-17.1)/1.35</f>
        <v>23.999999999999996</v>
      </c>
      <c r="M79" s="5" t="inlineStr">
        <is>
          <t>Very rough estimate using SD = IQR / 1.35 (normality assumption), IQR reported in table 173</t>
        </is>
      </c>
    </row>
    <row r="80" ht="29.25" customHeight="1">
      <c r="A80" t="inlineStr">
        <is>
          <t>Nigeria</t>
        </is>
      </c>
      <c r="B80" t="inlineStr">
        <is>
          <t>Rice</t>
        </is>
      </c>
      <c r="C80" t="inlineStr">
        <is>
          <t>Total</t>
        </is>
      </c>
      <c r="D80" t="inlineStr">
        <is>
          <t>Male</t>
        </is>
      </c>
      <c r="E80" t="inlineStr">
        <is>
          <t>Vehicle consumption by U5 children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(57.6-20.7)/1.35</f>
        <v>27.333333333333336</v>
      </c>
      <c r="M80" s="5" t="inlineStr">
        <is>
          <t>Very rough estimate using SD = IQR / 1.35 (normality assumption), IQR reported in table 173</t>
        </is>
      </c>
    </row>
    <row r="81" ht="29.25" customHeight="1">
      <c r="A81" t="inlineStr">
        <is>
          <t>Nigeria</t>
        </is>
      </c>
      <c r="B81" t="inlineStr">
        <is>
          <t>Rice</t>
        </is>
      </c>
      <c r="C81" t="inlineStr">
        <is>
          <t>Total</t>
        </is>
      </c>
      <c r="D81" t="inlineStr">
        <is>
          <t>All (assumed same)</t>
        </is>
      </c>
      <c r="E81" t="inlineStr">
        <is>
          <t>Vehicle consumption by U5 children -- any</t>
        </is>
      </c>
      <c r="F81" t="inlineStr">
        <is>
          <t>percentage</t>
        </is>
      </c>
      <c r="G81" t="inlineStr">
        <is>
          <t>%</t>
        </is>
      </c>
      <c r="I81" t="inlineStr">
        <is>
          <t>INTAKE</t>
        </is>
      </c>
      <c r="J81" s="21" t="n">
        <v>0.536</v>
      </c>
      <c r="M81" s="5" t="inlineStr">
        <is>
          <t>INTAKE tabulation of NFCMS (?) shared by Jonathan Gorstein on 8/30; presumably in WRA</t>
        </is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Lowest</t>
        </is>
      </c>
      <c r="D82" t="inlineStr">
        <is>
          <t>All (assumed same)</t>
        </is>
      </c>
      <c r="E82" t="inlineStr">
        <is>
          <t>Vehicle consumption by U5 children -- any</t>
        </is>
      </c>
      <c r="F82" t="inlineStr">
        <is>
          <t>percentage</t>
        </is>
      </c>
      <c r="G82" t="inlineStr">
        <is>
          <t>%</t>
        </is>
      </c>
      <c r="I82" t="inlineStr">
        <is>
          <t>INTAKE</t>
        </is>
      </c>
      <c r="J82" s="21" t="n">
        <v>0.336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Second</t>
        </is>
      </c>
      <c r="D83" t="inlineStr">
        <is>
          <t>All (assumed same)</t>
        </is>
      </c>
      <c r="E83" t="inlineStr">
        <is>
          <t>Vehicle consumption by U5 children -- any</t>
        </is>
      </c>
      <c r="F83" t="inlineStr">
        <is>
          <t>percentage</t>
        </is>
      </c>
      <c r="G83" t="inlineStr">
        <is>
          <t>%</t>
        </is>
      </c>
      <c r="I83" t="inlineStr">
        <is>
          <t>INTAKE</t>
        </is>
      </c>
      <c r="J83" s="21" t="n">
        <v>0.448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Middle</t>
        </is>
      </c>
      <c r="D84" t="inlineStr">
        <is>
          <t>All (assumed same)</t>
        </is>
      </c>
      <c r="E84" t="inlineStr">
        <is>
          <t>Vehicle consumption by U5 children -- any</t>
        </is>
      </c>
      <c r="F84" t="inlineStr">
        <is>
          <t>percentage</t>
        </is>
      </c>
      <c r="G84" t="inlineStr">
        <is>
          <t>%</t>
        </is>
      </c>
      <c r="I84" t="inlineStr">
        <is>
          <t>INTAKE</t>
        </is>
      </c>
      <c r="J84" s="21" t="n">
        <v>0.546</v>
      </c>
    </row>
    <row r="85">
      <c r="A85" t="inlineStr">
        <is>
          <t>Nigeria</t>
        </is>
      </c>
      <c r="B85" t="inlineStr">
        <is>
          <t>Rice</t>
        </is>
      </c>
      <c r="C85" t="inlineStr">
        <is>
          <t>Fourth</t>
        </is>
      </c>
      <c r="D85" t="inlineStr">
        <is>
          <t>All (assumed same)</t>
        </is>
      </c>
      <c r="E85" t="inlineStr">
        <is>
          <t>Vehicle consumption by U5 children -- any</t>
        </is>
      </c>
      <c r="F85" t="inlineStr">
        <is>
          <t>percentage</t>
        </is>
      </c>
      <c r="G85" t="inlineStr">
        <is>
          <t>%</t>
        </is>
      </c>
      <c r="I85" t="inlineStr">
        <is>
          <t>INTAKE</t>
        </is>
      </c>
      <c r="J85" s="21" t="n">
        <v>0.633</v>
      </c>
    </row>
    <row r="86">
      <c r="A86" t="inlineStr">
        <is>
          <t>Nigeria</t>
        </is>
      </c>
      <c r="B86" t="inlineStr">
        <is>
          <t>Rice</t>
        </is>
      </c>
      <c r="C86" t="inlineStr">
        <is>
          <t>Highest</t>
        </is>
      </c>
      <c r="D86" t="inlineStr">
        <is>
          <t>All (assumed same)</t>
        </is>
      </c>
      <c r="E86" t="inlineStr">
        <is>
          <t>Vehicle consumption by U5 children -- any</t>
        </is>
      </c>
      <c r="F86" t="inlineStr">
        <is>
          <t>percentage</t>
        </is>
      </c>
      <c r="G86" t="inlineStr">
        <is>
          <t>%</t>
        </is>
      </c>
      <c r="I86" t="inlineStr">
        <is>
          <t>INTAKE</t>
        </is>
      </c>
      <c r="J86" s="21" t="n">
        <v>0.676</v>
      </c>
    </row>
    <row r="87" ht="15" customHeight="1">
      <c r="A87" t="inlineStr">
        <is>
          <t>Nigeria</t>
        </is>
      </c>
      <c r="B87" t="inlineStr">
        <is>
          <t>Wheat</t>
        </is>
      </c>
      <c r="C87" t="inlineStr">
        <is>
          <t>All (assumed same)</t>
        </is>
      </c>
      <c r="D87" t="inlineStr">
        <is>
          <t>All (assumed same)</t>
        </is>
      </c>
      <c r="E87" t="inlineStr">
        <is>
          <t>Vehicle "fortifiability" (essentially amount industrially produced)</t>
        </is>
      </c>
      <c r="F87" t="inlineStr">
        <is>
          <t>percentage</t>
        </is>
      </c>
      <c r="G87" t="inlineStr">
        <is>
          <t>%</t>
        </is>
      </c>
      <c r="I87" t="inlineStr">
        <is>
          <t>DUMMY (MIC-7549)</t>
        </is>
      </c>
      <c r="J87" s="7" t="n">
        <v>0.74</v>
      </c>
      <c r="M87" s="5" t="inlineStr">
        <is>
          <t>DUMMY PLACEHOLDER (MIC-7549): value copied from the corresponding Rice row. Replace with real wheat data.</t>
        </is>
      </c>
    </row>
    <row r="88" ht="43.5" customHeight="1">
      <c r="A88" t="inlineStr">
        <is>
          <t>Nigeria</t>
        </is>
      </c>
      <c r="B88" t="inlineStr">
        <is>
          <t>Wheat</t>
        </is>
      </c>
      <c r="C88" t="inlineStr">
        <is>
          <t>Total</t>
        </is>
      </c>
      <c r="D88" t="inlineStr">
        <is>
          <t>Female</t>
        </is>
      </c>
      <c r="E88" t="inlineStr">
        <is>
          <t>Vehicle consumption by WRA -- amount</t>
        </is>
      </c>
      <c r="F88" t="inlineStr">
        <is>
          <t>mean</t>
        </is>
      </c>
      <c r="G88" t="inlineStr">
        <is>
          <t>g/day</t>
        </is>
      </c>
      <c r="I88" t="inlineStr">
        <is>
          <t>DUMMY (MIC-7549)</t>
        </is>
      </c>
      <c r="J88" t="n">
        <v>32.803200000000004</v>
      </c>
      <c r="M88" s="5" t="inlineStr">
        <is>
          <t>DUMMY PLACEHOLDER (MIC-7549): value copied from the corresponding Rice row. Replace with real wheat data.</t>
        </is>
      </c>
    </row>
    <row r="89" ht="43.5" customHeight="1">
      <c r="A89" t="inlineStr">
        <is>
          <t>Nigeria</t>
        </is>
      </c>
      <c r="B89" t="inlineStr">
        <is>
          <t>Wheat</t>
        </is>
      </c>
      <c r="C89" t="inlineStr">
        <is>
          <t>Lowest</t>
        </is>
      </c>
      <c r="D89" t="inlineStr">
        <is>
          <t>Female</t>
        </is>
      </c>
      <c r="E89" t="inlineStr">
        <is>
          <t>Vehicle consumption by WRA -- amount</t>
        </is>
      </c>
      <c r="F89" t="inlineStr">
        <is>
          <t>mean</t>
        </is>
      </c>
      <c r="G89" t="inlineStr">
        <is>
          <t>g/day</t>
        </is>
      </c>
      <c r="I89" t="inlineStr">
        <is>
          <t>DUMMY (MIC-7549)</t>
        </is>
      </c>
      <c r="J89" t="n">
        <v>11.491200000000001</v>
      </c>
      <c r="M89" s="5" t="inlineStr">
        <is>
          <t>DUMMY PLACEHOLDER (MIC-7549): value copied from the corresponding Rice row. Replace with real wheat data.</t>
        </is>
      </c>
    </row>
    <row r="90" ht="43.5" customHeight="1">
      <c r="A90" t="inlineStr">
        <is>
          <t>Nigeria</t>
        </is>
      </c>
      <c r="B90" t="inlineStr">
        <is>
          <t>Wheat</t>
        </is>
      </c>
      <c r="C90" t="inlineStr">
        <is>
          <t>Second</t>
        </is>
      </c>
      <c r="D90" t="inlineStr">
        <is>
          <t>Female</t>
        </is>
      </c>
      <c r="E90" t="inlineStr">
        <is>
          <t>Vehicle consumption by WRA -- amount</t>
        </is>
      </c>
      <c r="F90" t="inlineStr">
        <is>
          <t>mean</t>
        </is>
      </c>
      <c r="G90" t="inlineStr">
        <is>
          <t>g/day</t>
        </is>
      </c>
      <c r="I90" t="inlineStr">
        <is>
          <t>DUMMY (MIC-7549)</t>
        </is>
      </c>
      <c r="J90" t="n">
        <v>23.475200000000001</v>
      </c>
      <c r="M90" s="5" t="inlineStr">
        <is>
          <t>DUMMY PLACEHOLDER (MIC-7549): value copied from the corresponding Rice row. Replace with real wheat data.</t>
        </is>
      </c>
    </row>
    <row r="91" ht="43.5" customHeight="1">
      <c r="A91" t="inlineStr">
        <is>
          <t>Nigeria</t>
        </is>
      </c>
      <c r="B91" t="inlineStr">
        <is>
          <t>Wheat</t>
        </is>
      </c>
      <c r="C91" t="inlineStr">
        <is>
          <t>Middle</t>
        </is>
      </c>
      <c r="D91" t="inlineStr">
        <is>
          <t>Female</t>
        </is>
      </c>
      <c r="E91" t="inlineStr">
        <is>
          <t>Vehicle consumption by WRA -- amount</t>
        </is>
      </c>
      <c r="F91" t="inlineStr">
        <is>
          <t>mean</t>
        </is>
      </c>
      <c r="G91" t="inlineStr">
        <is>
          <t>g/day</t>
        </is>
      </c>
      <c r="I91" t="inlineStr">
        <is>
          <t>DUMMY (MIC-7549)</t>
        </is>
      </c>
      <c r="J91" t="n">
        <v>33.142200000000003</v>
      </c>
      <c r="M91" s="5" t="inlineStr">
        <is>
          <t>DUMMY PLACEHOLDER (MIC-7549): value copied from the corresponding Rice row. Replace with real wheat data.</t>
        </is>
      </c>
    </row>
    <row r="92" ht="43.5" customHeight="1">
      <c r="A92" t="inlineStr">
        <is>
          <t>Nigeria</t>
        </is>
      </c>
      <c r="B92" t="inlineStr">
        <is>
          <t>Wheat</t>
        </is>
      </c>
      <c r="C92" t="inlineStr">
        <is>
          <t>Fourth</t>
        </is>
      </c>
      <c r="D92" t="inlineStr">
        <is>
          <t>Female</t>
        </is>
      </c>
      <c r="E92" t="inlineStr">
        <is>
          <t>Vehicle consumption by WRA -- amount</t>
        </is>
      </c>
      <c r="F92" t="inlineStr">
        <is>
          <t>mean</t>
        </is>
      </c>
      <c r="G92" t="inlineStr">
        <is>
          <t>g/day</t>
        </is>
      </c>
      <c r="I92" t="inlineStr">
        <is>
          <t>DUMMY (MIC-7549)</t>
        </is>
      </c>
      <c r="J92" t="n">
        <v>46.652100000000004</v>
      </c>
      <c r="M92" s="5" t="inlineStr">
        <is>
          <t>DUMMY PLACEHOLDER (MIC-7549): value copied from the corresponding Rice row. Replace with real wheat data.</t>
        </is>
      </c>
    </row>
    <row r="93" ht="43.5" customHeight="1">
      <c r="A93" t="inlineStr">
        <is>
          <t>Nigeria</t>
        </is>
      </c>
      <c r="B93" t="inlineStr">
        <is>
          <t>Wheat</t>
        </is>
      </c>
      <c r="C93" t="inlineStr">
        <is>
          <t>Highest</t>
        </is>
      </c>
      <c r="D93" t="inlineStr">
        <is>
          <t>Female</t>
        </is>
      </c>
      <c r="E93" t="inlineStr">
        <is>
          <t>Vehicle consumption by WRA -- amount</t>
        </is>
      </c>
      <c r="F93" t="inlineStr">
        <is>
          <t>mean</t>
        </is>
      </c>
      <c r="G93" t="inlineStr">
        <is>
          <t>g/day</t>
        </is>
      </c>
      <c r="I93" t="inlineStr">
        <is>
          <t>DUMMY (MIC-7549)</t>
        </is>
      </c>
      <c r="J93" t="n">
        <v>53.742000000000004</v>
      </c>
      <c r="M93" s="5" t="inlineStr">
        <is>
          <t>DUMMY PLACEHOLDER (MIC-7549): value copied from the corresponding Rice row. Replace with real wheat data.</t>
        </is>
      </c>
    </row>
    <row r="94" ht="29.25" customHeight="1">
      <c r="A94" t="inlineStr">
        <is>
          <t>Nigeria</t>
        </is>
      </c>
      <c r="B94" t="inlineStr">
        <is>
          <t>Wheat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WRA -- any</t>
        </is>
      </c>
      <c r="F94" t="inlineStr">
        <is>
          <t>percentage</t>
        </is>
      </c>
      <c r="G94" t="inlineStr">
        <is>
          <t>%</t>
        </is>
      </c>
      <c r="I94" t="inlineStr">
        <is>
          <t>DUMMY (MIC-7549)</t>
        </is>
      </c>
      <c r="J94" s="21" t="n">
        <v>0.536</v>
      </c>
      <c r="M94" s="5" t="inlineStr">
        <is>
          <t>DUMMY PLACEHOLDER (MIC-7549): value copied from the corresponding Rice row. Replace with real wheat data.</t>
        </is>
      </c>
    </row>
    <row r="95">
      <c r="A95" t="inlineStr">
        <is>
          <t>Nigeria</t>
        </is>
      </c>
      <c r="B95" t="inlineStr">
        <is>
          <t>Wheat</t>
        </is>
      </c>
      <c r="C95" t="inlineStr">
        <is>
          <t>Lowest</t>
        </is>
      </c>
      <c r="D95" t="inlineStr">
        <is>
          <t>Female</t>
        </is>
      </c>
      <c r="E95" t="inlineStr">
        <is>
          <t>Vehicle consumption by WRA -- any</t>
        </is>
      </c>
      <c r="F95" t="inlineStr">
        <is>
          <t>percentage</t>
        </is>
      </c>
      <c r="G95" t="inlineStr">
        <is>
          <t>%</t>
        </is>
      </c>
      <c r="I95" t="inlineStr">
        <is>
          <t>DUMMY (MIC-7549)</t>
        </is>
      </c>
      <c r="J95" s="21" t="n">
        <v>0.336</v>
      </c>
      <c r="M95" t="inlineStr">
        <is>
          <t>DUMMY PLACEHOLDER (MIC-7549): value copied from the corresponding Rice row. Replace with real wheat data.</t>
        </is>
      </c>
    </row>
    <row r="96">
      <c r="A96" t="inlineStr">
        <is>
          <t>Nigeria</t>
        </is>
      </c>
      <c r="B96" t="inlineStr">
        <is>
          <t>Wheat</t>
        </is>
      </c>
      <c r="C96" t="inlineStr">
        <is>
          <t>Second</t>
        </is>
      </c>
      <c r="D96" t="inlineStr">
        <is>
          <t>Female</t>
        </is>
      </c>
      <c r="E96" t="inlineStr">
        <is>
          <t>Vehicle consumption by WRA -- any</t>
        </is>
      </c>
      <c r="F96" t="inlineStr">
        <is>
          <t>percentage</t>
        </is>
      </c>
      <c r="G96" t="inlineStr">
        <is>
          <t>%</t>
        </is>
      </c>
      <c r="I96" t="inlineStr">
        <is>
          <t>DUMMY (MIC-7549)</t>
        </is>
      </c>
      <c r="J96" s="21" t="n">
        <v>0.448</v>
      </c>
      <c r="M96" t="inlineStr">
        <is>
          <t>DUMMY PLACEHOLDER (MIC-7549): value copied from the corresponding Rice row. Replace with real wheat data.</t>
        </is>
      </c>
    </row>
    <row r="97">
      <c r="A97" t="inlineStr">
        <is>
          <t>Nigeria</t>
        </is>
      </c>
      <c r="B97" t="inlineStr">
        <is>
          <t>Wheat</t>
        </is>
      </c>
      <c r="C97" t="inlineStr">
        <is>
          <t>Middle</t>
        </is>
      </c>
      <c r="D97" t="inlineStr">
        <is>
          <t>Female</t>
        </is>
      </c>
      <c r="E97" t="inlineStr">
        <is>
          <t>Vehicle consumption by WRA -- any</t>
        </is>
      </c>
      <c r="F97" t="inlineStr">
        <is>
          <t>percentage</t>
        </is>
      </c>
      <c r="G97" t="inlineStr">
        <is>
          <t>%</t>
        </is>
      </c>
      <c r="I97" t="inlineStr">
        <is>
          <t>DUMMY (MIC-7549)</t>
        </is>
      </c>
      <c r="J97" s="21" t="n">
        <v>0.546</v>
      </c>
      <c r="M97" t="inlineStr">
        <is>
          <t>DUMMY PLACEHOLDER (MIC-7549): value copied from the corresponding Rice row. Replace with real wheat data.</t>
        </is>
      </c>
    </row>
    <row r="98">
      <c r="A98" t="inlineStr">
        <is>
          <t>Nigeria</t>
        </is>
      </c>
      <c r="B98" t="inlineStr">
        <is>
          <t>Wheat</t>
        </is>
      </c>
      <c r="C98" t="inlineStr">
        <is>
          <t>Fourth</t>
        </is>
      </c>
      <c r="D98" t="inlineStr">
        <is>
          <t>Female</t>
        </is>
      </c>
      <c r="E98" t="inlineStr">
        <is>
          <t>Vehicle consumption by WRA -- any</t>
        </is>
      </c>
      <c r="F98" t="inlineStr">
        <is>
          <t>percentage</t>
        </is>
      </c>
      <c r="G98" t="inlineStr">
        <is>
          <t>%</t>
        </is>
      </c>
      <c r="I98" t="inlineStr">
        <is>
          <t>DUMMY (MIC-7549)</t>
        </is>
      </c>
      <c r="J98" s="21" t="n">
        <v>0.633</v>
      </c>
      <c r="M98" t="inlineStr">
        <is>
          <t>DUMMY PLACEHOLDER (MIC-7549): value copied from the corresponding Rice row. Replace with real wheat data.</t>
        </is>
      </c>
    </row>
    <row r="99">
      <c r="A99" t="inlineStr">
        <is>
          <t>Nigeria</t>
        </is>
      </c>
      <c r="B99" t="inlineStr">
        <is>
          <t>Wheat</t>
        </is>
      </c>
      <c r="C99" t="inlineStr">
        <is>
          <t>Highest</t>
        </is>
      </c>
      <c r="D99" t="inlineStr">
        <is>
          <t>Female</t>
        </is>
      </c>
      <c r="E99" t="inlineStr">
        <is>
          <t>Vehicle consumption by WRA -- any</t>
        </is>
      </c>
      <c r="F99" t="inlineStr">
        <is>
          <t>percentage</t>
        </is>
      </c>
      <c r="G99" t="inlineStr">
        <is>
          <t>%</t>
        </is>
      </c>
      <c r="I99" t="inlineStr">
        <is>
          <t>DUMMY (MIC-7549)</t>
        </is>
      </c>
      <c r="J99" s="21" t="n">
        <v>0.676</v>
      </c>
      <c r="M99" t="inlineStr">
        <is>
          <t>DUMMY PLACEHOLDER (MIC-7549): value copied from the corresponding Rice row. Replace with real wheat data.</t>
        </is>
      </c>
    </row>
    <row r="100" ht="29.25" customHeight="1">
      <c r="A100" t="inlineStr">
        <is>
          <t>Nigeria</t>
        </is>
      </c>
      <c r="B100" t="inlineStr">
        <is>
          <t>Wheat</t>
        </is>
      </c>
      <c r="C100" t="inlineStr">
        <is>
          <t>Total</t>
        </is>
      </c>
      <c r="D100" t="inlineStr">
        <is>
          <t>Female</t>
        </is>
      </c>
      <c r="E100" t="inlineStr">
        <is>
          <t>Vehicle consumption by WRA -- amount</t>
        </is>
      </c>
      <c r="F100" t="inlineStr">
        <is>
          <t>standard deviation</t>
        </is>
      </c>
      <c r="G100" t="inlineStr">
        <is>
          <t>g/day</t>
        </is>
      </c>
      <c r="I100" t="inlineStr">
        <is>
          <t>DUMMY (MIC-7549)</t>
        </is>
      </c>
      <c r="J100" t="n">
        <v>40.074074074074069</v>
      </c>
      <c r="M100" s="5" t="inlineStr">
        <is>
          <t>DUMMY PLACEHOLDER (MIC-7549): value copied from the corresponding Rice row. Replace with real wheat data.</t>
        </is>
      </c>
    </row>
    <row r="101">
      <c r="A101" t="inlineStr">
        <is>
          <t>Nigeria</t>
        </is>
      </c>
      <c r="B101" t="inlineStr">
        <is>
          <t>Wheat</t>
        </is>
      </c>
      <c r="C101" t="inlineStr">
        <is>
          <t>Lowest</t>
        </is>
      </c>
      <c r="D101" t="inlineStr">
        <is>
          <t>Female</t>
        </is>
      </c>
      <c r="E101" t="inlineStr">
        <is>
          <t>Vehicle consumption by WRA -- amount</t>
        </is>
      </c>
      <c r="F101" t="inlineStr">
        <is>
          <t>standard deviation</t>
        </is>
      </c>
      <c r="G101" t="inlineStr">
        <is>
          <t>g/day</t>
        </is>
      </c>
      <c r="I101" t="inlineStr">
        <is>
          <t>DUMMY (MIC-7549)</t>
        </is>
      </c>
      <c r="J101" t="n">
        <v>24.814814814814813</v>
      </c>
      <c r="M101" t="inlineStr">
        <is>
          <t>DUMMY PLACEHOLDER (MIC-7549): value copied from the corresponding Rice row. Replace with real wheat data.</t>
        </is>
      </c>
    </row>
    <row r="102">
      <c r="A102" t="inlineStr">
        <is>
          <t>Nigeria</t>
        </is>
      </c>
      <c r="B102" t="inlineStr">
        <is>
          <t>Wheat</t>
        </is>
      </c>
      <c r="C102" t="inlineStr">
        <is>
          <t>Second</t>
        </is>
      </c>
      <c r="D102" t="inlineStr">
        <is>
          <t>Female</t>
        </is>
      </c>
      <c r="E102" t="inlineStr">
        <is>
          <t>Vehicle consumption by WRA -- amount</t>
        </is>
      </c>
      <c r="F102" t="inlineStr">
        <is>
          <t>standard deviation</t>
        </is>
      </c>
      <c r="G102" t="inlineStr">
        <is>
          <t>g/day</t>
        </is>
      </c>
      <c r="I102" t="inlineStr">
        <is>
          <t>DUMMY (MIC-7549)</t>
        </is>
      </c>
      <c r="J102" t="n">
        <v>33.333333333333336</v>
      </c>
      <c r="M102" t="inlineStr">
        <is>
          <t>DUMMY PLACEHOLDER (MIC-7549): value copied from the corresponding Rice row. Replace with real wheat data.</t>
        </is>
      </c>
    </row>
    <row r="103">
      <c r="A103" t="inlineStr">
        <is>
          <t>Nigeria</t>
        </is>
      </c>
      <c r="B103" t="inlineStr">
        <is>
          <t>Wheat</t>
        </is>
      </c>
      <c r="C103" t="inlineStr">
        <is>
          <t>Middle</t>
        </is>
      </c>
      <c r="D103" t="inlineStr">
        <is>
          <t>Female</t>
        </is>
      </c>
      <c r="E103" t="inlineStr">
        <is>
          <t>Vehicle consumption by WRA -- amount</t>
        </is>
      </c>
      <c r="F103" t="inlineStr">
        <is>
          <t>standard deviation</t>
        </is>
      </c>
      <c r="G103" t="inlineStr">
        <is>
          <t>g/day</t>
        </is>
      </c>
      <c r="I103" t="inlineStr">
        <is>
          <t>DUMMY (MIC-7549)</t>
        </is>
      </c>
      <c r="J103" t="n">
        <v>35.037037037037031</v>
      </c>
      <c r="M103" t="inlineStr">
        <is>
          <t>DUMMY PLACEHOLDER (MIC-7549): value copied from the corresponding Rice row. Replace with real wheat data.</t>
        </is>
      </c>
    </row>
    <row r="104">
      <c r="A104" t="inlineStr">
        <is>
          <t>Nigeria</t>
        </is>
      </c>
      <c r="B104" t="inlineStr">
        <is>
          <t>Wheat</t>
        </is>
      </c>
      <c r="C104" t="inlineStr">
        <is>
          <t>Fourth</t>
        </is>
      </c>
      <c r="D104" t="inlineStr">
        <is>
          <t>Female</t>
        </is>
      </c>
      <c r="E104" t="inlineStr">
        <is>
          <t>Vehicle consumption by WRA -- amount</t>
        </is>
      </c>
      <c r="F104" t="inlineStr">
        <is>
          <t>standard deviation</t>
        </is>
      </c>
      <c r="G104" t="inlineStr">
        <is>
          <t>g/day</t>
        </is>
      </c>
      <c r="I104" t="inlineStr">
        <is>
          <t>DUMMY (MIC-7549)</t>
        </is>
      </c>
      <c r="J104" t="n">
        <v>37.777777777777779</v>
      </c>
      <c r="M104" t="inlineStr">
        <is>
          <t>DUMMY PLACEHOLDER (MIC-7549): value copied from the corresponding Rice row. Replace with real wheat data.</t>
        </is>
      </c>
    </row>
    <row r="105">
      <c r="A105" t="inlineStr">
        <is>
          <t>Nigeria</t>
        </is>
      </c>
      <c r="B105" t="inlineStr">
        <is>
          <t>Wheat</t>
        </is>
      </c>
      <c r="C105" t="inlineStr">
        <is>
          <t>Highest</t>
        </is>
      </c>
      <c r="D105" t="inlineStr">
        <is>
          <t>Female</t>
        </is>
      </c>
      <c r="E105" t="inlineStr">
        <is>
          <t>Vehicle consumption by WRA -- amount</t>
        </is>
      </c>
      <c r="F105" t="inlineStr">
        <is>
          <t>standard deviation</t>
        </is>
      </c>
      <c r="G105" t="inlineStr">
        <is>
          <t>g/day</t>
        </is>
      </c>
      <c r="I105" t="inlineStr">
        <is>
          <t>DUMMY (MIC-7549)</t>
        </is>
      </c>
      <c r="J105" t="n">
        <v>39.037037037037031</v>
      </c>
      <c r="M105" t="inlineStr">
        <is>
          <t>DUMMY PLACEHOLDER (MIC-7549): value copied from the corresponding Rice row. Replace with real wheat data.</t>
        </is>
      </c>
    </row>
    <row r="106" ht="43.5" customHeight="1">
      <c r="A106" t="inlineStr">
        <is>
          <t>Nigeria</t>
        </is>
      </c>
      <c r="B106" t="inlineStr">
        <is>
          <t>Wheat</t>
        </is>
      </c>
      <c r="C106" t="inlineStr">
        <is>
          <t>Total</t>
        </is>
      </c>
      <c r="D106" t="inlineStr">
        <is>
          <t>Total</t>
        </is>
      </c>
      <c r="E106" t="inlineStr">
        <is>
          <t>Vehicle consumption by U5 children -- amount</t>
        </is>
      </c>
      <c r="F106" t="inlineStr">
        <is>
          <t>mean</t>
        </is>
      </c>
      <c r="G106" t="inlineStr">
        <is>
          <t>g/day</t>
        </is>
      </c>
      <c r="I106" t="inlineStr">
        <is>
          <t>DUMMY (MIC-7549)</t>
        </is>
      </c>
      <c r="J106" t="n">
        <v>20.5288</v>
      </c>
      <c r="M106" s="5" t="inlineStr">
        <is>
          <t>DUMMY PLACEHOLDER (MIC-7549): value copied from the corresponding Rice row. Replace with real wheat data.</t>
        </is>
      </c>
    </row>
    <row r="107" ht="43.5" customHeight="1">
      <c r="A107" t="inlineStr">
        <is>
          <t>Nigeria</t>
        </is>
      </c>
      <c r="B107" t="inlineStr">
        <is>
          <t>Wheat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U5 children -- amount</t>
        </is>
      </c>
      <c r="F107" t="inlineStr">
        <is>
          <t>mean</t>
        </is>
      </c>
      <c r="G107" t="inlineStr">
        <is>
          <t>g/day</t>
        </is>
      </c>
      <c r="I107" t="inlineStr">
        <is>
          <t>DUMMY (MIC-7549)</t>
        </is>
      </c>
      <c r="J107" t="n">
        <v>19.028000000000002</v>
      </c>
      <c r="M107" s="5" t="inlineStr">
        <is>
          <t>DUMMY PLACEHOLDER (MIC-7549): value copied from the corresponding Rice row. Replace with real wheat data.</t>
        </is>
      </c>
    </row>
    <row r="108" ht="43.5" customHeight="1">
      <c r="A108" t="inlineStr">
        <is>
          <t>Nigeria</t>
        </is>
      </c>
      <c r="B108" t="inlineStr">
        <is>
          <t>Wheat</t>
        </is>
      </c>
      <c r="C108" t="inlineStr">
        <is>
          <t>Total</t>
        </is>
      </c>
      <c r="D108" t="inlineStr">
        <is>
          <t>Male</t>
        </is>
      </c>
      <c r="E108" t="inlineStr">
        <is>
          <t>Vehicle consumption by U5 children -- amount</t>
        </is>
      </c>
      <c r="F108" t="inlineStr">
        <is>
          <t>mean</t>
        </is>
      </c>
      <c r="G108" t="inlineStr">
        <is>
          <t>g/day</t>
        </is>
      </c>
      <c r="I108" t="inlineStr">
        <is>
          <t>DUMMY (MIC-7549)</t>
        </is>
      </c>
      <c r="J108" t="n">
        <v>21.976000000000003</v>
      </c>
      <c r="M108" s="5" t="inlineStr">
        <is>
          <t>DUMMY PLACEHOLDER (MIC-7549): value copied from the corresponding Rice row. Replace with real wheat data.</t>
        </is>
      </c>
    </row>
    <row r="109" ht="29.25" customHeight="1">
      <c r="A109" t="inlineStr">
        <is>
          <t>Nigeria</t>
        </is>
      </c>
      <c r="B109" t="inlineStr">
        <is>
          <t>Wheat</t>
        </is>
      </c>
      <c r="C109" t="inlineStr">
        <is>
          <t>Total</t>
        </is>
      </c>
      <c r="D109" t="inlineStr">
        <is>
          <t>Total</t>
        </is>
      </c>
      <c r="E109" t="inlineStr">
        <is>
          <t>Vehicle consumption by U5 children -- amount</t>
        </is>
      </c>
      <c r="F109" t="inlineStr">
        <is>
          <t>standard deviation</t>
        </is>
      </c>
      <c r="G109" t="inlineStr">
        <is>
          <t>g/day</t>
        </is>
      </c>
      <c r="I109" t="inlineStr">
        <is>
          <t>DUMMY (MIC-7549)</t>
        </is>
      </c>
      <c r="J109" t="n">
        <v>25.62962962962963</v>
      </c>
      <c r="M109" s="5" t="inlineStr">
        <is>
          <t>DUMMY PLACEHOLDER (MIC-7549): value copied from the corresponding Rice row. Replace with real wheat data.</t>
        </is>
      </c>
    </row>
    <row r="110" ht="29.25" customHeight="1">
      <c r="A110" t="inlineStr">
        <is>
          <t>Nigeria</t>
        </is>
      </c>
      <c r="B110" t="inlineStr">
        <is>
          <t>Wheat</t>
        </is>
      </c>
      <c r="C110" t="inlineStr">
        <is>
          <t>Total</t>
        </is>
      </c>
      <c r="D110" t="inlineStr">
        <is>
          <t>Female</t>
        </is>
      </c>
      <c r="E110" t="inlineStr">
        <is>
          <t>Vehicle consumption by U5 children -- amount</t>
        </is>
      </c>
      <c r="F110" t="inlineStr">
        <is>
          <t>standard deviation</t>
        </is>
      </c>
      <c r="G110" t="inlineStr">
        <is>
          <t>g/day</t>
        </is>
      </c>
      <c r="I110" t="inlineStr">
        <is>
          <t>DUMMY (MIC-7549)</t>
        </is>
      </c>
      <c r="J110" t="n">
        <v>23.999999999999996</v>
      </c>
      <c r="M110" s="5" t="inlineStr">
        <is>
          <t>DUMMY PLACEHOLDER (MIC-7549): value copied from the corresponding Rice row. Replace with real wheat data.</t>
        </is>
      </c>
    </row>
    <row r="111" ht="29.25" customHeight="1">
      <c r="A111" t="inlineStr">
        <is>
          <t>Nigeria</t>
        </is>
      </c>
      <c r="B111" t="inlineStr">
        <is>
          <t>Wheat</t>
        </is>
      </c>
      <c r="C111" t="inlineStr">
        <is>
          <t>Total</t>
        </is>
      </c>
      <c r="D111" t="inlineStr">
        <is>
          <t>Male</t>
        </is>
      </c>
      <c r="E111" t="inlineStr">
        <is>
          <t>Vehicle consumption by U5 children -- amount</t>
        </is>
      </c>
      <c r="F111" t="inlineStr">
        <is>
          <t>standard deviation</t>
        </is>
      </c>
      <c r="G111" t="inlineStr">
        <is>
          <t>g/day</t>
        </is>
      </c>
      <c r="I111" t="inlineStr">
        <is>
          <t>DUMMY (MIC-7549)</t>
        </is>
      </c>
      <c r="J111" t="n">
        <v>27.333333333333336</v>
      </c>
      <c r="M111" s="5" t="inlineStr">
        <is>
          <t>DUMMY PLACEHOLDER (MIC-7549): value copied from the corresponding Rice row. Replace with real wheat data.</t>
        </is>
      </c>
    </row>
    <row r="112" ht="29.25" customHeight="1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All (assumed same)</t>
        </is>
      </c>
      <c r="E112" t="inlineStr">
        <is>
          <t>Vehicle consumption by U5 children -- any</t>
        </is>
      </c>
      <c r="F112" t="inlineStr">
        <is>
          <t>percentage</t>
        </is>
      </c>
      <c r="G112" t="inlineStr">
        <is>
          <t>%</t>
        </is>
      </c>
      <c r="I112" t="inlineStr">
        <is>
          <t>DUMMY (MIC-7549)</t>
        </is>
      </c>
      <c r="J112" s="21" t="n">
        <v>0.536</v>
      </c>
      <c r="M112" s="5" t="inlineStr">
        <is>
          <t>DUMMY PLACEHOLDER (MIC-7549): value copied from the corresponding Rice row. Replace with real wheat data.</t>
        </is>
      </c>
    </row>
    <row r="113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All (assumed same)</t>
        </is>
      </c>
      <c r="E113" t="inlineStr">
        <is>
          <t>Vehicle consumption by U5 children -- any</t>
        </is>
      </c>
      <c r="F113" t="inlineStr">
        <is>
          <t>percentage</t>
        </is>
      </c>
      <c r="G113" t="inlineStr">
        <is>
          <t>%</t>
        </is>
      </c>
      <c r="I113" t="inlineStr">
        <is>
          <t>DUMMY (MIC-7549)</t>
        </is>
      </c>
      <c r="J113" s="21" t="n">
        <v>0.336</v>
      </c>
      <c r="M113" t="inlineStr">
        <is>
          <t>DUMMY PLACEHOLDER (MIC-7549): value copied from the corresponding Rice row. Replace with real wheat data.</t>
        </is>
      </c>
    </row>
    <row r="114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All (assumed same)</t>
        </is>
      </c>
      <c r="E114" t="inlineStr">
        <is>
          <t>Vehicle consumption by U5 children -- any</t>
        </is>
      </c>
      <c r="F114" t="inlineStr">
        <is>
          <t>percentage</t>
        </is>
      </c>
      <c r="G114" t="inlineStr">
        <is>
          <t>%</t>
        </is>
      </c>
      <c r="I114" t="inlineStr">
        <is>
          <t>DUMMY (MIC-7549)</t>
        </is>
      </c>
      <c r="J114" s="21" t="n">
        <v>0.448</v>
      </c>
      <c r="M114" t="inlineStr">
        <is>
          <t>DUMMY PLACEHOLDER (MIC-7549): value copied from the corresponding Rice row. Replace with real wheat data.</t>
        </is>
      </c>
    </row>
    <row r="115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All (assumed same)</t>
        </is>
      </c>
      <c r="E115" t="inlineStr">
        <is>
          <t>Vehicle consumption by U5 children -- any</t>
        </is>
      </c>
      <c r="F115" t="inlineStr">
        <is>
          <t>percentage</t>
        </is>
      </c>
      <c r="G115" t="inlineStr">
        <is>
          <t>%</t>
        </is>
      </c>
      <c r="I115" t="inlineStr">
        <is>
          <t>DUMMY (MIC-7549)</t>
        </is>
      </c>
      <c r="J115" s="21" t="n">
        <v>0.546</v>
      </c>
      <c r="M115" t="inlineStr">
        <is>
          <t>DUMMY PLACEHOLDER (MIC-7549): value copied from the corresponding Rice row. Replace with real wheat data.</t>
        </is>
      </c>
    </row>
    <row r="116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All (assumed same)</t>
        </is>
      </c>
      <c r="E116" t="inlineStr">
        <is>
          <t>Vehicle consumption by U5 children -- any</t>
        </is>
      </c>
      <c r="F116" t="inlineStr">
        <is>
          <t>percentage</t>
        </is>
      </c>
      <c r="G116" t="inlineStr">
        <is>
          <t>%</t>
        </is>
      </c>
      <c r="I116" t="inlineStr">
        <is>
          <t>DUMMY (MIC-7549)</t>
        </is>
      </c>
      <c r="J116" s="21" t="n">
        <v>0.633</v>
      </c>
      <c r="M116" t="inlineStr">
        <is>
          <t>DUMMY PLACEHOLDER (MIC-7549): value copied from the corresponding Rice row. Replace with real wheat data.</t>
        </is>
      </c>
    </row>
    <row r="117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All (assumed same)</t>
        </is>
      </c>
      <c r="E117" t="inlineStr">
        <is>
          <t>Vehicle consumption by U5 children -- any</t>
        </is>
      </c>
      <c r="F117" t="inlineStr">
        <is>
          <t>percentage</t>
        </is>
      </c>
      <c r="G117" t="inlineStr">
        <is>
          <t>%</t>
        </is>
      </c>
      <c r="I117" t="inlineStr">
        <is>
          <t>DUMMY (MIC-7549)</t>
        </is>
      </c>
      <c r="J117" s="21" t="n">
        <v>0.676</v>
      </c>
      <c r="M117" t="inlineStr">
        <is>
          <t>DUMMY PLACEHOLDER (MIC-7549): value copied from the corresponding Rice row. Replace with real wheat data.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"Bouillon,Salt,Rice,Wheat"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F1" s="34" t="inlineStr">
        <is>
          <t>Nigeria</t>
        </is>
      </c>
      <c r="N1" s="35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F2" s="34" t="inlineStr">
        <is>
          <t>Bouillon</t>
        </is>
      </c>
      <c r="J2" s="34" t="inlineStr">
        <is>
          <t>Rice</t>
        </is>
      </c>
      <c r="N2" s="34" t="inlineStr">
        <is>
          <t>Rice</t>
        </is>
      </c>
    </row>
    <row r="3" ht="15" customHeight="1">
      <c r="A3" s="3" t="inlineStr">
        <is>
          <t>Fortificant</t>
        </is>
      </c>
      <c r="B3" s="34" t="inlineStr">
        <is>
          <t>Folate</t>
        </is>
      </c>
      <c r="D3" s="34" t="inlineStr">
        <is>
          <t>Iron</t>
        </is>
      </c>
      <c r="F3" s="34" t="inlineStr">
        <is>
          <t>Folate</t>
        </is>
      </c>
      <c r="H3" s="34" t="inlineStr">
        <is>
          <t>Iron</t>
        </is>
      </c>
      <c r="J3" s="34" t="inlineStr">
        <is>
          <t>Folate</t>
        </is>
      </c>
      <c r="L3" s="34" t="inlineStr">
        <is>
          <t>Iron</t>
        </is>
      </c>
      <c r="N3" s="34" t="inlineStr">
        <is>
          <t>Folate</t>
        </is>
      </c>
      <c r="P3" s="34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8" activePane="bottomLeft" state="frozen"/>
      <selection pane="bottomLeft" activeCell="L25" sqref="A24:L25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 ht="15" customHeight="1">
      <c r="A26" t="inlineStr">
        <is>
          <t>Nigeria</t>
        </is>
      </c>
      <c r="B26" t="inlineStr">
        <is>
          <t>Wheat</t>
        </is>
      </c>
      <c r="C26" t="inlineStr">
        <is>
          <t>Iron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s="8" t="inlineStr">
        <is>
          <t>%</t>
        </is>
      </c>
      <c r="I26" t="inlineStr">
        <is>
          <t>DUMMY (MIC-7549)</t>
        </is>
      </c>
      <c r="J26" s="7" t="n">
        <v>0</v>
      </c>
      <c r="L26" t="inlineStr">
        <is>
          <t>DUMMY PLACEHOLDER (MIC-7549): value copied from the corresponding Rice row. Replace with real wheat data.</t>
        </is>
      </c>
    </row>
    <row r="27" ht="15" customHeight="1">
      <c r="A27" t="inlineStr">
        <is>
          <t>Nigeria</t>
        </is>
      </c>
      <c r="B27" t="inlineStr">
        <is>
          <t>Wheat</t>
        </is>
      </c>
      <c r="C27" t="inlineStr">
        <is>
          <t>Iron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s="8" t="inlineStr">
        <is>
          <t>mcg/g</t>
        </is>
      </c>
      <c r="I27" t="inlineStr">
        <is>
          <t>DUMMY (MIC-7549)</t>
        </is>
      </c>
      <c r="J27" s="10" t="n">
        <v>0</v>
      </c>
      <c r="L27" t="inlineStr">
        <is>
          <t>DUMMY PLACEHOLDER (MIC-7549): value copied from the corresponding Rice row. Replace with real wheat data.</t>
        </is>
      </c>
    </row>
    <row r="28" ht="15" customHeight="1">
      <c r="A28" t="inlineStr">
        <is>
          <t>Nigeria</t>
        </is>
      </c>
      <c r="B28" t="inlineStr">
        <is>
          <t>Wheat</t>
        </is>
      </c>
      <c r="C28" t="inlineStr">
        <is>
          <t>Iron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s="8" t="inlineStr">
        <is>
          <t>%</t>
        </is>
      </c>
      <c r="I28" t="inlineStr">
        <is>
          <t>DUMMY (MIC-7549)</t>
        </is>
      </c>
      <c r="J28" s="7" t="n">
        <v>0.8</v>
      </c>
      <c r="L28" t="inlineStr">
        <is>
          <t>DUMMY PLACEHOLDER (MIC-7549): value copied from the corresponding Rice row. Replace with real wheat data.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"Bouillon,Salt,Rice,Wheat"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F1" s="35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4" t="inlineStr">
        <is>
          <t>Salt</t>
        </is>
      </c>
      <c r="C1" s="34" t="inlineStr">
        <is>
          <t>Bouillon</t>
        </is>
      </c>
      <c r="D1" s="35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15.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 ht="57.75" customHeight="1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s="5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 ht="43.5" customHeight="1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s="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7" ht="115.5" customHeight="1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r="F7" s="5" t="inlineStr">
        <is>
          <t>DUMMY (MIC-7549)</t>
        </is>
      </c>
      <c r="G7" s="26" t="n">
        <v>3.25</v>
      </c>
      <c r="I7" s="5" t="inlineStr">
        <is>
          <t>DUMMY PLACEHOLDER (MIC-7549): value copied from the corresponding Rice row. Replace with real wheat data.</t>
        </is>
      </c>
    </row>
    <row r="8" ht="43.5" customHeight="1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r="F8" s="5" t="inlineStr">
        <is>
          <t>DUMMY (MIC-7549)</t>
        </is>
      </c>
      <c r="G8" t="n">
        <v>1.67</v>
      </c>
      <c r="I8" s="6" t="inlineStr">
        <is>
          <t>DUMMY PLACEHOLDER (MIC-7549): value copied from the corresponding Rice row. Replace with real wheat data.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H8" sqref="H8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  <col width="36.5703125" bestFit="1" customWidth="1" min="6" max="6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 ht="29.25" customHeight="1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33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6" t="inlineStr">
        <is>
          <t>Ethiopia</t>
        </is>
      </c>
      <c r="E1" s="37" t="inlineStr">
        <is>
          <t>Nigeria</t>
        </is>
      </c>
      <c r="I1" s="37" t="inlineStr">
        <is>
          <t>India</t>
        </is>
      </c>
    </row>
    <row r="2" ht="15" customHeight="1">
      <c r="A2" s="3" t="inlineStr">
        <is>
          <t>Vehicle</t>
        </is>
      </c>
      <c r="B2" s="36" t="inlineStr">
        <is>
          <t>Salt</t>
        </is>
      </c>
      <c r="E2" s="37" t="inlineStr">
        <is>
          <t>Bouillon</t>
        </is>
      </c>
      <c r="G2" s="37" t="inlineStr">
        <is>
          <t>Rice</t>
        </is>
      </c>
      <c r="I2" s="37" t="inlineStr">
        <is>
          <t>Rice</t>
        </is>
      </c>
    </row>
    <row r="3" ht="15" customHeight="1">
      <c r="A3" s="3" t="inlineStr">
        <is>
          <t>Fortificant</t>
        </is>
      </c>
      <c r="B3" s="36" t="inlineStr">
        <is>
          <t>Folate</t>
        </is>
      </c>
      <c r="E3" s="36" t="inlineStr">
        <is>
          <t>Folate</t>
        </is>
      </c>
      <c r="F3" s="36" t="inlineStr">
        <is>
          <t>Iron</t>
        </is>
      </c>
      <c r="G3" s="36" t="inlineStr">
        <is>
          <t>Folate</t>
        </is>
      </c>
      <c r="H3" s="36" t="inlineStr">
        <is>
          <t>Iron</t>
        </is>
      </c>
      <c r="I3" s="36" t="inlineStr">
        <is>
          <t>Folate</t>
        </is>
      </c>
      <c r="J3" s="37" t="inlineStr">
        <is>
          <t>Iron</t>
        </is>
      </c>
    </row>
    <row r="4" ht="15" customHeight="1">
      <c r="A4" s="38" t="inlineStr">
        <is>
          <t>Scenario</t>
        </is>
      </c>
      <c r="B4" s="39" t="inlineStr">
        <is>
          <t>Intervention - 25% NRV</t>
        </is>
      </c>
      <c r="C4" s="39" t="inlineStr">
        <is>
          <t>Intervention - 100% NRV</t>
        </is>
      </c>
      <c r="D4" s="40" t="inlineStr">
        <is>
          <t>Intervention - 45 ppm</t>
        </is>
      </c>
      <c r="E4" s="39" t="inlineStr">
        <is>
          <t>Intervention</t>
        </is>
      </c>
      <c r="F4" s="39" t="inlineStr">
        <is>
          <t>Intervention</t>
        </is>
      </c>
      <c r="G4" s="39" t="inlineStr">
        <is>
          <t>Intervention</t>
        </is>
      </c>
      <c r="H4" s="39" t="inlineStr">
        <is>
          <t>Intervention</t>
        </is>
      </c>
      <c r="I4" s="39" t="inlineStr">
        <is>
          <t>Intervention</t>
        </is>
      </c>
      <c r="J4" s="4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E5" s="1" t="n"/>
      <c r="I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ht="15" customHeight="1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ht="15" customHeight="1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J20" sqref="J20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41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41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41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41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41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41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41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41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41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41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41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41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41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41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41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41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41" t="n">
        <v>0.92</v>
      </c>
      <c r="J18" s="5" t="inlineStr">
        <is>
          <t>coverage = effectiveness = sqrt(0.85) ~ 0.92, product 0.8464 realizes the 2035 compliance target</t>
        </is>
      </c>
    </row>
    <row r="19" ht="43.5" customHeight="1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41" t="n">
        <v>0.92</v>
      </c>
      <c r="J19" s="5" t="inlineStr">
        <is>
          <t>coverage = effectiveness = sqrt(0.85) ~ 0.92, product 0.8464 realizes the 2035 compliance target</t>
        </is>
      </c>
    </row>
    <row r="20" ht="29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42" t="inlineStr">
        <is>
          <t>15% Nigeria-specific NRV per 2.5 grams; https://www.wolframalpha.com/input?i=15%25+of+22mg+per+2.5+grams+in+mcg%2Fg</t>
        </is>
      </c>
    </row>
    <row r="21" ht="29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42" t="inlineStr">
        <is>
          <t>15% Codex (60mcg) per 2.5 grams; https://www.wolframalpha.com/input?i=15%25+of+400mcg+per+2.5+grams+in+mcg%2Fg</t>
        </is>
      </c>
    </row>
    <row r="22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43" t="inlineStr">
        <is>
          <t>https://www.wolframalpha.com/input?i=4+mg%2F100g+in+mcg%2Fg</t>
        </is>
      </c>
    </row>
    <row r="23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43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 ht="15" customHeight="1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44" t="inlineStr">
        <is>
          <t>Andy Garcia email 7/26</t>
        </is>
      </c>
      <c r="I25" t="n">
        <v>56.33802816901409</v>
      </c>
      <c r="J25" s="44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43" t="inlineStr">
        <is>
          <t>https://nyaspubs.onlinelibrary.wiley.com/doi/full/10.1111/nyas.12478</t>
        </is>
      </c>
      <c r="I28" t="n">
        <v>1.3</v>
      </c>
      <c r="J28" s="43" t="inlineStr">
        <is>
          <t>https://www.wolframalpha.com/input?i=0.13+mg%2F100g+in+mcg%2Fg</t>
        </is>
      </c>
    </row>
    <row r="29" ht="15" customHeight="1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Intervention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DUMMY (MIC-7549)</t>
        </is>
      </c>
      <c r="I29" s="41" t="n">
        <v>0.95</v>
      </c>
      <c r="J29" t="inlineStr">
        <is>
          <t>DUMMY PLACEHOLDER (MIC-7549): value copied from the corresponding Rice row. Replace with real wheat data.</t>
        </is>
      </c>
    </row>
    <row r="30" ht="15" customHeight="1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Intervention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DUMMY (MIC-7549)</t>
        </is>
      </c>
      <c r="I30" s="41" t="n">
        <v>0.95</v>
      </c>
      <c r="J30" t="inlineStr">
        <is>
          <t>DUMMY PLACEHOLDER (MIC-7549): value copied from the corresponding Rice row. Replace with real wheat data.</t>
        </is>
      </c>
    </row>
    <row r="31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Intervention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DUMMY (MIC-7549)</t>
        </is>
      </c>
      <c r="I31" t="n">
        <v>40</v>
      </c>
      <c r="J31" s="43" t="inlineStr">
        <is>
          <t>DUMMY PLACEHOLDER (MIC-7549): value copied from the corresponding Rice row. Replace with real wheat data.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"Bouillon,Salt,Rice,Wheat"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B2" sqref="B2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2024-07-16T18:29:07Z</dcterms:created>
  <dcterms:modified xsi:type="dcterms:W3CDTF">2026-09-13T23:53:36Z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