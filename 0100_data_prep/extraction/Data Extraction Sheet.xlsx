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3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/>
      </c>
      <c r="C5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/>
      </c>
      <c r="D5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/>
      </c>
      <c r="E5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/>
      </c>
      <c r="F5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/>
      </c>
      <c r="G5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/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/>
      </c>
      <c r="C6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/>
      </c>
      <c r="D6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/>
      </c>
      <c r="E6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/>
      </c>
      <c r="F6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/>
      </c>
      <c r="G6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/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/>
      </c>
      <c r="C7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/>
      </c>
      <c r="D7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/>
      </c>
      <c r="E7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/>
      </c>
      <c r="F7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/>
      </c>
      <c r="G7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/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/>
      </c>
      <c r="C8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/>
      </c>
      <c r="D8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/>
      </c>
      <c r="E8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/>
      </c>
      <c r="F8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/>
      </c>
      <c r="G8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/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/>
      </c>
      <c r="C9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/>
      </c>
      <c r="D9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/>
      </c>
      <c r="E9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/>
      </c>
      <c r="F9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/>
      </c>
      <c r="G9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/>
      </c>
      <c r="H9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/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tabSelected="1" workbookViewId="0">
      <pane ySplit="1" topLeftCell="A72" activePane="bottomLeft" state="frozen"/>
      <selection pane="bottomLeft" activeCell="J88" sqref="J88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2.2000000000000002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2.2000000000000002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0.98099999999999998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0.96299999999999997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0.98099999999999998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0.99199999999999999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0.98599999999999999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0.98599999999999999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4.9000000000000004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4.5999999999999996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3.0370370370370368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3.6296296296296298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3.1111111111111112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2.9629629629629624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2.4444444444444446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1.7037037037037035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0.98799999999999999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0.96299999999999997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0.98099999999999998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0.99199999999999999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0.98599999999999999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0.98599999999999999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4.0999999999999996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Lowest</t>
        </is>
      </c>
      <c r="D46" t="inlineStr">
        <is>
          <t>All (assumed same)</t>
        </is>
      </c>
      <c r="E46" t="inlineStr">
        <is>
          <t>Vehicle consumption by U5 children -- amount</t>
        </is>
      </c>
      <c r="F46" t="inlineStr">
        <is>
          <t>mean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 t="n">
        <v>8.4</v>
      </c>
      <c r="K46" t="inlineStr">
        <is>
          <t>[7.7, 9.0]</t>
        </is>
      </c>
      <c r="L46" t="n">
        <v>0.3</v>
      </c>
      <c r="M46" t="inlineStr">
        <is>
          <t>Not stratified by wealth quintile for children; wealth stratification numbers are for WRA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Second</t>
        </is>
      </c>
      <c r="D47" t="inlineStr">
        <is>
          <t>All (assumed same)</t>
        </is>
      </c>
      <c r="E47" t="inlineStr">
        <is>
          <t>Vehicle consumption by U5 children -- amount</t>
        </is>
      </c>
      <c r="F47" t="inlineStr">
        <is>
          <t>mean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 s="18" t="n">
        <v>8</v>
      </c>
      <c r="K47" t="inlineStr">
        <is>
          <t>[7.3, 8.7]</t>
        </is>
      </c>
      <c r="L47" t="n">
        <v>0.3</v>
      </c>
      <c r="M47" t="inlineStr">
        <is>
          <t>95% CI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Middle</t>
        </is>
      </c>
      <c r="D48" t="inlineStr">
        <is>
          <t>All (assumed same)</t>
        </is>
      </c>
      <c r="E48" t="inlineStr">
        <is>
          <t>Vehicle consumption by U5 children -- amount</t>
        </is>
      </c>
      <c r="F48" t="inlineStr">
        <is>
          <t>mean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 t="n">
        <v>5.9</v>
      </c>
      <c r="K48" t="inlineStr">
        <is>
          <t>[5.3, 6.5]</t>
        </is>
      </c>
      <c r="L48" t="n">
        <v>0.3</v>
      </c>
    </row>
    <row r="49">
      <c r="A49" t="inlineStr">
        <is>
          <t>Nigeria</t>
        </is>
      </c>
      <c r="B49" t="inlineStr">
        <is>
          <t>Bouillon</t>
        </is>
      </c>
      <c r="C49" t="inlineStr">
        <is>
          <t>Fourth</t>
        </is>
      </c>
      <c r="D49" t="inlineStr">
        <is>
          <t>All (assumed same)</t>
        </is>
      </c>
      <c r="E49" t="inlineStr">
        <is>
          <t>Vehicle consumption by U5 children -- amount</t>
        </is>
      </c>
      <c r="F49" t="inlineStr">
        <is>
          <t>mean</t>
        </is>
      </c>
      <c r="G49" t="inlineStr">
        <is>
          <t>g/day</t>
        </is>
      </c>
      <c r="H49" t="n">
        <v>2021</v>
      </c>
      <c r="I49" t="inlineStr">
        <is>
          <t>NFCMS</t>
        </is>
      </c>
      <c r="J49" t="n">
        <v>4.9000000000000004</v>
      </c>
      <c r="K49" t="inlineStr">
        <is>
          <t>[4.3, 5.4]</t>
        </is>
      </c>
      <c r="L49" t="n">
        <v>0.3</v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Highest</t>
        </is>
      </c>
      <c r="D50" t="inlineStr">
        <is>
          <t>All (assumed same)</t>
        </is>
      </c>
      <c r="E50" t="inlineStr">
        <is>
          <t>Vehicle consumption by U5 children -- amount</t>
        </is>
      </c>
      <c r="F50" t="inlineStr">
        <is>
          <t>mean</t>
        </is>
      </c>
      <c r="G50" t="inlineStr">
        <is>
          <t>g/day</t>
        </is>
      </c>
      <c r="H50" t="n">
        <v>2021</v>
      </c>
      <c r="I50" t="inlineStr">
        <is>
          <t>NFCMS</t>
        </is>
      </c>
      <c r="J50" t="n">
        <v>4.5999999999999996</v>
      </c>
      <c r="K50" t="inlineStr">
        <is>
          <t>[4.1, 5.2]</t>
        </is>
      </c>
      <c r="L50" t="n">
        <v>0.3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Total</t>
        </is>
      </c>
      <c r="D51" t="inlineStr">
        <is>
          <t>Total</t>
        </is>
      </c>
      <c r="E51" t="inlineStr">
        <is>
          <t>Vehicle consumption by U5 children -- amount</t>
        </is>
      </c>
      <c r="F51" t="inlineStr">
        <is>
          <t>standard deviation</t>
        </is>
      </c>
      <c r="G51" t="inlineStr">
        <is>
          <t>g/day</t>
        </is>
      </c>
      <c r="H51" t="n">
        <v>2021</v>
      </c>
      <c r="I51" t="inlineStr">
        <is>
          <t>NFCMS</t>
        </is>
      </c>
      <c r="J51">
        <f>(5.5-2.5)/1.35</f>
        <v/>
      </c>
      <c r="M51" t="inlineStr">
        <is>
          <t>Very rough estimate using SD = IQR / 1.35 (normality assumption), IQR reported in table 171</t>
        </is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Total</t>
        </is>
      </c>
      <c r="D52" t="inlineStr">
        <is>
          <t>Female</t>
        </is>
      </c>
      <c r="E52" t="inlineStr">
        <is>
          <t>Vehicle consumption by U5 children -- amount</t>
        </is>
      </c>
      <c r="F52" t="inlineStr">
        <is>
          <t>standard deviation</t>
        </is>
      </c>
      <c r="G52" t="inlineStr">
        <is>
          <t>g/day</t>
        </is>
      </c>
      <c r="H52" t="n">
        <v>2021</v>
      </c>
      <c r="I52" t="inlineStr">
        <is>
          <t>NFCMS</t>
        </is>
      </c>
      <c r="J52">
        <f>(5.4-2.4)/1.35</f>
        <v/>
      </c>
      <c r="M52" t="inlineStr">
        <is>
          <t>Very rough estimate using SD = IQR / 1.35 (normality assumption), IQR reported in table 171</t>
        </is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Total</t>
        </is>
      </c>
      <c r="D53" t="inlineStr">
        <is>
          <t>Male</t>
        </is>
      </c>
      <c r="E53" t="inlineStr">
        <is>
          <t>Vehicle consumption by U5 children -- amount</t>
        </is>
      </c>
      <c r="F53" t="inlineStr">
        <is>
          <t>standard deviation</t>
        </is>
      </c>
      <c r="G53" t="inlineStr">
        <is>
          <t>g/day</t>
        </is>
      </c>
      <c r="H53" t="n">
        <v>2021</v>
      </c>
      <c r="I53" t="inlineStr">
        <is>
          <t>NFCMS</t>
        </is>
      </c>
      <c r="J53">
        <f>(5.6-2.5)/1.35</f>
        <v/>
      </c>
      <c r="M53" t="inlineStr">
        <is>
          <t>Very rough estimate using SD = IQR / 1.35 (normality assumption), IQR reported in table 171</t>
        </is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Lowest</t>
        </is>
      </c>
      <c r="D54" t="inlineStr">
        <is>
          <t>All (assumed same)</t>
        </is>
      </c>
      <c r="E54" t="inlineStr">
        <is>
          <t>Vehicle consumption by U5 children -- amount</t>
        </is>
      </c>
      <c r="F54" t="inlineStr">
        <is>
          <t>standard deviation</t>
        </is>
      </c>
      <c r="G54" t="inlineStr">
        <is>
          <t>g/day</t>
        </is>
      </c>
      <c r="H54" t="n">
        <v>2021</v>
      </c>
      <c r="I54" t="inlineStr">
        <is>
          <t>NFCMS</t>
        </is>
      </c>
      <c r="J54" t="n">
        <v>3.6296296296296298</v>
      </c>
      <c r="M54" t="inlineStr">
        <is>
          <t>Not stratified by wealth quintile for children; wealth stratification numbers are for WRA</t>
        </is>
      </c>
    </row>
    <row r="55">
      <c r="A55" t="inlineStr">
        <is>
          <t>Nigeria</t>
        </is>
      </c>
      <c r="B55" t="inlineStr">
        <is>
          <t>Bouillon</t>
        </is>
      </c>
      <c r="C55" t="inlineStr">
        <is>
          <t>Second</t>
        </is>
      </c>
      <c r="D55" t="inlineStr">
        <is>
          <t>All (assumed same)</t>
        </is>
      </c>
      <c r="E55" t="inlineStr">
        <is>
          <t>Vehicle consumption by U5 children -- amount</t>
        </is>
      </c>
      <c r="F55" t="inlineStr">
        <is>
          <t>standard deviation</t>
        </is>
      </c>
      <c r="G55" t="inlineStr">
        <is>
          <t>g/day</t>
        </is>
      </c>
      <c r="H55" t="n">
        <v>2021</v>
      </c>
      <c r="I55" t="inlineStr">
        <is>
          <t>NFCMS</t>
        </is>
      </c>
      <c r="J55" t="n">
        <v>3.1111111111111112</v>
      </c>
    </row>
    <row r="56">
      <c r="A56" t="inlineStr">
        <is>
          <t>Nigeria</t>
        </is>
      </c>
      <c r="B56" t="inlineStr">
        <is>
          <t>Bouillon</t>
        </is>
      </c>
      <c r="C56" t="inlineStr">
        <is>
          <t>Middle</t>
        </is>
      </c>
      <c r="D56" t="inlineStr">
        <is>
          <t>All (assumed same)</t>
        </is>
      </c>
      <c r="E56" t="inlineStr">
        <is>
          <t>Vehicle consumption by U5 children -- amount</t>
        </is>
      </c>
      <c r="F56" t="inlineStr">
        <is>
          <t>standard deviation</t>
        </is>
      </c>
      <c r="G56" t="inlineStr">
        <is>
          <t>g/day</t>
        </is>
      </c>
      <c r="H56" t="n">
        <v>2021</v>
      </c>
      <c r="I56" t="inlineStr">
        <is>
          <t>NFCMS</t>
        </is>
      </c>
      <c r="J56" s="18" t="n">
        <v>2.9629629629629624</v>
      </c>
    </row>
    <row r="57">
      <c r="A57" t="inlineStr">
        <is>
          <t>Nigeria</t>
        </is>
      </c>
      <c r="B57" t="inlineStr">
        <is>
          <t>Bouillon</t>
        </is>
      </c>
      <c r="C57" t="inlineStr">
        <is>
          <t>Fourth</t>
        </is>
      </c>
      <c r="D57" t="inlineStr">
        <is>
          <t>All (assumed same)</t>
        </is>
      </c>
      <c r="E57" t="inlineStr">
        <is>
          <t>Vehicle consumption by U5 children -- amount</t>
        </is>
      </c>
      <c r="F57" t="inlineStr">
        <is>
          <t>standard deviation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 t="n">
        <v>2.4444444444444446</v>
      </c>
    </row>
    <row r="58">
      <c r="A58" t="inlineStr">
        <is>
          <t>Nigeria</t>
        </is>
      </c>
      <c r="B58" t="inlineStr">
        <is>
          <t>Bouillon</t>
        </is>
      </c>
      <c r="C58" t="inlineStr">
        <is>
          <t>Highest</t>
        </is>
      </c>
      <c r="D58" t="inlineStr">
        <is>
          <t>All (assumed same)</t>
        </is>
      </c>
      <c r="E58" t="inlineStr">
        <is>
          <t>Vehicle consumption by U5 children -- amount</t>
        </is>
      </c>
      <c r="F58" t="inlineStr">
        <is>
          <t>standard deviation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 t="n">
        <v>1.7037037037037035</v>
      </c>
    </row>
    <row r="59">
      <c r="A59" t="inlineStr">
        <is>
          <t>Nigeria</t>
        </is>
      </c>
      <c r="B59" t="inlineStr">
        <is>
          <t>Bouillon</t>
        </is>
      </c>
      <c r="C59" t="inlineStr">
        <is>
          <t>Total</t>
        </is>
      </c>
      <c r="D59" t="inlineStr">
        <is>
          <t>Total</t>
        </is>
      </c>
      <c r="E59" t="inlineStr">
        <is>
          <t>Vehicle "fortifiability" (essentially amount industrially produced)</t>
        </is>
      </c>
      <c r="F59" t="inlineStr">
        <is>
          <t>percentage</t>
        </is>
      </c>
      <c r="G59" t="inlineStr">
        <is>
          <t>%</t>
        </is>
      </c>
      <c r="H59" t="n">
        <v>2021</v>
      </c>
      <c r="I59" t="inlineStr">
        <is>
          <t>NFCMS</t>
        </is>
      </c>
      <c r="J59" s="21" t="n">
        <v>0.9796126401630989</v>
      </c>
      <c r="K59" s="17" t="n"/>
      <c r="L59" s="17" t="n"/>
      <c r="M59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60">
      <c r="A60" t="inlineStr">
        <is>
          <t>Nigeria</t>
        </is>
      </c>
      <c r="B60" t="inlineStr">
        <is>
          <t>Bouillon</t>
        </is>
      </c>
      <c r="C60" t="inlineStr">
        <is>
          <t>Lowest</t>
        </is>
      </c>
      <c r="D60" t="inlineStr">
        <is>
          <t>All (assumed same)</t>
        </is>
      </c>
      <c r="E60" t="inlineStr">
        <is>
          <t>Vehicle "fortifiability" (essentially amount industrially produced)</t>
        </is>
      </c>
      <c r="F60" t="inlineStr">
        <is>
          <t>percentage</t>
        </is>
      </c>
      <c r="G60" t="inlineStr">
        <is>
          <t>%</t>
        </is>
      </c>
      <c r="H60" t="n">
        <v>2021</v>
      </c>
      <c r="I60" t="inlineStr">
        <is>
          <t>NFCMS</t>
        </is>
      </c>
      <c r="J60" s="17" t="n">
        <v>0.96573208722741399</v>
      </c>
    </row>
    <row r="61">
      <c r="A61" t="inlineStr">
        <is>
          <t>Nigeria</t>
        </is>
      </c>
      <c r="B61" t="inlineStr">
        <is>
          <t>Bouillon</t>
        </is>
      </c>
      <c r="C61" t="inlineStr">
        <is>
          <t>Second</t>
        </is>
      </c>
      <c r="D61" t="inlineStr">
        <is>
          <t>All (assumed same)</t>
        </is>
      </c>
      <c r="E61" t="inlineStr">
        <is>
          <t>Vehicle "fortifiability" (essentially amount industrially produced)</t>
        </is>
      </c>
      <c r="F61" t="inlineStr">
        <is>
          <t>percentage</t>
        </is>
      </c>
      <c r="G61" t="inlineStr">
        <is>
          <t>%</t>
        </is>
      </c>
      <c r="H61" t="n">
        <v>2021</v>
      </c>
      <c r="I61" t="inlineStr">
        <is>
          <t>NFCMS</t>
        </is>
      </c>
      <c r="J61" s="7" t="n">
        <v>0.9785932721712538</v>
      </c>
    </row>
    <row r="62">
      <c r="A62" t="inlineStr">
        <is>
          <t>Nigeria</t>
        </is>
      </c>
      <c r="B62" t="inlineStr">
        <is>
          <t>Bouillon</t>
        </is>
      </c>
      <c r="C62" t="inlineStr">
        <is>
          <t>Middle</t>
        </is>
      </c>
      <c r="D62" t="inlineStr">
        <is>
          <t>All (assumed same)</t>
        </is>
      </c>
      <c r="E62" t="inlineStr">
        <is>
          <t>Vehicle "fortifiability" (essentially amount industrially produced)</t>
        </is>
      </c>
      <c r="F62" t="inlineStr">
        <is>
          <t>percentage</t>
        </is>
      </c>
      <c r="G62" t="inlineStr">
        <is>
          <t>%</t>
        </is>
      </c>
      <c r="H62" t="n">
        <v>2021</v>
      </c>
      <c r="I62" t="inlineStr">
        <is>
          <t>NFCMS</t>
        </is>
      </c>
      <c r="J62" s="20" t="n">
        <v>0.98084677419354838</v>
      </c>
    </row>
    <row r="63">
      <c r="A63" t="inlineStr">
        <is>
          <t>Nigeria</t>
        </is>
      </c>
      <c r="B63" t="inlineStr">
        <is>
          <t>Bouillon</t>
        </is>
      </c>
      <c r="C63" t="inlineStr">
        <is>
          <t>Fourth</t>
        </is>
      </c>
      <c r="D63" t="inlineStr">
        <is>
          <t>All (assumed same)</t>
        </is>
      </c>
      <c r="E63" t="inlineStr">
        <is>
          <t>Vehicle "fortifiability" (essentially amount industrially produced)</t>
        </is>
      </c>
      <c r="F63" t="inlineStr">
        <is>
          <t>percentage</t>
        </is>
      </c>
      <c r="G63" t="inlineStr">
        <is>
          <t>%</t>
        </is>
      </c>
      <c r="H63" t="n">
        <v>2021</v>
      </c>
      <c r="I63" t="inlineStr">
        <is>
          <t>NFCMS</t>
        </is>
      </c>
      <c r="J63" s="7" t="n">
        <v>0.98884381338742389</v>
      </c>
    </row>
    <row r="64">
      <c r="A64" t="inlineStr">
        <is>
          <t>Nigeria</t>
        </is>
      </c>
      <c r="B64" t="inlineStr">
        <is>
          <t>Bouillon</t>
        </is>
      </c>
      <c r="C64" t="inlineStr">
        <is>
          <t>Highest</t>
        </is>
      </c>
      <c r="D64" t="inlineStr">
        <is>
          <t>All (assumed same)</t>
        </is>
      </c>
      <c r="E64" t="inlineStr">
        <is>
          <t>Vehicle "fortifiability" (essentially amount industrially produced)</t>
        </is>
      </c>
      <c r="F64" t="inlineStr">
        <is>
          <t>percentage</t>
        </is>
      </c>
      <c r="G64" t="inlineStr">
        <is>
          <t>%</t>
        </is>
      </c>
      <c r="H64" t="n">
        <v>2021</v>
      </c>
      <c r="I64" t="inlineStr">
        <is>
          <t>NFCMS</t>
        </is>
      </c>
      <c r="J64" s="20" t="n">
        <v>0.98377281947261663</v>
      </c>
    </row>
    <row r="65" ht="57.75" customHeight="1">
      <c r="A65" t="inlineStr">
        <is>
          <t>India</t>
        </is>
      </c>
      <c r="B65" t="inlineStr">
        <is>
          <t>Rice</t>
        </is>
      </c>
      <c r="C65" t="inlineStr">
        <is>
          <t>Total</t>
        </is>
      </c>
      <c r="D65" t="inlineStr">
        <is>
          <t>All (assumed same)</t>
        </is>
      </c>
      <c r="E65" t="inlineStr">
        <is>
          <t>Vehicle "fortifiability" (essentially amount industrially produced)</t>
        </is>
      </c>
      <c r="F65" t="inlineStr">
        <is>
          <t>percentage</t>
        </is>
      </c>
      <c r="G65" t="inlineStr">
        <is>
          <t>%</t>
        </is>
      </c>
      <c r="H65" t="n">
        <v>2024</v>
      </c>
      <c r="I65" t="inlineStr">
        <is>
          <t>Assumption</t>
        </is>
      </c>
      <c r="J65" s="21" t="n">
        <v>0</v>
      </c>
      <c r="M65" s="5" t="inlineStr">
        <is>
          <t>51.3% "Industry consolidation" sent by Jonathan Gorstein in a spreadsheet on 7/19 according to M4N Database, but on 8/15 we agreed to consider all open-market rice unfortifiable</t>
        </is>
      </c>
    </row>
    <row r="66" ht="15" customHeight="1">
      <c r="A66" t="inlineStr">
        <is>
          <t>Nigeria</t>
        </is>
      </c>
      <c r="B66" t="inlineStr">
        <is>
          <t>Rice</t>
        </is>
      </c>
      <c r="C66" t="inlineStr">
        <is>
          <t>All (assumed same)</t>
        </is>
      </c>
      <c r="D66" t="inlineStr">
        <is>
          <t>All (assumed same)</t>
        </is>
      </c>
      <c r="E66" t="inlineStr">
        <is>
          <t>Vehicle "fortifiability" (essentially amount industrially produced)</t>
        </is>
      </c>
      <c r="F66" t="inlineStr">
        <is>
          <t>percentage</t>
        </is>
      </c>
      <c r="G66" t="inlineStr">
        <is>
          <t>%</t>
        </is>
      </c>
      <c r="H66" t="n">
        <v>2026</v>
      </c>
      <c r="I66" t="inlineStr">
        <is>
          <t>GF 'Input data to IHME models' workbook (2026-04-16), Vehicles - WRA tab</t>
        </is>
      </c>
      <c r="J66" s="7" t="n">
        <v>0.74</v>
      </c>
      <c r="M66" s="5" t="inlineStr">
        <is>
          <t>Industry consolidation 74% (WRA and preschool tabs agree). Supersedes the 0.3 assumption from Jonathan Gorstein email 8/30.</t>
        </is>
      </c>
    </row>
    <row r="67" ht="43.5" customHeight="1">
      <c r="A67" t="inlineStr">
        <is>
          <t>Nigeria</t>
        </is>
      </c>
      <c r="B67" t="inlineStr">
        <is>
          <t>Rice</t>
        </is>
      </c>
      <c r="C67" t="inlineStr">
        <is>
          <t>Total</t>
        </is>
      </c>
      <c r="D67" t="inlineStr">
        <is>
          <t>Female</t>
        </is>
      </c>
      <c r="E67" t="inlineStr">
        <is>
          <t>Vehicle consumption by WRA -- amount</t>
        </is>
      </c>
      <c r="F67" t="inlineStr">
        <is>
          <t>mean</t>
        </is>
      </c>
      <c r="G67" t="inlineStr">
        <is>
          <t>g/day</t>
        </is>
      </c>
      <c r="H67" t="n">
        <v>2021</v>
      </c>
      <c r="I67" t="inlineStr">
        <is>
          <t>NFCMS</t>
        </is>
      </c>
      <c r="J67">
        <f>61.2*J73</f>
        <v/>
      </c>
      <c r="M67" s="5" t="inlineStr">
        <is>
          <t>Table 172, page 224; based on email from Jonathan Gorstein 8/31 we have assumed the number reported is among consumers, so have multiplied it by coverage here</t>
        </is>
      </c>
    </row>
    <row r="68" ht="43.5" customHeight="1">
      <c r="A68" t="inlineStr">
        <is>
          <t>Nigeria</t>
        </is>
      </c>
      <c r="B68" t="inlineStr">
        <is>
          <t>Rice</t>
        </is>
      </c>
      <c r="C68" t="inlineStr">
        <is>
          <t>Lowest</t>
        </is>
      </c>
      <c r="D68" t="inlineStr">
        <is>
          <t>Female</t>
        </is>
      </c>
      <c r="E68" t="inlineStr">
        <is>
          <t>Vehicle consumption by WRA -- amount</t>
        </is>
      </c>
      <c r="F68" t="inlineStr">
        <is>
          <t>mean</t>
        </is>
      </c>
      <c r="G68" t="inlineStr">
        <is>
          <t>g/day</t>
        </is>
      </c>
      <c r="H68" t="n">
        <v>2021</v>
      </c>
      <c r="I68" t="inlineStr">
        <is>
          <t>NFCMS</t>
        </is>
      </c>
      <c r="J68">
        <f>34.2*J74</f>
        <v/>
      </c>
      <c r="M68" s="5" t="inlineStr">
        <is>
          <t>Table 172, page 224; based on email from Jonathan Gorstein 8/31 we have assumed the number reported is among consumers, so have multiplied it by coverage here</t>
        </is>
      </c>
    </row>
    <row r="69" ht="43.5" customHeight="1">
      <c r="A69" t="inlineStr">
        <is>
          <t>Nigeria</t>
        </is>
      </c>
      <c r="B69" t="inlineStr">
        <is>
          <t>Rice</t>
        </is>
      </c>
      <c r="C69" t="inlineStr">
        <is>
          <t>Second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mean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52.4*J75</f>
        <v/>
      </c>
      <c r="M69" s="5" t="inlineStr">
        <is>
          <t>Table 172, page 224; based on email from Jonathan Gorstein 8/31 we have assumed the number reported is among consumers, so have multiplied it by coverage here</t>
        </is>
      </c>
    </row>
    <row r="70" ht="43.5" customHeight="1">
      <c r="A70" t="inlineStr">
        <is>
          <t>Nigeria</t>
        </is>
      </c>
      <c r="B70" t="inlineStr">
        <is>
          <t>Rice</t>
        </is>
      </c>
      <c r="C70" t="inlineStr">
        <is>
          <t>Middle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mean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60.7*J76</f>
        <v/>
      </c>
      <c r="M70" s="5" t="inlineStr">
        <is>
          <t>Table 172, page 224; based on email from Jonathan Gorstein 8/31 we have assumed the number reported is among consumers, so have multiplied it by coverage here</t>
        </is>
      </c>
    </row>
    <row r="71" ht="43.5" customHeight="1">
      <c r="A71" t="inlineStr">
        <is>
          <t>Nigeria</t>
        </is>
      </c>
      <c r="B71" t="inlineStr">
        <is>
          <t>Rice</t>
        </is>
      </c>
      <c r="C71" t="inlineStr">
        <is>
          <t>Fourth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mean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73.7*J77</f>
        <v/>
      </c>
      <c r="M71" s="5" t="inlineStr">
        <is>
          <t>Table 172, page 224; based on email from Jonathan Gorstein 8/31 we have assumed the number reported is among consumers, so have multiplied it by coverage here</t>
        </is>
      </c>
    </row>
    <row r="72" ht="43.5" customHeight="1">
      <c r="A72" t="inlineStr">
        <is>
          <t>Nigeria</t>
        </is>
      </c>
      <c r="B72" t="inlineStr">
        <is>
          <t>Rice</t>
        </is>
      </c>
      <c r="C72" t="inlineStr">
        <is>
          <t>Highest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mean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79.5*J78</f>
        <v/>
      </c>
      <c r="M72" s="5" t="inlineStr">
        <is>
          <t>Table 172, page 224; based on email from Jonathan Gorstein 8/31 we have assumed the number reported is among consumers, so have multiplied it by coverage here</t>
        </is>
      </c>
    </row>
    <row r="73" ht="29.25" customHeight="1">
      <c r="A73" t="inlineStr">
        <is>
          <t>Nigeria</t>
        </is>
      </c>
      <c r="B73" t="inlineStr">
        <is>
          <t>Rice</t>
        </is>
      </c>
      <c r="C73" t="inlineStr">
        <is>
          <t>Total</t>
        </is>
      </c>
      <c r="D73" t="inlineStr">
        <is>
          <t>Female</t>
        </is>
      </c>
      <c r="E73" t="inlineStr">
        <is>
          <t>Vehicle consumption by WRA -- any</t>
        </is>
      </c>
      <c r="F73" t="inlineStr">
        <is>
          <t>percentage</t>
        </is>
      </c>
      <c r="G73" t="inlineStr">
        <is>
          <t>%</t>
        </is>
      </c>
      <c r="I73" t="inlineStr">
        <is>
          <t>INTAKE</t>
        </is>
      </c>
      <c r="J73" s="21" t="n">
        <v>0.53600000000000003</v>
      </c>
      <c r="M73" s="5" t="inlineStr">
        <is>
          <t>INTAKE tabulation of NFCMS (?) shared by Jonathan Gorstein on 8/30; presumably in WRA</t>
        </is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Lowest</t>
        </is>
      </c>
      <c r="D74" t="inlineStr">
        <is>
          <t>Female</t>
        </is>
      </c>
      <c r="E74" t="inlineStr">
        <is>
          <t>Vehicle consumption by WRA -- any</t>
        </is>
      </c>
      <c r="F74" t="inlineStr">
        <is>
          <t>percentage</t>
        </is>
      </c>
      <c r="G74" t="inlineStr">
        <is>
          <t>%</t>
        </is>
      </c>
      <c r="I74" t="inlineStr">
        <is>
          <t>INTAKE</t>
        </is>
      </c>
      <c r="J74" s="21" t="n">
        <v>0.33600000000000002</v>
      </c>
    </row>
    <row r="75">
      <c r="A75" t="inlineStr">
        <is>
          <t>Nigeria</t>
        </is>
      </c>
      <c r="B75" t="inlineStr">
        <is>
          <t>Rice</t>
        </is>
      </c>
      <c r="C75" t="inlineStr">
        <is>
          <t>Second</t>
        </is>
      </c>
      <c r="D75" t="inlineStr">
        <is>
          <t>Female</t>
        </is>
      </c>
      <c r="E75" t="inlineStr">
        <is>
          <t>Vehicle consumption by WRA -- any</t>
        </is>
      </c>
      <c r="F75" t="inlineStr">
        <is>
          <t>percentage</t>
        </is>
      </c>
      <c r="G75" t="inlineStr">
        <is>
          <t>%</t>
        </is>
      </c>
      <c r="I75" t="inlineStr">
        <is>
          <t>INTAKE</t>
        </is>
      </c>
      <c r="J75" s="21" t="n">
        <v>0.44800000000000001</v>
      </c>
    </row>
    <row r="76">
      <c r="A76" t="inlineStr">
        <is>
          <t>Nigeria</t>
        </is>
      </c>
      <c r="B76" t="inlineStr">
        <is>
          <t>Rice</t>
        </is>
      </c>
      <c r="C76" t="inlineStr">
        <is>
          <t>Middle</t>
        </is>
      </c>
      <c r="D76" t="inlineStr">
        <is>
          <t>Female</t>
        </is>
      </c>
      <c r="E76" t="inlineStr">
        <is>
          <t>Vehicle consumption by WRA -- any</t>
        </is>
      </c>
      <c r="F76" t="inlineStr">
        <is>
          <t>percentage</t>
        </is>
      </c>
      <c r="G76" t="inlineStr">
        <is>
          <t>%</t>
        </is>
      </c>
      <c r="I76" t="inlineStr">
        <is>
          <t>INTAKE</t>
        </is>
      </c>
      <c r="J76" s="21" t="n">
        <v>0.54600000000000004</v>
      </c>
    </row>
    <row r="77">
      <c r="A77" t="inlineStr">
        <is>
          <t>Nigeria</t>
        </is>
      </c>
      <c r="B77" t="inlineStr">
        <is>
          <t>Rice</t>
        </is>
      </c>
      <c r="C77" t="inlineStr">
        <is>
          <t>Fourth</t>
        </is>
      </c>
      <c r="D77" t="inlineStr">
        <is>
          <t>Female</t>
        </is>
      </c>
      <c r="E77" t="inlineStr">
        <is>
          <t>Vehicle consumption by WRA -- any</t>
        </is>
      </c>
      <c r="F77" t="inlineStr">
        <is>
          <t>percentage</t>
        </is>
      </c>
      <c r="G77" t="inlineStr">
        <is>
          <t>%</t>
        </is>
      </c>
      <c r="I77" t="inlineStr">
        <is>
          <t>INTAKE</t>
        </is>
      </c>
      <c r="J77" s="21" t="n">
        <v>0.63300000000000001</v>
      </c>
    </row>
    <row r="78">
      <c r="A78" t="inlineStr">
        <is>
          <t>Nigeria</t>
        </is>
      </c>
      <c r="B78" t="inlineStr">
        <is>
          <t>Rice</t>
        </is>
      </c>
      <c r="C78" t="inlineStr">
        <is>
          <t>Highest</t>
        </is>
      </c>
      <c r="D78" t="inlineStr">
        <is>
          <t>Female</t>
        </is>
      </c>
      <c r="E78" t="inlineStr">
        <is>
          <t>Vehicle consumption by WRA -- any</t>
        </is>
      </c>
      <c r="F78" t="inlineStr">
        <is>
          <t>percentage</t>
        </is>
      </c>
      <c r="G78" t="inlineStr">
        <is>
          <t>%</t>
        </is>
      </c>
      <c r="I78" t="inlineStr">
        <is>
          <t>INTAKE</t>
        </is>
      </c>
      <c r="J78" s="21" t="n">
        <v>0.67600000000000005</v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WRA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(84.6-30.5)/1.35</f>
        <v/>
      </c>
      <c r="M79" s="5" t="inlineStr">
        <is>
          <t>Very rough estimate using SD = IQR / 1.35 (normality assumption), IQR reported in table 172</t>
        </is>
      </c>
    </row>
    <row r="80">
      <c r="A80" t="inlineStr">
        <is>
          <t>Nigeria</t>
        </is>
      </c>
      <c r="B80" t="inlineStr">
        <is>
          <t>Rice</t>
        </is>
      </c>
      <c r="C80" t="inlineStr">
        <is>
          <t>Lowest</t>
        </is>
      </c>
      <c r="D80" t="inlineStr">
        <is>
          <t>Female</t>
        </is>
      </c>
      <c r="E80" t="inlineStr">
        <is>
          <t>Vehicle consumption by WRA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(47.2-13.7)/1.35</f>
        <v/>
      </c>
    </row>
    <row r="81">
      <c r="A81" t="inlineStr">
        <is>
          <t>Nigeria</t>
        </is>
      </c>
      <c r="B81" t="inlineStr">
        <is>
          <t>Rice</t>
        </is>
      </c>
      <c r="C81" t="inlineStr">
        <is>
          <t>Second</t>
        </is>
      </c>
      <c r="D81" t="inlineStr">
        <is>
          <t>Female</t>
        </is>
      </c>
      <c r="E81" t="inlineStr">
        <is>
          <t>Vehicle consumption by WRA -- amount</t>
        </is>
      </c>
      <c r="F81" t="inlineStr">
        <is>
          <t>standard deviation</t>
        </is>
      </c>
      <c r="G81" t="inlineStr">
        <is>
          <t>g/day</t>
        </is>
      </c>
      <c r="H81" t="n">
        <v>2021</v>
      </c>
      <c r="I81" t="inlineStr">
        <is>
          <t>NFCMS</t>
        </is>
      </c>
      <c r="J81">
        <f>(71.4-26.4)/1.35</f>
        <v/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Middle</t>
        </is>
      </c>
      <c r="D82" t="inlineStr">
        <is>
          <t>Female</t>
        </is>
      </c>
      <c r="E82" t="inlineStr">
        <is>
          <t>Vehicle consumption by WRA -- amount</t>
        </is>
      </c>
      <c r="F82" t="inlineStr">
        <is>
          <t>standard deviation</t>
        </is>
      </c>
      <c r="G82" t="inlineStr">
        <is>
          <t>g/day</t>
        </is>
      </c>
      <c r="H82" t="n">
        <v>2021</v>
      </c>
      <c r="I82" t="inlineStr">
        <is>
          <t>NFCMS</t>
        </is>
      </c>
      <c r="J82">
        <f>(81.1-33.8)/1.35</f>
        <v/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Fourth</t>
        </is>
      </c>
      <c r="D83" t="inlineStr">
        <is>
          <t>Female</t>
        </is>
      </c>
      <c r="E83" t="inlineStr">
        <is>
          <t>Vehicle consumption by WRA -- amount</t>
        </is>
      </c>
      <c r="F83" t="inlineStr">
        <is>
          <t>standard deviation</t>
        </is>
      </c>
      <c r="G83" t="inlineStr">
        <is>
          <t>g/day</t>
        </is>
      </c>
      <c r="H83" t="n">
        <v>2021</v>
      </c>
      <c r="I83" t="inlineStr">
        <is>
          <t>NFCMS</t>
        </is>
      </c>
      <c r="J83">
        <f>(96.3-45.3)/1.35</f>
        <v/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Highest</t>
        </is>
      </c>
      <c r="D84" t="inlineStr">
        <is>
          <t>Female</t>
        </is>
      </c>
      <c r="E84" t="inlineStr">
        <is>
          <t>Vehicle consumption by WRA -- amount</t>
        </is>
      </c>
      <c r="F84" t="inlineStr">
        <is>
          <t>standard deviation</t>
        </is>
      </c>
      <c r="G84" t="inlineStr">
        <is>
          <t>g/day</t>
        </is>
      </c>
      <c r="H84" t="n">
        <v>2021</v>
      </c>
      <c r="I84" t="inlineStr">
        <is>
          <t>NFCMS</t>
        </is>
      </c>
      <c r="J84">
        <f>(103.1-50.4)/1.35</f>
        <v/>
      </c>
    </row>
    <row r="85" ht="43.5" customHeight="1">
      <c r="A85" t="inlineStr">
        <is>
          <t>Nigeria</t>
        </is>
      </c>
      <c r="B85" t="inlineStr">
        <is>
          <t>Rice</t>
        </is>
      </c>
      <c r="C85" t="inlineStr">
        <is>
          <t>Total</t>
        </is>
      </c>
      <c r="D85" t="inlineStr">
        <is>
          <t>Total</t>
        </is>
      </c>
      <c r="E85" t="inlineStr">
        <is>
          <t>Vehicle consumption by U5 children -- amount</t>
        </is>
      </c>
      <c r="F85" t="inlineStr">
        <is>
          <t>mean</t>
        </is>
      </c>
      <c r="G85" t="inlineStr">
        <is>
          <t>g/day</t>
        </is>
      </c>
      <c r="H85" t="n">
        <v>2021</v>
      </c>
      <c r="I85" t="inlineStr">
        <is>
          <t>NFCMS</t>
        </is>
      </c>
      <c r="J85">
        <f>38.3*J101</f>
        <v/>
      </c>
      <c r="M85" s="5" t="inlineStr">
        <is>
          <t>Table 173, page 224; based on email from Jonathan Gorstein 8/31 we have assumed the number reported is among consumers, so have multiplied it by coverage here</t>
        </is>
      </c>
    </row>
    <row r="86" ht="43.5" customHeight="1">
      <c r="A86" t="inlineStr">
        <is>
          <t>Nigeria</t>
        </is>
      </c>
      <c r="B86" t="inlineStr">
        <is>
          <t>Rice</t>
        </is>
      </c>
      <c r="C86" t="inlineStr">
        <is>
          <t>Total</t>
        </is>
      </c>
      <c r="D86" t="inlineStr">
        <is>
          <t>Female</t>
        </is>
      </c>
      <c r="E86" t="inlineStr">
        <is>
          <t>Vehicle consumption by U5 children -- amount</t>
        </is>
      </c>
      <c r="F86" t="inlineStr">
        <is>
          <t>mean</t>
        </is>
      </c>
      <c r="G86" t="inlineStr">
        <is>
          <t>g/day</t>
        </is>
      </c>
      <c r="H86" t="n">
        <v>2021</v>
      </c>
      <c r="I86" t="inlineStr">
        <is>
          <t>NFCMS</t>
        </is>
      </c>
      <c r="J86">
        <f>35.5*J101</f>
        <v/>
      </c>
      <c r="M86" s="5" t="inlineStr">
        <is>
          <t>Table 173, page 224; based on email from Jonathan Gorstein 8/31 we have assumed the number reported is among consumers, so have multiplied it by coverage here</t>
        </is>
      </c>
    </row>
    <row r="87" ht="43.5" customHeight="1">
      <c r="A87" t="inlineStr">
        <is>
          <t>Nigeria</t>
        </is>
      </c>
      <c r="B87" t="inlineStr">
        <is>
          <t>Rice</t>
        </is>
      </c>
      <c r="C87" t="inlineStr">
        <is>
          <t>Total</t>
        </is>
      </c>
      <c r="D87" t="inlineStr">
        <is>
          <t>Male</t>
        </is>
      </c>
      <c r="E87" t="inlineStr">
        <is>
          <t>Vehicle consumption by U5 children -- amount</t>
        </is>
      </c>
      <c r="F87" t="inlineStr">
        <is>
          <t>mean</t>
        </is>
      </c>
      <c r="G87" t="inlineStr">
        <is>
          <t>g/day</t>
        </is>
      </c>
      <c r="H87" t="n">
        <v>2021</v>
      </c>
      <c r="I87" t="inlineStr">
        <is>
          <t>NFCMS</t>
        </is>
      </c>
      <c r="J87">
        <f>41*J101</f>
        <v/>
      </c>
      <c r="M87" s="5" t="inlineStr">
        <is>
          <t>Table 173, page 224; based on email from Jonathan Gorstein 8/31 we have assumed the number reported is among consumers, so have multiplied it by coverage here</t>
        </is>
      </c>
    </row>
    <row r="88">
      <c r="A88" t="inlineStr">
        <is>
          <t>Nigeria</t>
        </is>
      </c>
      <c r="B88" t="inlineStr">
        <is>
          <t>Rice</t>
        </is>
      </c>
      <c r="C88" t="inlineStr">
        <is>
          <t>Lowest</t>
        </is>
      </c>
      <c r="D88" t="inlineStr">
        <is>
          <t>All (assumed same)</t>
        </is>
      </c>
      <c r="E88" t="inlineStr">
        <is>
          <t>Vehicle consumption by U5 children -- amount</t>
        </is>
      </c>
      <c r="F88" t="inlineStr">
        <is>
          <t>mean</t>
        </is>
      </c>
      <c r="G88" t="inlineStr">
        <is>
          <t>g/day</t>
        </is>
      </c>
      <c r="H88" t="n">
        <v>2021</v>
      </c>
      <c r="I88" t="inlineStr">
        <is>
          <t>NFCMS</t>
        </is>
      </c>
      <c r="J88" t="n">
        <v>11.491200000000001</v>
      </c>
      <c r="M88" t="inlineStr">
        <is>
          <t>Not stratified by wealth quintile for children; wealth stratification numbers are for WRA</t>
        </is>
      </c>
    </row>
    <row r="89">
      <c r="A89" t="inlineStr">
        <is>
          <t>Nigeria</t>
        </is>
      </c>
      <c r="B89" t="inlineStr">
        <is>
          <t>Rice</t>
        </is>
      </c>
      <c r="C89" t="inlineStr">
        <is>
          <t>Second</t>
        </is>
      </c>
      <c r="D89" t="inlineStr">
        <is>
          <t>All (assumed same)</t>
        </is>
      </c>
      <c r="E89" t="inlineStr">
        <is>
          <t>Vehicle consumption by U5 children -- amount</t>
        </is>
      </c>
      <c r="F89" t="inlineStr">
        <is>
          <t>mean</t>
        </is>
      </c>
      <c r="G89" t="inlineStr">
        <is>
          <t>g/day</t>
        </is>
      </c>
      <c r="H89" t="n">
        <v>2021</v>
      </c>
      <c r="I89" t="inlineStr">
        <is>
          <t>NFCMS</t>
        </is>
      </c>
      <c r="J89" t="n">
        <v>23.475200000000001</v>
      </c>
    </row>
    <row r="90">
      <c r="A90" t="inlineStr">
        <is>
          <t>Nigeria</t>
        </is>
      </c>
      <c r="B90" t="inlineStr">
        <is>
          <t>Rice</t>
        </is>
      </c>
      <c r="C90" t="inlineStr">
        <is>
          <t>Middle</t>
        </is>
      </c>
      <c r="D90" t="inlineStr">
        <is>
          <t>All (assumed same)</t>
        </is>
      </c>
      <c r="E90" t="inlineStr">
        <is>
          <t>Vehicle consumption by U5 children -- amount</t>
        </is>
      </c>
      <c r="F90" t="inlineStr">
        <is>
          <t>mean</t>
        </is>
      </c>
      <c r="G90" t="inlineStr">
        <is>
          <t>g/day</t>
        </is>
      </c>
      <c r="H90" t="n">
        <v>2021</v>
      </c>
      <c r="I90" t="inlineStr">
        <is>
          <t>NFCMS</t>
        </is>
      </c>
      <c r="J90" t="n">
        <v>33.142200000000003</v>
      </c>
    </row>
    <row r="91">
      <c r="A91" t="inlineStr">
        <is>
          <t>Nigeria</t>
        </is>
      </c>
      <c r="B91" t="inlineStr">
        <is>
          <t>Rice</t>
        </is>
      </c>
      <c r="C91" t="inlineStr">
        <is>
          <t>Fourth</t>
        </is>
      </c>
      <c r="D91" t="inlineStr">
        <is>
          <t>All (assumed same)</t>
        </is>
      </c>
      <c r="E91" t="inlineStr">
        <is>
          <t>Vehicle consumption by U5 children -- amount</t>
        </is>
      </c>
      <c r="F91" t="inlineStr">
        <is>
          <t>mean</t>
        </is>
      </c>
      <c r="G91" t="inlineStr">
        <is>
          <t>g/day</t>
        </is>
      </c>
      <c r="H91" t="n">
        <v>2021</v>
      </c>
      <c r="I91" t="inlineStr">
        <is>
          <t>NFCMS</t>
        </is>
      </c>
      <c r="J91" t="n">
        <v>46.652100000000004</v>
      </c>
    </row>
    <row r="92">
      <c r="A92" t="inlineStr">
        <is>
          <t>Nigeria</t>
        </is>
      </c>
      <c r="B92" t="inlineStr">
        <is>
          <t>Rice</t>
        </is>
      </c>
      <c r="C92" t="inlineStr">
        <is>
          <t>Highest</t>
        </is>
      </c>
      <c r="D92" t="inlineStr">
        <is>
          <t>All (assumed same)</t>
        </is>
      </c>
      <c r="E92" t="inlineStr">
        <is>
          <t>Vehicle consumption by U5 children -- amount</t>
        </is>
      </c>
      <c r="F92" t="inlineStr">
        <is>
          <t>mean</t>
        </is>
      </c>
      <c r="G92" t="inlineStr">
        <is>
          <t>g/day</t>
        </is>
      </c>
      <c r="H92" t="n">
        <v>2021</v>
      </c>
      <c r="I92" t="inlineStr">
        <is>
          <t>NFCMS</t>
        </is>
      </c>
      <c r="J92" t="n">
        <v>53.742000000000004</v>
      </c>
    </row>
    <row r="93" ht="29.25" customHeight="1">
      <c r="A93" t="inlineStr">
        <is>
          <t>Nigeria</t>
        </is>
      </c>
      <c r="B93" t="inlineStr">
        <is>
          <t>Rice</t>
        </is>
      </c>
      <c r="C93" t="inlineStr">
        <is>
          <t>Total</t>
        </is>
      </c>
      <c r="D93" t="inlineStr">
        <is>
          <t>Total</t>
        </is>
      </c>
      <c r="E93" t="inlineStr">
        <is>
          <t>Vehicle consumption by U5 children -- amount</t>
        </is>
      </c>
      <c r="F93" t="inlineStr">
        <is>
          <t>standard deviation</t>
        </is>
      </c>
      <c r="G93" t="inlineStr">
        <is>
          <t>g/day</t>
        </is>
      </c>
      <c r="H93" t="n">
        <v>2021</v>
      </c>
      <c r="I93" t="inlineStr">
        <is>
          <t>NFCMS</t>
        </is>
      </c>
      <c r="J93">
        <f>(53.6-19)/1.35</f>
        <v/>
      </c>
      <c r="M93" s="5" t="inlineStr">
        <is>
          <t>Very rough estimate using SD = IQR / 1.35 (normality assumption), IQR reported in table 173</t>
        </is>
      </c>
    </row>
    <row r="94" ht="29.25" customHeight="1">
      <c r="A94" t="inlineStr">
        <is>
          <t>Nigeria</t>
        </is>
      </c>
      <c r="B94" t="inlineStr">
        <is>
          <t>Rice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U5 children -- amount</t>
        </is>
      </c>
      <c r="F94" t="inlineStr">
        <is>
          <t>standard deviation</t>
        </is>
      </c>
      <c r="G94" t="inlineStr">
        <is>
          <t>g/day</t>
        </is>
      </c>
      <c r="H94" t="n">
        <v>2021</v>
      </c>
      <c r="I94" t="inlineStr">
        <is>
          <t>NFCMS</t>
        </is>
      </c>
      <c r="J94">
        <f>(49.5-17.1)/1.35</f>
        <v/>
      </c>
      <c r="M94" s="5" t="inlineStr">
        <is>
          <t>Very rough estimate using SD = IQR / 1.35 (normality assumption), IQR reported in table 173</t>
        </is>
      </c>
    </row>
    <row r="95" ht="29.25" customHeight="1">
      <c r="A95" t="inlineStr">
        <is>
          <t>Nigeria</t>
        </is>
      </c>
      <c r="B95" t="inlineStr">
        <is>
          <t>Rice</t>
        </is>
      </c>
      <c r="C95" t="inlineStr">
        <is>
          <t>Total</t>
        </is>
      </c>
      <c r="D95" t="inlineStr">
        <is>
          <t>Male</t>
        </is>
      </c>
      <c r="E95" t="inlineStr">
        <is>
          <t>Vehicle consumption by U5 children -- amount</t>
        </is>
      </c>
      <c r="F95" t="inlineStr">
        <is>
          <t>standard deviation</t>
        </is>
      </c>
      <c r="G95" t="inlineStr">
        <is>
          <t>g/day</t>
        </is>
      </c>
      <c r="H95" t="n">
        <v>2021</v>
      </c>
      <c r="I95" t="inlineStr">
        <is>
          <t>NFCMS</t>
        </is>
      </c>
      <c r="J95">
        <f>(57.6-20.7)/1.35</f>
        <v/>
      </c>
      <c r="M95" s="5" t="inlineStr">
        <is>
          <t>Very rough estimate using SD = IQR / 1.35 (normality assumption), IQR reported in table 173</t>
        </is>
      </c>
    </row>
    <row r="96">
      <c r="A96" t="inlineStr">
        <is>
          <t>Nigeria</t>
        </is>
      </c>
      <c r="B96" t="inlineStr">
        <is>
          <t>Rice</t>
        </is>
      </c>
      <c r="C96" t="inlineStr">
        <is>
          <t>Lowest</t>
        </is>
      </c>
      <c r="D96" t="inlineStr">
        <is>
          <t>All (assumed same)</t>
        </is>
      </c>
      <c r="E96" t="inlineStr">
        <is>
          <t>Vehicle consumption by U5 children -- amount</t>
        </is>
      </c>
      <c r="F96" t="inlineStr">
        <is>
          <t>standard deviation</t>
        </is>
      </c>
      <c r="G96" t="inlineStr">
        <is>
          <t>g/day</t>
        </is>
      </c>
      <c r="H96" t="n">
        <v>2021</v>
      </c>
      <c r="I96" t="inlineStr">
        <is>
          <t>NFCMS</t>
        </is>
      </c>
      <c r="J96">
        <f>(47.2-13.7)/1.35</f>
        <v/>
      </c>
      <c r="M96" t="inlineStr">
        <is>
          <t>Not stratified by wealth quintile for children; wealth stratification numbers are for WRA</t>
        </is>
      </c>
    </row>
    <row r="97">
      <c r="A97" t="inlineStr">
        <is>
          <t>Nigeria</t>
        </is>
      </c>
      <c r="B97" t="inlineStr">
        <is>
          <t>Rice</t>
        </is>
      </c>
      <c r="C97" t="inlineStr">
        <is>
          <t>Second</t>
        </is>
      </c>
      <c r="D97" t="inlineStr">
        <is>
          <t>All (assumed same)</t>
        </is>
      </c>
      <c r="E97" t="inlineStr">
        <is>
          <t>Vehicle consumption by U5 children -- amount</t>
        </is>
      </c>
      <c r="F97" t="inlineStr">
        <is>
          <t>standard deviation</t>
        </is>
      </c>
      <c r="G97" t="inlineStr">
        <is>
          <t>g/day</t>
        </is>
      </c>
      <c r="H97" t="n">
        <v>2021</v>
      </c>
      <c r="I97" t="inlineStr">
        <is>
          <t>NFCMS</t>
        </is>
      </c>
      <c r="J97">
        <f>(71.4-26.4)/1.35</f>
        <v/>
      </c>
    </row>
    <row r="98">
      <c r="A98" t="inlineStr">
        <is>
          <t>Nigeria</t>
        </is>
      </c>
      <c r="B98" t="inlineStr">
        <is>
          <t>Rice</t>
        </is>
      </c>
      <c r="C98" t="inlineStr">
        <is>
          <t>Middle</t>
        </is>
      </c>
      <c r="D98" t="inlineStr">
        <is>
          <t>All (assumed same)</t>
        </is>
      </c>
      <c r="E98" t="inlineStr">
        <is>
          <t>Vehicle consumption by U5 children -- amount</t>
        </is>
      </c>
      <c r="F98" t="inlineStr">
        <is>
          <t>standard deviation</t>
        </is>
      </c>
      <c r="G98" t="inlineStr">
        <is>
          <t>g/day</t>
        </is>
      </c>
      <c r="H98" t="n">
        <v>2021</v>
      </c>
      <c r="I98" t="inlineStr">
        <is>
          <t>NFCMS</t>
        </is>
      </c>
      <c r="J98">
        <f>(81.1-33.8)/1.35</f>
        <v/>
      </c>
    </row>
    <row r="99">
      <c r="A99" t="inlineStr">
        <is>
          <t>Nigeria</t>
        </is>
      </c>
      <c r="B99" t="inlineStr">
        <is>
          <t>Rice</t>
        </is>
      </c>
      <c r="C99" t="inlineStr">
        <is>
          <t>Fourth</t>
        </is>
      </c>
      <c r="D99" t="inlineStr">
        <is>
          <t>All (assumed same)</t>
        </is>
      </c>
      <c r="E99" t="inlineStr">
        <is>
          <t>Vehicle consumption by U5 children -- amount</t>
        </is>
      </c>
      <c r="F99" t="inlineStr">
        <is>
          <t>standard deviation</t>
        </is>
      </c>
      <c r="G99" t="inlineStr">
        <is>
          <t>g/day</t>
        </is>
      </c>
      <c r="H99" t="n">
        <v>2021</v>
      </c>
      <c r="I99" t="inlineStr">
        <is>
          <t>NFCMS</t>
        </is>
      </c>
      <c r="J99">
        <f>(96.3-45.3)/1.35</f>
        <v/>
      </c>
    </row>
    <row r="100">
      <c r="A100" t="inlineStr">
        <is>
          <t>Nigeria</t>
        </is>
      </c>
      <c r="B100" t="inlineStr">
        <is>
          <t>Rice</t>
        </is>
      </c>
      <c r="C100" t="inlineStr">
        <is>
          <t>Highest</t>
        </is>
      </c>
      <c r="D100" t="inlineStr">
        <is>
          <t>All (assumed same)</t>
        </is>
      </c>
      <c r="E100" t="inlineStr">
        <is>
          <t>Vehicle consumption by U5 children -- amount</t>
        </is>
      </c>
      <c r="F100" t="inlineStr">
        <is>
          <t>standard deviation</t>
        </is>
      </c>
      <c r="G100" t="inlineStr">
        <is>
          <t>g/day</t>
        </is>
      </c>
      <c r="H100" t="n">
        <v>2021</v>
      </c>
      <c r="I100" t="inlineStr">
        <is>
          <t>NFCMS</t>
        </is>
      </c>
      <c r="J100">
        <f>(103.1-50.4)/1.35</f>
        <v/>
      </c>
    </row>
    <row r="101" ht="29.25" customHeight="1">
      <c r="A101" t="inlineStr">
        <is>
          <t>Nigeria</t>
        </is>
      </c>
      <c r="B101" t="inlineStr">
        <is>
          <t>Rice</t>
        </is>
      </c>
      <c r="C101" t="inlineStr">
        <is>
          <t>Total</t>
        </is>
      </c>
      <c r="D101" t="inlineStr">
        <is>
          <t>All (assumed same)</t>
        </is>
      </c>
      <c r="E101" t="inlineStr">
        <is>
          <t>Vehicle consumption by U5 children -- any</t>
        </is>
      </c>
      <c r="F101" t="inlineStr">
        <is>
          <t>percentage</t>
        </is>
      </c>
      <c r="G101" t="inlineStr">
        <is>
          <t>%</t>
        </is>
      </c>
      <c r="I101" t="inlineStr">
        <is>
          <t>INTAKE</t>
        </is>
      </c>
      <c r="J101" s="21" t="n">
        <v>0.53600000000000003</v>
      </c>
      <c r="M101" s="5" t="inlineStr">
        <is>
          <t>INTAKE tabulation of NFCMS (?) shared by Jonathan Gorstein on 8/30; presumably in WRA</t>
        </is>
      </c>
    </row>
    <row r="102">
      <c r="A102" t="inlineStr">
        <is>
          <t>Nigeria</t>
        </is>
      </c>
      <c r="B102" t="inlineStr">
        <is>
          <t>Rice</t>
        </is>
      </c>
      <c r="C102" t="inlineStr">
        <is>
          <t>Lowest</t>
        </is>
      </c>
      <c r="D102" t="inlineStr">
        <is>
          <t>All (assumed same)</t>
        </is>
      </c>
      <c r="E102" t="inlineStr">
        <is>
          <t>Vehicle consumption by U5 children -- any</t>
        </is>
      </c>
      <c r="F102" t="inlineStr">
        <is>
          <t>percentage</t>
        </is>
      </c>
      <c r="G102" t="inlineStr">
        <is>
          <t>%</t>
        </is>
      </c>
      <c r="I102" t="inlineStr">
        <is>
          <t>INTAKE</t>
        </is>
      </c>
      <c r="J102" s="21" t="n">
        <v>0.33600000000000002</v>
      </c>
    </row>
    <row r="103">
      <c r="A103" t="inlineStr">
        <is>
          <t>Nigeria</t>
        </is>
      </c>
      <c r="B103" t="inlineStr">
        <is>
          <t>Rice</t>
        </is>
      </c>
      <c r="C103" t="inlineStr">
        <is>
          <t>Second</t>
        </is>
      </c>
      <c r="D103" t="inlineStr">
        <is>
          <t>All (assumed same)</t>
        </is>
      </c>
      <c r="E103" t="inlineStr">
        <is>
          <t>Vehicle consumption by U5 children -- any</t>
        </is>
      </c>
      <c r="F103" t="inlineStr">
        <is>
          <t>percentage</t>
        </is>
      </c>
      <c r="G103" t="inlineStr">
        <is>
          <t>%</t>
        </is>
      </c>
      <c r="I103" t="inlineStr">
        <is>
          <t>INTAKE</t>
        </is>
      </c>
      <c r="J103" s="21" t="n">
        <v>0.44800000000000001</v>
      </c>
    </row>
    <row r="104">
      <c r="A104" t="inlineStr">
        <is>
          <t>Nigeria</t>
        </is>
      </c>
      <c r="B104" t="inlineStr">
        <is>
          <t>Rice</t>
        </is>
      </c>
      <c r="C104" t="inlineStr">
        <is>
          <t>Middle</t>
        </is>
      </c>
      <c r="D104" t="inlineStr">
        <is>
          <t>All (assumed same)</t>
        </is>
      </c>
      <c r="E104" t="inlineStr">
        <is>
          <t>Vehicle consumption by U5 children -- any</t>
        </is>
      </c>
      <c r="F104" t="inlineStr">
        <is>
          <t>percentage</t>
        </is>
      </c>
      <c r="G104" t="inlineStr">
        <is>
          <t>%</t>
        </is>
      </c>
      <c r="I104" t="inlineStr">
        <is>
          <t>INTAKE</t>
        </is>
      </c>
      <c r="J104" s="21" t="n">
        <v>0.54600000000000004</v>
      </c>
    </row>
    <row r="105">
      <c r="A105" t="inlineStr">
        <is>
          <t>Nigeria</t>
        </is>
      </c>
      <c r="B105" t="inlineStr">
        <is>
          <t>Rice</t>
        </is>
      </c>
      <c r="C105" t="inlineStr">
        <is>
          <t>Fourth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I105" t="inlineStr">
        <is>
          <t>INTAKE</t>
        </is>
      </c>
      <c r="J105" s="21" t="n">
        <v>0.63300000000000001</v>
      </c>
    </row>
    <row r="106">
      <c r="A106" t="inlineStr">
        <is>
          <t>Nigeria</t>
        </is>
      </c>
      <c r="B106" t="inlineStr">
        <is>
          <t>Rice</t>
        </is>
      </c>
      <c r="C106" t="inlineStr">
        <is>
          <t>Highest</t>
        </is>
      </c>
      <c r="D106" t="inlineStr">
        <is>
          <t>All (assumed same)</t>
        </is>
      </c>
      <c r="E106" t="inlineStr">
        <is>
          <t>Vehicle consumption by U5 children -- any</t>
        </is>
      </c>
      <c r="F106" t="inlineStr">
        <is>
          <t>percentage</t>
        </is>
      </c>
      <c r="G106" t="inlineStr">
        <is>
          <t>%</t>
        </is>
      </c>
      <c r="I106" t="inlineStr">
        <is>
          <t>INTAKE</t>
        </is>
      </c>
      <c r="J106" s="21" t="n">
        <v>0.67600000000000005</v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F1" s="33" t="inlineStr">
        <is>
          <t>Nigeria</t>
        </is>
      </c>
      <c r="N1" s="34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F2" s="33" t="inlineStr">
        <is>
          <t>Bouillon</t>
        </is>
      </c>
      <c r="J2" s="33" t="inlineStr">
        <is>
          <t>Rice</t>
        </is>
      </c>
      <c r="N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Iron</t>
        </is>
      </c>
      <c r="F3" s="33" t="inlineStr">
        <is>
          <t>Folate</t>
        </is>
      </c>
      <c r="H3" s="33" t="inlineStr">
        <is>
          <t>Iron</t>
        </is>
      </c>
      <c r="J3" s="33" t="inlineStr">
        <is>
          <t>Folate</t>
        </is>
      </c>
      <c r="L3" s="33" t="inlineStr">
        <is>
          <t>Iron</t>
        </is>
      </c>
      <c r="N3" s="33" t="inlineStr">
        <is>
          <t>Folate</t>
        </is>
      </c>
      <c r="P3" s="33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/>
      </c>
      <c r="I6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/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/>
      </c>
      <c r="I7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/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/>
      </c>
      <c r="O7" t="inlineStr">
        <is>
          <t>N/A</t>
        </is>
      </c>
      <c r="P7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/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/>
      </c>
      <c r="I8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/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/>
      </c>
      <c r="O8" t="inlineStr">
        <is>
          <t>N/A</t>
        </is>
      </c>
      <c r="P8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/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L23" sqref="L23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0.61875637104994907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0.51921079958463134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0.58409785932721714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0.63810483870967738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0.66937119675456391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0.69979716024340777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F1" s="34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>
        <f>IF(COUNTIFS('Country Extraction'!$A$2:$A$980, B$1,  'Country Extraction'!$B$2:$B$980, "All",  'Country Extraction'!$C$2:$C$980, $A5) = 0, "Missing", "Complete")</f>
        <v/>
      </c>
      <c r="C5">
        <f>IF(COUNTIFS('Country Extraction'!$A$1:$A$995, D$1, 'Country Extraction'!$B$1:$B$995, "&lt;&gt;All", 'Country Extraction'!$C$1:$C$995, $A5, 'Country Extraction'!$H$1:$H$995, "&lt;&gt;") &lt; 5, "Missing", "Complete")</f>
        <v/>
      </c>
      <c r="D5">
        <f>IF(COUNTIFS('Country Extraction'!$A$2:$A$980, D$1,  'Country Extraction'!$B$2:$B$980, "All",  'Country Extraction'!$C$2:$C$980, $A5) = 0, "Missing", "Complete")</f>
        <v/>
      </c>
      <c r="E5">
        <f>IF(COUNTIFS('Country Extraction'!$A$1:$A$995, F$1, 'Country Extraction'!$B$1:$B$995, "&lt;&gt;All", 'Country Extraction'!$C$1:$C$995, $A5, 'Country Extraction'!$H$1:$H$995, "&lt;&gt;") &lt; 5, "Missing", "Complete")</f>
        <v/>
      </c>
      <c r="F5">
        <f>IF(COUNTIFS('Country Extraction'!$A$2:$A$980, F$1,  'Country Extraction'!$B$2:$B$980, "All",  'Country Extraction'!$C$2:$C$980, $A5) = 0, "Missing", "Complete")</f>
        <v/>
      </c>
      <c r="G5">
        <f>IF(COUNTIFS('Country Extraction'!$A$1:$A$995, H$1, 'Country Extraction'!$B$1:$B$995, "&lt;&gt;All", 'Country Extraction'!$C$1:$C$995, $A5, 'Country Extraction'!$H$1:$H$995, "&lt;&gt;") &lt; 5, "Missing", "Complete")</f>
        <v/>
      </c>
    </row>
    <row r="6">
      <c r="A6" t="inlineStr">
        <is>
          <t>RBC folate levels at baseline</t>
        </is>
      </c>
      <c r="B6">
        <f>IF(COUNTIFS('Country Extraction'!$A$2:$A$980, B$1,  'Country Extraction'!$B$2:$B$980, "All",  'Country Extraction'!$C$2:$C$980, $A6) = 0, "Missing", "Complete")</f>
        <v/>
      </c>
      <c r="C6">
        <f>IF(COUNTIFS('Country Extraction'!$A$1:$A$995, D$1, 'Country Extraction'!$B$1:$B$995, "&lt;&gt;All", 'Country Extraction'!$C$1:$C$995, $A6, 'Country Extraction'!$H$1:$H$995, "&lt;&gt;") &lt; 5, "Missing", "Complete")</f>
        <v/>
      </c>
      <c r="D6">
        <f>IF(COUNTIFS('Country Extraction'!$A$2:$A$980, D$1,  'Country Extraction'!$B$2:$B$980, "All",  'Country Extraction'!$C$2:$C$980, $A6) = 0, "Missing", "Complete")</f>
        <v/>
      </c>
      <c r="E6">
        <f>IF(COUNTIFS('Country Extraction'!$A$1:$A$995, F$1, 'Country Extraction'!$B$1:$B$995, "&lt;&gt;All", 'Country Extraction'!$C$1:$C$995, $A6, 'Country Extraction'!$H$1:$H$995, "&lt;&gt;") &lt; 5, "Missing", "Complete")</f>
        <v/>
      </c>
      <c r="F6">
        <f>IF(COUNTIFS('Country Extraction'!$A$2:$A$980, F$1,  'Country Extraction'!$B$2:$B$980, "All",  'Country Extraction'!$C$2:$C$980, $A6) = 0, "Missing", "Complete")</f>
        <v/>
      </c>
      <c r="G6">
        <f>IF(COUNTIFS('Country Extraction'!$A$1:$A$995, H$1, 'Country Extraction'!$B$1:$B$995, "&lt;&gt;All", 'Country Extraction'!$C$1:$C$995, $A6, 'Country Extraction'!$H$1:$H$995, "&lt;&gt;") &lt; 5, "Missing", "Complete")</f>
        <v/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>
        <f>IF(COUNTIFS('Country Extraction'!$A$1:$A$995, F$1, 'Country Extraction'!$B$1:$B$995, "&lt;&gt;All", 'Country Extraction'!$C$1:$C$995, $A10, 'Country Extraction'!$H$1:$H$995, "&lt;&gt;") &lt; 5, "Missing", "Complete")</f>
        <v/>
      </c>
      <c r="F10" t="inlineStr">
        <is>
          <t>GBD</t>
        </is>
      </c>
      <c r="G10">
        <f>IF(COUNTIFS('Country Extraction'!$A$1:$A$995, H$1, 'Country Extraction'!$B$1:$B$995, "&lt;&gt;All", 'Country Extraction'!$C$1:$C$995, $A10, 'Country Extraction'!$H$1:$H$995, "&lt;&gt;") &lt; 5, "Missing", "Complete")</f>
        <v/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>
        <f>IF(COUNTIFS('Country Extraction'!$A$1:$A$995, F$1, 'Country Extraction'!$B$1:$B$995, "&lt;&gt;All", 'Country Extraction'!$C$1:$C$995, $A11, 'Country Extraction'!$H$1:$H$995, "&lt;&gt;") &lt; 5, "Missing", "Complete")</f>
        <v/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>
        <f>IF(COUNTIFS('Country Extraction'!$A$1:$A$995, D$1, 'Country Extraction'!$B$1:$B$995, "&lt;&gt;All", 'Country Extraction'!$C$1:$C$995, $A15, 'Country Extraction'!$H$1:$H$995, "&lt;&gt;") &lt; 5, "Missing", "Complete")</f>
        <v/>
      </c>
      <c r="D15" t="inlineStr">
        <is>
          <t>GBD</t>
        </is>
      </c>
      <c r="E15">
        <f>IF(COUNTIFS('Country Extraction'!$A$1:$A$995, F$1, 'Country Extraction'!$B$1:$B$995, "&lt;&gt;All", 'Country Extraction'!$C$1:$C$995, $A15, 'Country Extraction'!$H$1:$H$995, "&lt;&gt;") &lt; 5, "Missing", "Complete")</f>
        <v/>
      </c>
      <c r="F15" t="inlineStr">
        <is>
          <t>GBD</t>
        </is>
      </c>
      <c r="G15">
        <f>IF(COUNTIFS('Country Extraction'!$A$1:$A$995, H$1, 'Country Extraction'!$B$1:$B$995, "&lt;&gt;All", 'Country Extraction'!$C$1:$C$995, $A15, 'Country Extraction'!$H$1:$H$995, "&lt;&gt;") &lt; 5, "Missing", "Complete")</f>
        <v/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3" t="inlineStr">
        <is>
          <t>Salt</t>
        </is>
      </c>
      <c r="C1" s="33" t="inlineStr">
        <is>
          <t>Bouillon</t>
        </is>
      </c>
      <c r="D1" s="34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>
        <f>IF(COUNTIFS('Vehicle Extraction'!$A$2:$A$904, C$1,  'Vehicle Extraction'!$B$2:$B$904, $A3) = 0, "Missing", "Complete")</f>
        <v/>
      </c>
      <c r="D3">
        <f>IF(COUNTIFS('Vehicle Extraction'!$A$2:$A$904, D$1,  'Vehicle Extraction'!$B$2:$B$904, $A3) = 0, "Missing", "Complete")</f>
        <v/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>
        <f>IF(COUNTIFS('Vehicle Extraction'!$A$2:$A$904, C$1,  'Vehicle Extraction'!$B$2:$B$904, $A4) = 0, "Missing", "Complete")</f>
        <v/>
      </c>
      <c r="D4">
        <f>IF(COUNTIFS('Vehicle Extraction'!$A$2:$A$904, D$1,  'Vehicle Extraction'!$B$2:$B$904, $A4) = 0, "Missing", "Complete")</f>
        <v/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I4" activePane="bottomLeft" state="frozen"/>
      <selection pane="bottomLeft" activeCell="I4" sqref="I4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01.4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4.4000000000000004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2" sqref="A2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26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Folate</t>
        </is>
      </c>
      <c r="E3" s="33" t="inlineStr">
        <is>
          <t>Iron</t>
        </is>
      </c>
      <c r="F3" s="33" t="inlineStr">
        <is>
          <t>Folate</t>
        </is>
      </c>
      <c r="G3" s="33" t="inlineStr">
        <is>
          <t>Iron</t>
        </is>
      </c>
      <c r="H3" s="33" t="inlineStr">
        <is>
          <t>Folate</t>
        </is>
      </c>
      <c r="I3" s="33" t="inlineStr">
        <is>
          <t>Iron</t>
        </is>
      </c>
    </row>
    <row r="4" ht="15" customHeight="1">
      <c r="A4" s="30" t="inlineStr">
        <is>
          <t>Scenario</t>
        </is>
      </c>
      <c r="B4" s="31" t="inlineStr">
        <is>
          <t>Intervention - 25% NRV</t>
        </is>
      </c>
      <c r="C4" s="31" t="inlineStr">
        <is>
          <t>Intervention - 100% NRV</t>
        </is>
      </c>
      <c r="D4" s="31" t="inlineStr">
        <is>
          <t>Intervention</t>
        </is>
      </c>
      <c r="E4" s="31" t="inlineStr">
        <is>
          <t>Intervention</t>
        </is>
      </c>
      <c r="F4" s="31" t="inlineStr">
        <is>
          <t>Intervention</t>
        </is>
      </c>
      <c r="G4" s="31" t="inlineStr">
        <is>
          <t>Intervention</t>
        </is>
      </c>
      <c r="H4" s="31" t="inlineStr">
        <is>
          <t>Intervention</t>
        </is>
      </c>
      <c r="I4" s="31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H5" s="1" t="n"/>
    </row>
    <row r="6" ht="15" customHeight="1">
      <c r="A6" t="inlineStr">
        <is>
          <t>Vehicle fortification in intervention -- amount among fortified</t>
        </is>
      </c>
      <c r="B6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$A6) = 0, "Missing", "Complete")</f>
        <v/>
      </c>
      <c r="C6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$A6) = 0, "Missing", "Complete")</f>
        <v/>
      </c>
      <c r="D6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$A6) = 0, "Missing", "Complete")</f>
        <v/>
      </c>
      <c r="E6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$A6) = 0, "Missing", "Complete")</f>
        <v/>
      </c>
      <c r="F6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$A6) = 0, "Missing", "Complete")</f>
        <v/>
      </c>
      <c r="G6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$A6) = 0, "Missing", "Complete")</f>
        <v/>
      </c>
      <c r="H6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$A6) = 0, "Missing", "Complete")</f>
        <v/>
      </c>
      <c r="I6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$A6) = 0, "Missing", "Complete")</f>
        <v/>
      </c>
    </row>
    <row r="7" ht="15" customHeight="1">
      <c r="A7" t="inlineStr">
        <is>
          <t>Intervention coverage % of fortifiable</t>
        </is>
      </c>
      <c r="B7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$A7) = 0, "Missing", "Complete")</f>
        <v/>
      </c>
      <c r="C7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$A7) = 0, "Missing", "Complete")</f>
        <v/>
      </c>
      <c r="D7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$A7) = 0, "Missing", "Complete")</f>
        <v/>
      </c>
      <c r="E7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$A7) = 0, "Missing", "Complete")</f>
        <v/>
      </c>
      <c r="F7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$A7) = 0, "Missing", "Complete")</f>
        <v/>
      </c>
      <c r="G7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$A7) = 0, "Missing", "Complete")</f>
        <v/>
      </c>
      <c r="H7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$A7) = 0, "Missing", "Complete")</f>
        <v/>
      </c>
      <c r="I7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$A7) = 0, "Missing", "Complete")</f>
        <v/>
      </c>
    </row>
    <row r="8" ht="15" customHeight="1">
      <c r="A8" t="inlineStr">
        <is>
          <t>Intervention effective % of fortified</t>
        </is>
      </c>
      <c r="B8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$A8) = 0, "Missing", "Complete")</f>
        <v/>
      </c>
      <c r="C8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$A8) = 0, "Missing", "Complete")</f>
        <v/>
      </c>
      <c r="D8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$A8) = 0, "Missing", "Complete")</f>
        <v/>
      </c>
      <c r="E8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$A8) = 0, "Missing", "Complete")</f>
        <v/>
      </c>
      <c r="F8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$A8) = 0, "Missing", "Complete")</f>
        <v/>
      </c>
      <c r="G8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$A8) = 0, "Missing", "Complete")</f>
        <v/>
      </c>
      <c r="H8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$A8) = 0, "Missing", "Complete")</f>
        <v/>
      </c>
      <c r="I8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$A8) = 0, "Missing", "Complete")</f>
        <v/>
      </c>
    </row>
  </sheetData>
  <mergeCells count="8">
    <mergeCell ref="F2:G2"/>
    <mergeCell ref="B2:C2"/>
    <mergeCell ref="H2:I2"/>
    <mergeCell ref="D2:E2"/>
    <mergeCell ref="B3:C3"/>
    <mergeCell ref="H1:I1"/>
    <mergeCell ref="D1:G1"/>
    <mergeCell ref="B1:C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J22" sqref="J22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Jonathan Gorstein, 8/15</t>
        </is>
      </c>
      <c r="I2" s="7" t="n">
        <v>0.9</v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Jonathan Gorstein, 8/15</t>
        </is>
      </c>
      <c r="I3" s="7" t="n">
        <v>0.9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Jonathan Gorstein, 8/30</t>
        </is>
      </c>
      <c r="I4" s="7" t="n">
        <v>0.9</v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Jonathan Gorstein, 8/30</t>
        </is>
      </c>
      <c r="I5" s="7" t="n">
        <v>0.9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Andy Garcia email 7/26</t>
        </is>
      </c>
      <c r="I6" s="7" t="n">
        <v>0.8</v>
      </c>
      <c r="J6" t="inlineStr">
        <is>
          <t>Confirmed by Jonathan Gorstein, 8/15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Andy Garcia email 7/26</t>
        </is>
      </c>
      <c r="I7" s="7" t="n">
        <v>0.8</v>
      </c>
      <c r="J7" t="inlineStr">
        <is>
          <t>Confirmed by Jonathan Gorstein, 8/15</t>
        </is>
      </c>
    </row>
    <row r="8">
      <c r="A8" t="inlineStr">
        <is>
          <t>India</t>
        </is>
      </c>
      <c r="B8" t="inlineStr">
        <is>
          <t>Rice</t>
        </is>
      </c>
      <c r="C8" t="inlineStr">
        <is>
          <t>Iron</t>
        </is>
      </c>
      <c r="D8" t="inlineStr">
        <is>
          <t>Intervention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Andy Garcia email 7/26</t>
        </is>
      </c>
      <c r="I8" s="7" t="n">
        <v>0.8</v>
      </c>
      <c r="J8" t="inlineStr">
        <is>
          <t>Confirmed by Jonathan Gorstein, 8/15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Folate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Andy Garcia email 7/26</t>
        </is>
      </c>
      <c r="I9" s="7" t="n">
        <v>0.8</v>
      </c>
      <c r="J9" t="inlineStr">
        <is>
          <t>Confirmed by Jonathan Gorstein, 8/15</t>
        </is>
      </c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Intervention</t>
        </is>
      </c>
      <c r="E10" t="inlineStr">
        <is>
          <t>Intervention effective % of fortified</t>
        </is>
      </c>
      <c r="F10" t="inlineStr">
        <is>
          <t>percentage</t>
        </is>
      </c>
      <c r="G10" t="inlineStr">
        <is>
          <t>%</t>
        </is>
      </c>
      <c r="H10" t="inlineStr">
        <is>
          <t>Jonathan Gorstein, 8/15</t>
        </is>
      </c>
      <c r="I10" s="7" t="n">
        <v>0.9</v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Folate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Jonathan Gorstein, 8/15</t>
        </is>
      </c>
      <c r="I11" s="7" t="n">
        <v>0.9</v>
      </c>
    </row>
    <row r="12">
      <c r="A12" t="inlineStr">
        <is>
          <t>Nigeria</t>
        </is>
      </c>
      <c r="B12" t="inlineStr">
        <is>
          <t>Rice</t>
        </is>
      </c>
      <c r="C12" t="inlineStr">
        <is>
          <t>Iron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Jonathan Gorstein, 8/30</t>
        </is>
      </c>
      <c r="I12" s="7" t="n">
        <v>0.9</v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Folate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Jonathan Gorstein, 8/30</t>
        </is>
      </c>
      <c r="I13" s="7" t="n">
        <v>0.9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Folate</t>
        </is>
      </c>
      <c r="D14" t="inlineStr">
        <is>
          <t>Intervention - 25% NRV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Jonathan Gorstein, 8/15</t>
        </is>
      </c>
      <c r="I14" s="7" t="n">
        <v>0.9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- 100%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Jonathan Gorstein, 8/15</t>
        </is>
      </c>
      <c r="I15" s="7" t="n">
        <v>0.9</v>
      </c>
    </row>
    <row r="16">
      <c r="A16" t="inlineStr">
        <is>
          <t>India</t>
        </is>
      </c>
      <c r="B16" t="inlineStr">
        <is>
          <t>Rice</t>
        </is>
      </c>
      <c r="C16" t="inlineStr">
        <is>
          <t>Iron</t>
        </is>
      </c>
      <c r="D16" t="inlineStr">
        <is>
          <t>Intervention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Andy Garcia email 7/26</t>
        </is>
      </c>
      <c r="I16" s="7" t="n">
        <v>0.8</v>
      </c>
    </row>
    <row r="17">
      <c r="A17" t="inlineStr">
        <is>
          <t>India</t>
        </is>
      </c>
      <c r="B17" t="inlineStr">
        <is>
          <t>Rice</t>
        </is>
      </c>
      <c r="C17" t="inlineStr">
        <is>
          <t>Folate</t>
        </is>
      </c>
      <c r="D17" t="inlineStr">
        <is>
          <t>Intervention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Andy Garcia email 7/26</t>
        </is>
      </c>
      <c r="I17" s="7" t="n">
        <v>0.8</v>
      </c>
    </row>
    <row r="18" ht="43.5" customHeight="1">
      <c r="A18" t="inlineStr">
        <is>
          <t>Nigeria</t>
        </is>
      </c>
      <c r="B18" t="inlineStr">
        <is>
          <t>Bouillon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Vehicle fortification in intervention -- amount among fortified</t>
        </is>
      </c>
      <c r="F18" t="inlineStr">
        <is>
          <t>concentration</t>
        </is>
      </c>
      <c r="G18" t="inlineStr">
        <is>
          <t>mcg/g</t>
        </is>
      </c>
      <c r="H18" t="inlineStr">
        <is>
          <t>Andy Garcia email 7/26</t>
        </is>
      </c>
      <c r="I18" t="n">
        <v>1320</v>
      </c>
      <c r="J18" s="5" t="inlineStr">
        <is>
          <t>15% Nigeria-specific NRV per 2.5 grams; https://www.wolframalpha.com/input?i=15%25+of+22mg+per+2.5+grams+in+mcg%2Fg</t>
        </is>
      </c>
    </row>
    <row r="19" ht="43.5" customHeight="1">
      <c r="A19" t="inlineStr">
        <is>
          <t>Nigeria</t>
        </is>
      </c>
      <c r="B19" t="inlineStr">
        <is>
          <t>Bouillon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Vehicle fortification in intervention -- amount among fortified</t>
        </is>
      </c>
      <c r="F19" t="inlineStr">
        <is>
          <t>concentration</t>
        </is>
      </c>
      <c r="G19" t="inlineStr">
        <is>
          <t>mcg/g</t>
        </is>
      </c>
      <c r="H19" t="inlineStr">
        <is>
          <t>Andy Garcia email 7/26</t>
        </is>
      </c>
      <c r="I19" t="n">
        <v>24</v>
      </c>
      <c r="J19" s="5" t="inlineStr">
        <is>
          <t>15% Codex (60mcg) per 2.5 grams; https://www.wolframalpha.com/input?i=15%25+of+400mcg+per+2.5+grams+in+mcg%2Fg</t>
        </is>
      </c>
    </row>
    <row r="20" ht="29.25" customHeight="1">
      <c r="A20" t="inlineStr">
        <is>
          <t>Nigeria</t>
        </is>
      </c>
      <c r="B20" t="inlineStr">
        <is>
          <t>Rice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Jonathan Gorstein email 8/30</t>
        </is>
      </c>
      <c r="I20" t="n">
        <v>40</v>
      </c>
      <c r="J20" s="14" t="inlineStr">
        <is>
          <t>https://www.wolframalpha.com/input?i=4+mg%2F100g+in+mcg%2Fg</t>
        </is>
      </c>
    </row>
    <row r="21" ht="29.25" customHeight="1">
      <c r="A21" t="inlineStr">
        <is>
          <t>Nigeria</t>
        </is>
      </c>
      <c r="B21" t="inlineStr">
        <is>
          <t>Rice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Jonathan Gorstein email 8/30</t>
        </is>
      </c>
      <c r="I21" t="n">
        <v>1.69</v>
      </c>
      <c r="J21" s="14" t="inlineStr">
        <is>
          <t>https://www.wolframalpha.com/input?i=0.169+mg%2F100g+in+mcg%2Fg</t>
        </is>
      </c>
    </row>
    <row r="22">
      <c r="A22" t="inlineStr">
        <is>
          <t>Ethiopia</t>
        </is>
      </c>
      <c r="B22" t="inlineStr">
        <is>
          <t>Salt</t>
        </is>
      </c>
      <c r="C22" t="inlineStr">
        <is>
          <t>Folate</t>
        </is>
      </c>
      <c r="D22" t="inlineStr">
        <is>
          <t>Intervention - 25% NRV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Andy Garcia email 7/26</t>
        </is>
      </c>
      <c r="I22" t="n">
        <v>14.084507042253522</v>
      </c>
      <c r="J22" t="inlineStr">
        <is>
          <t>25% Codex (100mcg) per 7.1 grams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Intervention - 100% NRV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Andy Garcia email 7/26</t>
        </is>
      </c>
      <c r="I23" t="n">
        <v>56.338028169014088</v>
      </c>
      <c r="J23" t="inlineStr">
        <is>
          <t>100% Codex (400mcg) per 7.1 grams</t>
        </is>
      </c>
    </row>
    <row r="24">
      <c r="A24" t="inlineStr">
        <is>
          <t>India</t>
        </is>
      </c>
      <c r="B24" t="inlineStr">
        <is>
          <t>Rice</t>
        </is>
      </c>
      <c r="C24" t="inlineStr">
        <is>
          <t>Iron</t>
        </is>
      </c>
      <c r="D24" t="inlineStr">
        <is>
          <t>Intervention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FSSAI</t>
        </is>
      </c>
      <c r="I24" t="n">
        <v>42.5</v>
      </c>
      <c r="J24" t="inlineStr">
        <is>
          <t>Same as baseline, PDS rice; see county-vehicle-fort extraction</t>
        </is>
      </c>
    </row>
    <row r="25" ht="15" customHeight="1">
      <c r="A25" t="inlineStr">
        <is>
          <t>India</t>
        </is>
      </c>
      <c r="B25" t="inlineStr">
        <is>
          <t>Rice</t>
        </is>
      </c>
      <c r="C25" t="inlineStr">
        <is>
          <t>Folate</t>
        </is>
      </c>
      <c r="D25" t="inlineStr">
        <is>
          <t>Intervention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6" t="inlineStr">
        <is>
          <t>https://nyaspubs.onlinelibrary.wiley.com/doi/full/10.1111/nyas.12478</t>
        </is>
      </c>
      <c r="I25" t="n">
        <v>1.3</v>
      </c>
      <c r="J25" s="6" t="inlineStr">
        <is>
          <t>https://www.wolframalpha.com/input?i=0.13+mg%2F100g+in+mcg%2Fg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D3" sqref="D3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2024-07-16T18:29:07Z</dcterms:created>
  <dcterms:modified xsi:type="dcterms:W3CDTF">2026-08-28T21:33:23Z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