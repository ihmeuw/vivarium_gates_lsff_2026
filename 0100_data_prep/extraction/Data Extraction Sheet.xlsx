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1" activeTab="1" autoFilterDateGrouping="1"/>
  </bookViews>
  <sheets>
    <sheet name="Country-Vehicle Progress" sheetId="1" state="visible" r:id="rId1"/>
    <sheet name="Country-Vehicle Extraction" sheetId="2" state="visible" r:id="rId2"/>
    <sheet name="Country-Vehicle-Fortif Progress" sheetId="3" state="visible" r:id="rId3"/>
    <sheet name="Country-Vehicle-Fort Extraction" sheetId="4" state="visible" r:id="rId4"/>
    <sheet name="Country Progress" sheetId="5" state="visible" r:id="rId5"/>
    <sheet name="Country Extraction" sheetId="6" state="visible" r:id="rId6"/>
    <sheet name="Vehicle Progress" sheetId="7" state="visible" r:id="rId7"/>
    <sheet name="Vehicle Extraction" sheetId="8" state="visible" r:id="rId8"/>
    <sheet name="Universal" sheetId="9" state="visible" r:id="rId9"/>
    <sheet name="Scenario Definition Progress" sheetId="10" state="visible" r:id="rId10"/>
    <sheet name="Scenario Definition Extraction" sheetId="11" state="visible" r:id="rId11"/>
    <sheet name="Data Sources" sheetId="12" state="visible" r:id="rId12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9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rgb="FF000000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color rgb="FF000000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charset val="1"/>
      <color rgb="FF444444"/>
      <sz val="11"/>
    </font>
    <font>
      <name val="Aptos"/>
      <charset val="1"/>
      <color rgb="FF000000"/>
      <sz val="11"/>
    </font>
    <font>
      <name val="Aptos"/>
      <charset val="1"/>
      <sz val="12"/>
    </font>
    <font>
      <name val="Aptos"/>
      <charset val="1"/>
      <b val="1"/>
      <sz val="12"/>
    </font>
    <font>
      <name val="Aptos"/>
      <charset val="1"/>
      <sz val="11"/>
    </font>
    <font>
      <name val="Aptos Narrow"/>
      <charset val="1"/>
      <color rgb="FF000000"/>
      <sz val="11"/>
    </font>
    <font>
      <name val="Aptos Narrow"/>
      <color rgb="FF000000"/>
      <sz val="11"/>
      <scheme val="minor"/>
    </font>
    <font>
      <name val="Aptos Narrow"/>
      <b val="1"/>
      <color theme="1"/>
      <sz val="11"/>
      <scheme val="minor"/>
    </font>
    <font>
      <name val="Aptos Narrow"/>
      <color theme="1"/>
      <sz val="11"/>
      <scheme val="minor"/>
    </font>
    <font>
      <name val="Aptos Narrow"/>
      <color theme="10"/>
      <sz val="11"/>
      <u val="single"/>
      <scheme val="minor"/>
    </font>
    <font>
      <name val="Aptos Narrow"/>
      <i val="1"/>
      <color rgb="FF000000"/>
      <sz val="11"/>
      <scheme val="minor"/>
    </font>
    <font>
      <name val="Aptos Narrow"/>
      <family val="2"/>
      <b val="1"/>
      <color rgb="FF000000"/>
      <sz val="11"/>
      <scheme val="minor"/>
    </font>
    <font>
      <name val="Aptos Narrow"/>
      <family val="2"/>
      <i val="1"/>
      <color rgb="FF000000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0" fontId="5" fillId="0" borderId="0" pivotButton="0" quotePrefix="0" xfId="1"/>
    <xf numFmtId="9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0" fontId="9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10" fillId="0" borderId="0" applyAlignment="1" pivotButton="0" quotePrefix="0" xfId="0">
      <alignment wrapText="1"/>
    </xf>
    <xf numFmtId="0" fontId="5" fillId="0" borderId="0" applyAlignment="1" pivotButton="0" quotePrefix="0" xfId="1">
      <alignment wrapText="1"/>
    </xf>
    <xf numFmtId="0" fontId="11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1"/>
    <xf numFmtId="9" fontId="0" fillId="0" borderId="0" applyAlignment="1" pivotButton="0" quotePrefix="0" xfId="0">
      <alignment wrapText="1"/>
    </xf>
    <xf numFmtId="1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1"/>
    <xf numFmtId="0" fontId="12" fillId="2" borderId="0" pivotButton="0" quotePrefix="0" xfId="0"/>
    <xf numFmtId="0" fontId="12" fillId="0" borderId="0" pivotButton="0" quotePrefix="0" xfId="0"/>
    <xf numFmtId="49" fontId="1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16" fillId="0" borderId="0" pivotButton="0" quotePrefix="0" xfId="0"/>
    <xf numFmtId="0" fontId="12" fillId="0" borderId="0" applyAlignment="1" pivotButton="0" quotePrefix="0" xfId="0">
      <alignment horizontal="center"/>
    </xf>
    <xf numFmtId="0" fontId="7" fillId="0" borderId="0" applyAlignment="1" pivotButton="0" quotePrefix="0" xfId="0">
      <alignment wrapText="1"/>
    </xf>
    <xf numFmtId="0" fontId="12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17" fillId="0" borderId="0" applyAlignment="1" pivotButton="0" quotePrefix="0" xfId="0">
      <alignment horizontal="center"/>
    </xf>
    <xf numFmtId="0" fontId="17" fillId="0" borderId="0" pivotButton="0" quotePrefix="0" xfId="0"/>
    <xf numFmtId="0" fontId="18" fillId="0" borderId="0" pivotButton="0" quotePrefix="0" xfId="0"/>
    <xf numFmtId="0" fontId="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9" fontId="0" fillId="3" borderId="0" pivotButton="0" quotePrefix="0" xfId="0"/>
    <xf numFmtId="0" fontId="0" fillId="0" borderId="0" applyAlignment="1" pivotButton="0" quotePrefix="0" xfId="1">
      <alignment wrapText="1"/>
    </xf>
    <xf numFmtId="0" fontId="5" fillId="0" borderId="0" pivotButton="0" quotePrefix="0" xfId="0"/>
    <xf numFmtId="0" fontId="0" fillId="0" borderId="0" pivotButton="0" quotePrefix="0" xfId="1"/>
  </cellXfs>
  <cellStyles count="2">
    <cellStyle name="Normal" xfId="0" builtinId="0"/>
    <cellStyle name="Hyperlink" xfId="1" builtinId="8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ncbi.nlm.nih.gov/pmc/articles/PMC10195378/;%20among%20all%20adults" TargetMode="External" Id="rId1" /><Relationship Type="http://schemas.openxmlformats.org/officeDocument/2006/relationships/hyperlink" Target="https://www.ncbi.nlm.nih.gov/pmc/articles/PMC10195378/;%20among%20all%20adults" TargetMode="External" Id="rId2" /><Relationship Type="http://schemas.openxmlformats.org/officeDocument/2006/relationships/hyperlink" Target="https://www.unicef.org/nigeria/media/9271/file/%20National%20Food%20Consumption%20and%20Micronutrient%20Survey%20(2021).pdf" TargetMode="External" Id="rId3" /></Relationships>
</file>

<file path=xl/worksheets/_rels/sheet6.xml.rels><Relationships xmlns="http://schemas.openxmlformats.org/package/2006/relationships"><Relationship Type="http://schemas.openxmlformats.org/officeDocument/2006/relationships/hyperlink" Target="file:///J:\DATA\DHS_PROG_DHS\ETH\2016\ETH_DHS7_2016_REP_QUEST_Y2017M08D15.PDF" TargetMode="External" Id="rId1" /><Relationship Type="http://schemas.openxmlformats.org/officeDocument/2006/relationships/hyperlink" Target="file:///J:\DATA\DHS_PROG_DHS\ETH\2016\ETH_DHS7_2016_REP_QUEST_Y2017M08D15.PDF" TargetMode="External" Id="rId2" /><Relationship Type="http://schemas.openxmlformats.org/officeDocument/2006/relationships/hyperlink" Target="file:///J:\DATA\DHS_PROG_DHS\ETH\2016\ETH_DHS7_2016_REP_QUEST_Y2017M08D15.PDF" TargetMode="External" Id="rId3" /><Relationship Type="http://schemas.openxmlformats.org/officeDocument/2006/relationships/hyperlink" Target="file:///J:\DATA\DHS_PROG_DHS\ETH\2016\ETH_DHS7_2016_REP_QUEST_Y2017M08D15.PDF" TargetMode="External" Id="rId4" /><Relationship Type="http://schemas.openxmlformats.org/officeDocument/2006/relationships/hyperlink" Target="file:///J:\DATA\DHS_PROG_DHS\ETH\2016\ETH_DHS7_2016_REP_QUEST_Y2017M08D15.PDF" TargetMode="External" Id="rId5" /><Relationship Type="http://schemas.openxmlformats.org/officeDocument/2006/relationships/hyperlink" Target="file:///J:\DATA\DHS_PROG_DHS\NGA\2018\NGA_DHS7_2018_REP_QUEST_Y2019M11D05.PDF" TargetMode="External" Id="rId6" /><Relationship Type="http://schemas.openxmlformats.org/officeDocument/2006/relationships/hyperlink" Target="file:///J:\DATA\DHS_PROG_DHS\NGA\2018\NGA_DHS7_2018_REP_QUEST_Y2019M11D05.PDF" TargetMode="External" Id="rId7" /><Relationship Type="http://schemas.openxmlformats.org/officeDocument/2006/relationships/hyperlink" Target="file:///J:\DATA\DHS_PROG_DHS\NGA\2018\NGA_DHS7_2018_REP_QUEST_Y2019M11D05.PDF" TargetMode="External" Id="rId8" /><Relationship Type="http://schemas.openxmlformats.org/officeDocument/2006/relationships/hyperlink" Target="file:///J:\DATA\DHS_PROG_DHS\NGA\2018\NGA_DHS7_2018_REP_QUEST_Y2019M11D05.PDF" TargetMode="External" Id="rId9" /><Relationship Type="http://schemas.openxmlformats.org/officeDocument/2006/relationships/hyperlink" Target="file:///J:\DATA\DHS_PROG_DHS\NGA\2018\NGA_DHS7_2018_REP_QUEST_Y2019M11D05.PDF" TargetMode="External" Id="rId10" /><Relationship Type="http://schemas.openxmlformats.org/officeDocument/2006/relationships/hyperlink" Target="https://pubmed.ncbi.nlm.nih.gov/29363759/" TargetMode="External" Id="rId1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ncbi.nlm.nih.gov/pmc/articles/PMC7882357/;%20meta-analysis%20of%2022%20studies" TargetMode="External" Id="rId1" /><Relationship Type="http://schemas.openxmlformats.org/officeDocument/2006/relationships/hyperlink" Target="https://www.sciencedirect.com/science/article/pii/S0002916523028915;%20could%20not%20find%20anything%20bouillon-specific" TargetMode="External" Id="rId2" /><Relationship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 Id="rId3" /><Relationship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 Id="rId4" /></Relationships>
</file>

<file path=xl/worksheets/_rels/sheet9.xml.rels><Relationships xmlns="http://schemas.openxmlformats.org/package/2006/relationships"><Relationship Type="http://schemas.openxmlformats.org/officeDocument/2006/relationships/hyperlink" Target="https://iris.who.int/bitstream/handle/10665/272535/9789241550291-eng.pdf?ua=1%20found%20a%20single%20study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wolframalpha.com/input?i=4+mg%2F100g+in+mcg%2Fg" TargetMode="External" Id="rId1" /><Relationship Type="http://schemas.openxmlformats.org/officeDocument/2006/relationships/hyperlink" Target="https://www.wolframalpha.com/input?i=0.169+mg%2F100g+in+mcg%2Fg" TargetMode="External" Id="rId2" /><Relationship Type="http://schemas.openxmlformats.org/officeDocument/2006/relationships/hyperlink" Target="https://nyaspubs.onlinelibrary.wiley.com/doi/full/10.1111/nyas.12478" TargetMode="External" Id="rId3" /><Relationship Type="http://schemas.openxmlformats.org/officeDocument/2006/relationships/hyperlink" Target="https://www.wolframalpha.com/input?i=0.13+mg%2F100g+in+mcg%2Fg" TargetMode="External" Id="rId4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unicef.org/nigeria/media/9271/file/%20National%20Food%20Consumption%20and%20Micronutrient%20Survey%20(2021).pdf" TargetMode="External" Id="rId1" /><Relationship Type="http://schemas.openxmlformats.org/officeDocument/2006/relationships/hyperlink" Target="https://www.dhsprogram.com/pubs/pdf/DHSG4/Recode7_DHS_10Sep2018_DHSG4.pdf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G7" sqref="G7"/>
    </sheetView>
  </sheetViews>
  <sheetFormatPr baseColWidth="8" defaultRowHeight="14.45"/>
  <cols>
    <col width="58.28515625" bestFit="1" customWidth="1" min="1" max="1"/>
    <col width="12.42578125" bestFit="1" customWidth="1" min="2" max="2"/>
    <col width="15.5703125" bestFit="1" customWidth="1" min="3" max="3"/>
    <col width="9.7109375" bestFit="1" customWidth="1" min="4" max="4"/>
    <col width="15.85546875" bestFit="1" customWidth="1" min="8" max="9"/>
  </cols>
  <sheetData>
    <row r="1" ht="15" customHeight="1">
      <c r="A1" s="3" t="inlineStr">
        <is>
          <t>Country</t>
        </is>
      </c>
      <c r="B1" s="34" t="inlineStr">
        <is>
          <t>Ethiopia</t>
        </is>
      </c>
      <c r="D1" s="34" t="inlineStr">
        <is>
          <t>Nigeria</t>
        </is>
      </c>
      <c r="H1" s="34" t="inlineStr">
        <is>
          <t>India</t>
        </is>
      </c>
    </row>
    <row r="2" ht="15" customHeight="1">
      <c r="A2" s="3" t="inlineStr">
        <is>
          <t>Vehicle</t>
        </is>
      </c>
      <c r="B2" s="34" t="inlineStr">
        <is>
          <t>Salt</t>
        </is>
      </c>
      <c r="D2" s="34" t="inlineStr">
        <is>
          <t>Bouillon</t>
        </is>
      </c>
      <c r="F2" s="34" t="inlineStr">
        <is>
          <t>Rice</t>
        </is>
      </c>
      <c r="H2" s="34" t="inlineStr">
        <is>
          <t>Rice</t>
        </is>
      </c>
    </row>
    <row r="3" ht="15" customHeight="1">
      <c r="A3" s="3" t="inlineStr">
        <is>
          <t>Wealth</t>
        </is>
      </c>
      <c r="B3" s="2" t="inlineStr">
        <is>
          <t>Overall</t>
        </is>
      </c>
      <c r="C3" s="1" t="inlineStr">
        <is>
          <t>Quintile</t>
        </is>
      </c>
      <c r="D3" s="2" t="inlineStr">
        <is>
          <t>Overall</t>
        </is>
      </c>
      <c r="E3" s="1" t="inlineStr">
        <is>
          <t>Quintile</t>
        </is>
      </c>
      <c r="F3" s="2" t="inlineStr">
        <is>
          <t>Overall</t>
        </is>
      </c>
      <c r="G3" s="1" t="inlineStr">
        <is>
          <t>Quintile</t>
        </is>
      </c>
      <c r="H3" s="2" t="inlineStr">
        <is>
          <t>Overall</t>
        </is>
      </c>
      <c r="I3" s="1" t="inlineStr">
        <is>
          <t>Quintile</t>
        </is>
      </c>
    </row>
    <row r="4" ht="15" customHeight="1">
      <c r="A4" s="1" t="inlineStr">
        <is>
          <t>Data need</t>
        </is>
      </c>
      <c r="B4" s="1" t="n"/>
      <c r="C4" s="1" t="n"/>
      <c r="D4" s="1" t="n"/>
      <c r="E4" s="1" t="n"/>
      <c r="F4" s="1" t="n"/>
      <c r="G4" s="1" t="n"/>
    </row>
    <row r="5" ht="15" customHeight="1">
      <c r="A5" t="inlineStr">
        <is>
          <t>Vehicle consumption by WRA -- any</t>
        </is>
      </c>
      <c r="B5" t="str">
        <f>IF(COUNTIFS('Country-Vehicle Extraction'!$A$2:$A$989, B$1,  'Country-Vehicle Extraction'!$B$2:$B$989, B$2,  'Country-Vehicle Extraction'!$C$2:$C$989, "Total",  'Country-Vehicle Extraction'!$E$2:$E$989, $A5, 'Country-Vehicle Extraction'!$J$2:$J$989, "&lt;&gt;") = 0, "Missing", "Complete")</f>
        <v>Missing</v>
      </c>
      <c r="C5" t="str">
        <f>IF(COUNTIFS('Country-Vehicle Extraction'!$A$2:$A$989, B$1,  'Country-Vehicle Extraction'!$B$2:$B$989, B$2,  'Country-Vehicle Extraction'!$C$2:$C$989, "&lt;&gt;All",  'Country-Vehicle Extraction'!E$2:E$989, $A5, 'Country-Vehicle Extraction'!$J$2:$J$989, "&lt;&gt;") = 0, "Missing", "Complete")</f>
        <v>Complete</v>
      </c>
      <c r="D5" t="str">
        <f>IF(COUNTIFS('Country-Vehicle Extraction'!$A$2:$A$989, D$1,  'Country-Vehicle Extraction'!$B$2:$B$989, D$2,  'Country-Vehicle Extraction'!$C$2:$C$989, "Total",  'Country-Vehicle Extraction'!$E$2:$E$989, $A5, 'Country-Vehicle Extraction'!$J$2:$J$989, "&lt;&gt;") = 0, "Missing", "Complete")</f>
        <v>Complete</v>
      </c>
      <c r="E5" t="str">
        <f>IF(COUNTIFS('Country-Vehicle Extraction'!$A$2:$A$989, D$1,  'Country-Vehicle Extraction'!$B$2:$B$989, D$2,  'Country-Vehicle Extraction'!$C$2:$C$989, "&lt;&gt;All",  'Country-Vehicle Extraction'!$E$2:$E$989, $A5, 'Country-Vehicle Extraction'!$J$2:$J$989, "&lt;&gt;") = 0, "Missing", "Complete")</f>
        <v>Complete</v>
      </c>
      <c r="F5" t="str">
        <f>IF(COUNTIFS('Country-Vehicle Extraction'!$A$2:$A$989, D$1,  'Country-Vehicle Extraction'!$B$2:$B$989, F$2,  'Country-Vehicle Extraction'!$C$2:$C$989, "Total",  'Country-Vehicle Extraction'!$E$2:$E$989, $A5, 'Country-Vehicle Extraction'!$J$2:$J$989, "&lt;&gt;") = 0, "Missing", "Complete")</f>
        <v>Complete</v>
      </c>
      <c r="G5" t="str">
        <f>IF(COUNTIFS('Country-Vehicle Extraction'!$A$2:$A$989, D$1,  'Country-Vehicle Extraction'!$B$2:$B$989, F$2,  'Country-Vehicle Extraction'!$C$2:$C$989, "&lt;&gt;All",  'Country-Vehicle Extraction'!$E$2:$E$989, $A5, 'Country-Vehicle Extraction'!$J$2:$J$989, "&lt;&gt;") = 0, "Missing", "Complete")</f>
        <v>Complete</v>
      </c>
      <c r="H5" t="inlineStr">
        <is>
          <t>Microdata: HCES</t>
        </is>
      </c>
      <c r="I5" t="inlineStr">
        <is>
          <t>Microdata: HCES</t>
        </is>
      </c>
    </row>
    <row r="6" ht="15" customHeight="1">
      <c r="A6" t="inlineStr">
        <is>
          <t>Vehicle consumption by WRA -- amount</t>
        </is>
      </c>
      <c r="B6" t="str">
        <f>IF(COUNTIFS('Country-Vehicle Extraction'!$A$2:$A$989, B$1,  'Country-Vehicle Extraction'!$B$2:$B$989, B$2,  'Country-Vehicle Extraction'!$C$2:$C$989, "Total",  'Country-Vehicle Extraction'!$E$2:$E$989, $A6, 'Country-Vehicle Extraction'!$J$2:$J$989, "&lt;&gt;") = 0, "Missing", "Complete")</f>
        <v>Complete</v>
      </c>
      <c r="C6" t="str">
        <f>IF(COUNTIFS('Country-Vehicle Extraction'!$A$2:$A$989, B$1,  'Country-Vehicle Extraction'!$B$2:$B$989, B$2,  'Country-Vehicle Extraction'!$C$2:$C$989, "&lt;&gt;All",  'Country-Vehicle Extraction'!E$2:E$989, $A6, 'Country-Vehicle Extraction'!$J$2:$J$989, "&lt;&gt;") = 0, "Missing", "Complete")</f>
        <v>Complete</v>
      </c>
      <c r="D6" t="str">
        <f>IF(COUNTIFS('Country-Vehicle Extraction'!$A$2:$A$989, D$1,  'Country-Vehicle Extraction'!$B$2:$B$989, D$2,  'Country-Vehicle Extraction'!$C$2:$C$989, "Total",  'Country-Vehicle Extraction'!$E$2:$E$989, $A6, 'Country-Vehicle Extraction'!$J$2:$J$989, "&lt;&gt;") = 0, "Missing", "Complete")</f>
        <v>Complete</v>
      </c>
      <c r="E6" t="str">
        <f>IF(COUNTIFS('Country-Vehicle Extraction'!$A$2:$A$989, D$1,  'Country-Vehicle Extraction'!$B$2:$B$989, D$2,  'Country-Vehicle Extraction'!$C$2:$C$989, "&lt;&gt;All",  'Country-Vehicle Extraction'!$E$2:$E$989, $A6, 'Country-Vehicle Extraction'!$J$2:$J$989, "&lt;&gt;") = 0, "Missing", "Complete")</f>
        <v>Complete</v>
      </c>
      <c r="F6" t="str">
        <f>IF(COUNTIFS('Country-Vehicle Extraction'!$A$2:$A$989, D$1,  'Country-Vehicle Extraction'!$B$2:$B$989, F$2,  'Country-Vehicle Extraction'!$C$2:$C$989, "Total",  'Country-Vehicle Extraction'!$E$2:$E$989, $A6, 'Country-Vehicle Extraction'!$J$2:$J$989, "&lt;&gt;") = 0, "Missing", "Complete")</f>
        <v>Complete</v>
      </c>
      <c r="G6" t="str">
        <f>IF(COUNTIFS('Country-Vehicle Extraction'!$A$2:$A$989, D$1,  'Country-Vehicle Extraction'!$B$2:$B$989, F$2,  'Country-Vehicle Extraction'!$C$2:$C$989, "&lt;&gt;All",  'Country-Vehicle Extraction'!$E$2:$E$989, $A6, 'Country-Vehicle Extraction'!$J$2:$J$989, "&lt;&gt;") = 0, "Missing", "Complete")</f>
        <v>Complete</v>
      </c>
      <c r="H6" t="inlineStr">
        <is>
          <t>Microdata: HCES</t>
        </is>
      </c>
      <c r="I6" t="inlineStr">
        <is>
          <t>Microdata: HCES</t>
        </is>
      </c>
    </row>
    <row r="7" ht="15" customHeight="1">
      <c r="A7" t="inlineStr">
        <is>
          <t>Vehicle consumption by U5 children -- any</t>
        </is>
      </c>
      <c r="B7" t="str">
        <f>IF(COUNTIFS('Country-Vehicle Extraction'!$A$2:$A$989, B$1,  'Country-Vehicle Extraction'!$B$2:$B$989, B$2,  'Country-Vehicle Extraction'!$C$2:$C$989, "Total",  'Country-Vehicle Extraction'!$E$2:$E$989, $A7, 'Country-Vehicle Extraction'!$J$2:$J$989, "&lt;&gt;") = 0, "Missing", "Complete")</f>
        <v>Missing</v>
      </c>
      <c r="C7" t="str">
        <f>IF(COUNTIFS('Country-Vehicle Extraction'!$A$2:$A$989, B$1,  'Country-Vehicle Extraction'!$B$2:$B$989, B$2,  'Country-Vehicle Extraction'!$C$2:$C$989, "&lt;&gt;All",  'Country-Vehicle Extraction'!E$2:E$989, $A7, 'Country-Vehicle Extraction'!$J$2:$J$989, "&lt;&gt;") = 0, "Missing", "Complete")</f>
        <v>Complete</v>
      </c>
      <c r="D7" t="str">
        <f>IF(COUNTIFS('Country-Vehicle Extraction'!$A$2:$A$989, D$1,  'Country-Vehicle Extraction'!$B$2:$B$989, D$2,  'Country-Vehicle Extraction'!$C$2:$C$989, "Total",  'Country-Vehicle Extraction'!$E$2:$E$989, $A7, 'Country-Vehicle Extraction'!$J$2:$J$989, "&lt;&gt;") = 0, "Missing", "Complete")</f>
        <v>Complete</v>
      </c>
      <c r="E7" t="str">
        <f>IF(COUNTIFS('Country-Vehicle Extraction'!$A$2:$A$989, D$1,  'Country-Vehicle Extraction'!$B$2:$B$989, D$2,  'Country-Vehicle Extraction'!$C$2:$C$989, "&lt;&gt;All",  'Country-Vehicle Extraction'!$E$2:$E$989, $A7, 'Country-Vehicle Extraction'!$J$2:$J$989, "&lt;&gt;") = 0, "Missing", "Complete")</f>
        <v>Complete</v>
      </c>
      <c r="F7" t="str">
        <f>IF(COUNTIFS('Country-Vehicle Extraction'!$A$2:$A$989, D$1,  'Country-Vehicle Extraction'!$B$2:$B$989, F$2,  'Country-Vehicle Extraction'!$C$2:$C$989, "Total",  'Country-Vehicle Extraction'!$E$2:$E$989, $A7, 'Country-Vehicle Extraction'!$J$2:$J$989, "&lt;&gt;") = 0, "Missing", "Complete")</f>
        <v>Complete</v>
      </c>
      <c r="G7" t="str">
        <f>IF(COUNTIFS('Country-Vehicle Extraction'!$A$2:$A$989, D$1,  'Country-Vehicle Extraction'!$B$2:$B$989, F$2,  'Country-Vehicle Extraction'!$C$2:$C$989, "&lt;&gt;All",  'Country-Vehicle Extraction'!$E$2:$E$989, $A7, 'Country-Vehicle Extraction'!$J$2:$J$989, "&lt;&gt;") = 0, "Missing", "Complete")</f>
        <v>Complete</v>
      </c>
      <c r="H7" t="inlineStr">
        <is>
          <t>Microdata: HCES</t>
        </is>
      </c>
      <c r="I7" t="inlineStr">
        <is>
          <t>Microdata: HCES</t>
        </is>
      </c>
    </row>
    <row r="8" ht="15" customHeight="1">
      <c r="A8" t="inlineStr">
        <is>
          <t>Vehicle consumption by U5 children -- amount</t>
        </is>
      </c>
      <c r="B8" t="str">
        <f>IF(COUNTIFS('Country-Vehicle Extraction'!$A$2:$A$989, B$1,  'Country-Vehicle Extraction'!$B$2:$B$989, B$2,  'Country-Vehicle Extraction'!$C$2:$C$989, "Total",  'Country-Vehicle Extraction'!$E$2:$E$989, $A8, 'Country-Vehicle Extraction'!$J$2:$J$989, "&lt;&gt;") = 0, "Missing", "Complete")</f>
        <v>Complete</v>
      </c>
      <c r="C8" t="str">
        <f>IF(COUNTIFS('Country-Vehicle Extraction'!$A$2:$A$989, B$1,  'Country-Vehicle Extraction'!$B$2:$B$989, B$2,  'Country-Vehicle Extraction'!$C$2:$C$989, "&lt;&gt;All",  'Country-Vehicle Extraction'!E$2:E$989, $A8, 'Country-Vehicle Extraction'!$J$2:$J$989, "&lt;&gt;") = 0, "Missing", "Complete")</f>
        <v>Complete</v>
      </c>
      <c r="D8" t="str">
        <f>IF(COUNTIFS('Country-Vehicle Extraction'!$A$2:$A$989, D$1,  'Country-Vehicle Extraction'!$B$2:$B$989, D$2,  'Country-Vehicle Extraction'!$C$2:$C$989, "Total",  'Country-Vehicle Extraction'!$E$2:$E$989, $A8, 'Country-Vehicle Extraction'!$J$2:$J$989, "&lt;&gt;") = 0, "Missing", "Complete")</f>
        <v>Complete</v>
      </c>
      <c r="E8" t="str">
        <f>IF(COUNTIFS('Country-Vehicle Extraction'!$A$2:$A$989, D$1,  'Country-Vehicle Extraction'!$B$2:$B$989, D$2,  'Country-Vehicle Extraction'!$C$2:$C$989, "&lt;&gt;All",  'Country-Vehicle Extraction'!$E$2:$E$989, $A8, 'Country-Vehicle Extraction'!$J$2:$J$989, "&lt;&gt;") = 0, "Missing", "Complete")</f>
        <v>Complete</v>
      </c>
      <c r="F8" t="str">
        <f>IF(COUNTIFS('Country-Vehicle Extraction'!$A$2:$A$989, D$1,  'Country-Vehicle Extraction'!$B$2:$B$989, F$2,  'Country-Vehicle Extraction'!$C$2:$C$989, "Total",  'Country-Vehicle Extraction'!$E$2:$E$989, $A8, 'Country-Vehicle Extraction'!$J$2:$J$989, "&lt;&gt;") = 0, "Missing", "Complete")</f>
        <v>Complete</v>
      </c>
      <c r="G8" t="str">
        <f>IF(COUNTIFS('Country-Vehicle Extraction'!$A$2:$A$989, D$1,  'Country-Vehicle Extraction'!$B$2:$B$989, F$2,  'Country-Vehicle Extraction'!$C$2:$C$989, "&lt;&gt;All",  'Country-Vehicle Extraction'!$E$2:$E$989, $A8, 'Country-Vehicle Extraction'!$J$2:$J$989, "&lt;&gt;") = 0, "Missing", "Complete")</f>
        <v>Complete</v>
      </c>
      <c r="H8" t="inlineStr">
        <is>
          <t>Microdata: HCES</t>
        </is>
      </c>
      <c r="I8" t="inlineStr">
        <is>
          <t>Microdata: HCES</t>
        </is>
      </c>
    </row>
    <row r="9" ht="15" customHeight="1">
      <c r="A9" t="inlineStr">
        <is>
          <t>Vehicle "fortifiability" (essentially amount industrially produced)</t>
        </is>
      </c>
      <c r="B9" t="str">
        <f>IF(COUNTIFS('Country-Vehicle Extraction'!$A$2:$A$989, B$1,  'Country-Vehicle Extraction'!$B$2:$B$989, B$2,  'Country-Vehicle Extraction'!$C$2:$C$989, "Total",  'Country-Vehicle Extraction'!$E$2:$E$989, $A9, 'Country-Vehicle Extraction'!$J$2:$J$989, "&lt;&gt;") = 0, "Missing", "Complete")</f>
        <v>Missing</v>
      </c>
      <c r="C9" t="str">
        <f>IF(COUNTIFS('Country-Vehicle Extraction'!$A$2:$A$989, B$1,  'Country-Vehicle Extraction'!$B$2:$B$989, B$2,  'Country-Vehicle Extraction'!$C$2:$C$989, "&lt;&gt;All",  'Country-Vehicle Extraction'!E$2:E$989, $A9, 'Country-Vehicle Extraction'!$J$2:$J$989, "&lt;&gt;") = 0, "Missing", "Complete")</f>
        <v>Complete</v>
      </c>
      <c r="D9" t="str">
        <f>IF(COUNTIFS('Country-Vehicle Extraction'!$A$2:$A$989, D$1,  'Country-Vehicle Extraction'!$B$2:$B$989, D$2,  'Country-Vehicle Extraction'!$C$2:$C$989, "Total",  'Country-Vehicle Extraction'!$E$2:$E$989, $A9, 'Country-Vehicle Extraction'!$J$2:$J$989, "&lt;&gt;") = 0, "Missing", "Complete")</f>
        <v>Complete</v>
      </c>
      <c r="E9" t="str">
        <f>IF(COUNTIFS('Country-Vehicle Extraction'!$A$2:$A$989, D$1,  'Country-Vehicle Extraction'!$B$2:$B$989, D$2,  'Country-Vehicle Extraction'!$C$2:$C$989, "&lt;&gt;All",  'Country-Vehicle Extraction'!$E$2:$E$989, $A9, 'Country-Vehicle Extraction'!$J$2:$J$989, "&lt;&gt;") = 0, "Missing", "Complete")</f>
        <v>Complete</v>
      </c>
      <c r="F9" t="str">
        <f>IF(COUNTIFS('Country-Vehicle Extraction'!$A$2:$A$989, D$1,  'Country-Vehicle Extraction'!$B$2:$B$989, F$2,  'Country-Vehicle Extraction'!$C$2:$C$989, "Total",  'Country-Vehicle Extraction'!$E$2:$E$989, $A9, 'Country-Vehicle Extraction'!$J$2:$J$989, "&lt;&gt;") = 0, "Missing", "Complete")</f>
        <v>Missing</v>
      </c>
      <c r="G9" t="str">
        <f>IF(COUNTIFS('Country-Vehicle Extraction'!$A$2:$A$989, D$1,  'Country-Vehicle Extraction'!$B$2:$B$989, F$2,  'Country-Vehicle Extraction'!$C$2:$C$989, "&lt;&gt;All",  'Country-Vehicle Extraction'!$E$2:$E$989, $A9, 'Country-Vehicle Extraction'!$J$2:$J$989, "&lt;&gt;") = 0, "Missing", "Complete")</f>
        <v>Complete</v>
      </c>
      <c r="H9" t="str">
        <f>IF(COUNTIFS('Country-Vehicle Extraction'!$A$2:$A$989, H$1,  'Country-Vehicle Extraction'!$B$2:$B$989, H$2,  'Country-Vehicle Extraction'!$C$2:$C$989, "Total",  'Country-Vehicle Extraction'!$E$2:$E$989, $A9, 'Country-Vehicle Extraction'!$J$2:$J$989, "&lt;&gt;") = 0, "Missing", "Complete")</f>
        <v>Complete</v>
      </c>
      <c r="I9" t="inlineStr">
        <is>
          <t>Microdata: HCES</t>
        </is>
      </c>
    </row>
  </sheetData>
  <mergeCells count="7">
    <mergeCell ref="F2:G2"/>
    <mergeCell ref="B2:C2"/>
    <mergeCell ref="H2:I2"/>
    <mergeCell ref="D2:E2"/>
    <mergeCell ref="H1:I1"/>
    <mergeCell ref="D1:G1"/>
    <mergeCell ref="B1:C1"/>
  </mergeCells>
  <conditionalFormatting sqref="B5:I9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1"/>
  <sheetViews>
    <sheetView tabSelected="1" workbookViewId="0">
      <pane ySplit="1" topLeftCell="A30" activePane="bottomLeft" state="frozen"/>
      <selection pane="bottomLeft" activeCell="A46" activeCellId="3" sqref="A88:XFD92 A96:XFD100 A54:XFD58 A46:XFD50"/>
    </sheetView>
  </sheetViews>
  <sheetFormatPr baseColWidth="8" defaultRowHeight="14.45"/>
  <cols>
    <col width="8" bestFit="1" customWidth="1" min="1" max="1"/>
    <col width="18.28515625" bestFit="1" customWidth="1" min="3" max="3"/>
    <col width="18.28515625" customWidth="1" min="4" max="4"/>
    <col width="60.140625" bestFit="1" customWidth="1" min="5" max="5"/>
    <col width="19" customWidth="1" min="6" max="6"/>
    <col width="11.85546875" bestFit="1" customWidth="1" min="9" max="9"/>
    <col width="10.28515625" bestFit="1" customWidth="1" min="10" max="10"/>
    <col width="10.140625" customWidth="1" min="11" max="12"/>
    <col width="50.42578125" customWidth="1" min="13" max="13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Quintile</t>
        </is>
      </c>
      <c r="D1" s="1" t="inlineStr">
        <is>
          <t>Sex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Year</t>
        </is>
      </c>
      <c r="I1" s="1" t="inlineStr">
        <is>
          <t>Data source</t>
        </is>
      </c>
      <c r="J1" s="1" t="inlineStr">
        <is>
          <t>Value</t>
        </is>
      </c>
      <c r="K1" s="1" t="inlineStr">
        <is>
          <t>CI</t>
        </is>
      </c>
      <c r="L1" s="1" t="inlineStr">
        <is>
          <t>SE</t>
        </is>
      </c>
      <c r="M1" s="1" t="inlineStr">
        <is>
          <t>Notes</t>
        </is>
      </c>
    </row>
    <row r="2">
      <c r="A2" t="inlineStr">
        <is>
          <t>Ethiopia</t>
        </is>
      </c>
      <c r="B2" t="inlineStr">
        <is>
          <t>Salt</t>
        </is>
      </c>
      <c r="C2" t="inlineStr">
        <is>
          <t>All (assumed same)</t>
        </is>
      </c>
      <c r="D2" t="inlineStr">
        <is>
          <t>Female</t>
        </is>
      </c>
      <c r="E2" t="inlineStr">
        <is>
          <t>Vehicle consumption by WRA -- any</t>
        </is>
      </c>
      <c r="F2" t="inlineStr">
        <is>
          <t>percentage</t>
        </is>
      </c>
      <c r="G2" t="inlineStr">
        <is>
          <t>%</t>
        </is>
      </c>
      <c r="I2" t="inlineStr">
        <is>
          <t>EPHI data sent by Andy Garcia</t>
        </is>
      </c>
      <c r="J2" s="7" t="n">
        <v>0.97</v>
      </c>
      <c r="M2" t="inlineStr">
        <is>
          <t>Total population (?), not WRA specifically; Not stratified by wealth quintile</t>
        </is>
      </c>
    </row>
    <row r="3" ht="29.25" customHeight="1">
      <c r="A3" t="inlineStr">
        <is>
          <t>Ethiopia</t>
        </is>
      </c>
      <c r="B3" t="inlineStr">
        <is>
          <t>Salt</t>
        </is>
      </c>
      <c r="C3" t="inlineStr">
        <is>
          <t>Total</t>
        </is>
      </c>
      <c r="D3" t="inlineStr">
        <is>
          <t>Female</t>
        </is>
      </c>
      <c r="E3" t="inlineStr">
        <is>
          <t>Vehicle consumption by WRA -- amount</t>
        </is>
      </c>
      <c r="F3" t="inlineStr">
        <is>
          <t>mean</t>
        </is>
      </c>
      <c r="G3" t="inlineStr">
        <is>
          <t>g/day</t>
        </is>
      </c>
      <c r="I3" t="inlineStr">
        <is>
          <t>EPHI data sent by Andy Garcia</t>
        </is>
      </c>
      <c r="J3" s="5" t="n">
        <v>7.1</v>
      </c>
      <c r="M3" s="5" t="inlineStr">
        <is>
          <t>2022 National Nutrition Survey; Total population (?), not WRA specifically</t>
        </is>
      </c>
    </row>
    <row r="4">
      <c r="A4" t="inlineStr">
        <is>
          <t>Ethiopia</t>
        </is>
      </c>
      <c r="B4" t="inlineStr">
        <is>
          <t>Salt</t>
        </is>
      </c>
      <c r="C4" t="inlineStr">
        <is>
          <t>Lowest</t>
        </is>
      </c>
      <c r="D4" t="inlineStr">
        <is>
          <t>Female</t>
        </is>
      </c>
      <c r="E4" t="inlineStr">
        <is>
          <t>Vehicle consumption by WRA -- amount</t>
        </is>
      </c>
      <c r="F4" t="inlineStr">
        <is>
          <t>mean</t>
        </is>
      </c>
      <c r="G4" t="inlineStr">
        <is>
          <t>g/day</t>
        </is>
      </c>
      <c r="I4" t="inlineStr">
        <is>
          <t>EPHI data sent by Andy Garcia</t>
        </is>
      </c>
      <c r="J4" t="n">
        <v>7.1</v>
      </c>
    </row>
    <row r="5">
      <c r="A5" t="inlineStr">
        <is>
          <t>Ethiopia</t>
        </is>
      </c>
      <c r="B5" t="inlineStr">
        <is>
          <t>Salt</t>
        </is>
      </c>
      <c r="C5" t="inlineStr">
        <is>
          <t>Second</t>
        </is>
      </c>
      <c r="D5" t="inlineStr">
        <is>
          <t>Female</t>
        </is>
      </c>
      <c r="E5" t="inlineStr">
        <is>
          <t>Vehicle consumption by WRA -- amount</t>
        </is>
      </c>
      <c r="F5" t="inlineStr">
        <is>
          <t>mean</t>
        </is>
      </c>
      <c r="G5" t="inlineStr">
        <is>
          <t>g/day</t>
        </is>
      </c>
      <c r="I5" t="inlineStr">
        <is>
          <t>EPHI data sent by Andy Garcia</t>
        </is>
      </c>
      <c r="J5" s="5" t="n">
        <v>7.2</v>
      </c>
    </row>
    <row r="6">
      <c r="A6" t="inlineStr">
        <is>
          <t>Ethiopia</t>
        </is>
      </c>
      <c r="B6" t="inlineStr">
        <is>
          <t>Salt</t>
        </is>
      </c>
      <c r="C6" t="inlineStr">
        <is>
          <t>Middle</t>
        </is>
      </c>
      <c r="D6" t="inlineStr">
        <is>
          <t>Female</t>
        </is>
      </c>
      <c r="E6" t="inlineStr">
        <is>
          <t>Vehicle consumption by WRA -- amount</t>
        </is>
      </c>
      <c r="F6" t="inlineStr">
        <is>
          <t>mean</t>
        </is>
      </c>
      <c r="G6" t="inlineStr">
        <is>
          <t>g/day</t>
        </is>
      </c>
      <c r="I6" t="inlineStr">
        <is>
          <t>EPHI data sent by Andy Garcia</t>
        </is>
      </c>
      <c r="J6" t="n">
        <v>7.7</v>
      </c>
    </row>
    <row r="7">
      <c r="A7" t="inlineStr">
        <is>
          <t>Ethiopia</t>
        </is>
      </c>
      <c r="B7" t="inlineStr">
        <is>
          <t>Salt</t>
        </is>
      </c>
      <c r="C7" t="inlineStr">
        <is>
          <t>Fourth</t>
        </is>
      </c>
      <c r="D7" t="inlineStr">
        <is>
          <t>Female</t>
        </is>
      </c>
      <c r="E7" t="inlineStr">
        <is>
          <t>Vehicle consumption by WRA -- amount</t>
        </is>
      </c>
      <c r="F7" t="inlineStr">
        <is>
          <t>mean</t>
        </is>
      </c>
      <c r="G7" t="inlineStr">
        <is>
          <t>g/day</t>
        </is>
      </c>
      <c r="I7" t="inlineStr">
        <is>
          <t>EPHI data sent by Andy Garcia</t>
        </is>
      </c>
      <c r="J7" t="n">
        <v>7.2</v>
      </c>
    </row>
    <row r="8">
      <c r="A8" t="inlineStr">
        <is>
          <t>Ethiopia</t>
        </is>
      </c>
      <c r="B8" t="inlineStr">
        <is>
          <t>Salt</t>
        </is>
      </c>
      <c r="C8" t="inlineStr">
        <is>
          <t>Highest</t>
        </is>
      </c>
      <c r="D8" t="inlineStr">
        <is>
          <t>Female</t>
        </is>
      </c>
      <c r="E8" t="inlineStr">
        <is>
          <t>Vehicle consumption by WRA -- amount</t>
        </is>
      </c>
      <c r="F8" t="inlineStr">
        <is>
          <t>mean</t>
        </is>
      </c>
      <c r="G8" t="inlineStr">
        <is>
          <t>g/day</t>
        </is>
      </c>
      <c r="I8" t="inlineStr">
        <is>
          <t>EPHI data sent by Andy Garcia</t>
        </is>
      </c>
      <c r="J8" t="n">
        <v>6.5</v>
      </c>
    </row>
    <row r="9">
      <c r="A9" t="inlineStr">
        <is>
          <t>Ethiopia</t>
        </is>
      </c>
      <c r="B9" t="inlineStr">
        <is>
          <t>Salt</t>
        </is>
      </c>
      <c r="C9" t="inlineStr">
        <is>
          <t>All (assumed same)</t>
        </is>
      </c>
      <c r="D9" t="inlineStr">
        <is>
          <t>Female</t>
        </is>
      </c>
      <c r="E9" t="inlineStr">
        <is>
          <t>Vehicle consumption by WRA -- amount</t>
        </is>
      </c>
      <c r="F9" t="inlineStr">
        <is>
          <t>standard deviation</t>
        </is>
      </c>
      <c r="G9" t="inlineStr">
        <is>
          <t>g/day</t>
        </is>
      </c>
      <c r="I9" t="inlineStr">
        <is>
          <t>Survey in Addis Ababa</t>
        </is>
      </c>
      <c r="J9" s="5" t="n">
        <v>2.2</v>
      </c>
      <c r="M9" s="6" t="inlineStr">
        <is>
          <t>https://www.ncbi.nlm.nih.gov/pmc/articles/PMC10195378/; among all adults</t>
        </is>
      </c>
    </row>
    <row r="10">
      <c r="A10" t="inlineStr">
        <is>
          <t>Ethiopia</t>
        </is>
      </c>
      <c r="B10" t="inlineStr">
        <is>
          <t>Salt</t>
        </is>
      </c>
      <c r="C10" t="inlineStr">
        <is>
          <t>All (assumed same)</t>
        </is>
      </c>
      <c r="D10" t="inlineStr">
        <is>
          <t>All (assumed same)</t>
        </is>
      </c>
      <c r="E10" t="inlineStr">
        <is>
          <t>Vehicle consumption by U5 children -- any</t>
        </is>
      </c>
      <c r="F10" t="inlineStr">
        <is>
          <t>percentage</t>
        </is>
      </c>
      <c r="G10" t="inlineStr">
        <is>
          <t>%</t>
        </is>
      </c>
      <c r="J10" s="7" t="n">
        <v>0.97</v>
      </c>
      <c r="M10" t="inlineStr">
        <is>
          <t>Total population (?), not U5 specifically</t>
        </is>
      </c>
    </row>
    <row r="11">
      <c r="A11" t="inlineStr">
        <is>
          <t>Ethiopia</t>
        </is>
      </c>
      <c r="B11" t="inlineStr">
        <is>
          <t>Salt</t>
        </is>
      </c>
      <c r="C11" t="inlineStr">
        <is>
          <t>Total</t>
        </is>
      </c>
      <c r="D11" t="inlineStr">
        <is>
          <t>All (assumed same)</t>
        </is>
      </c>
      <c r="E11" t="inlineStr">
        <is>
          <t>Vehicle consumption by U5 children -- amount</t>
        </is>
      </c>
      <c r="F11" t="inlineStr">
        <is>
          <t>mean</t>
        </is>
      </c>
      <c r="G11" t="inlineStr">
        <is>
          <t>g/day</t>
        </is>
      </c>
      <c r="I11" t="inlineStr">
        <is>
          <t>EPHI data sent by Andy Garcia</t>
        </is>
      </c>
      <c r="J11" s="5" t="n">
        <v>7.1</v>
      </c>
      <c r="M11" t="inlineStr">
        <is>
          <t>2022 National Nutrition Survey; Total population (?), not U5 specifically</t>
        </is>
      </c>
    </row>
    <row r="12">
      <c r="A12" t="inlineStr">
        <is>
          <t>Ethiopia</t>
        </is>
      </c>
      <c r="B12" t="inlineStr">
        <is>
          <t>Salt</t>
        </is>
      </c>
      <c r="C12" t="inlineStr">
        <is>
          <t>Lowest</t>
        </is>
      </c>
      <c r="D12" t="inlineStr">
        <is>
          <t>All (assumed same)</t>
        </is>
      </c>
      <c r="E12" t="inlineStr">
        <is>
          <t>Vehicle consumption by U5 children -- amount</t>
        </is>
      </c>
      <c r="F12" t="inlineStr">
        <is>
          <t>mean</t>
        </is>
      </c>
      <c r="G12" t="inlineStr">
        <is>
          <t>g/day</t>
        </is>
      </c>
      <c r="I12" t="inlineStr">
        <is>
          <t>EPHI data sent by Andy Garcia</t>
        </is>
      </c>
      <c r="J12" t="n">
        <v>7.1</v>
      </c>
    </row>
    <row r="13">
      <c r="A13" t="inlineStr">
        <is>
          <t>Ethiopia</t>
        </is>
      </c>
      <c r="B13" t="inlineStr">
        <is>
          <t>Salt</t>
        </is>
      </c>
      <c r="C13" t="inlineStr">
        <is>
          <t>Second</t>
        </is>
      </c>
      <c r="D13" t="inlineStr">
        <is>
          <t>All (assumed same)</t>
        </is>
      </c>
      <c r="E13" t="inlineStr">
        <is>
          <t>Vehicle consumption by U5 children -- amount</t>
        </is>
      </c>
      <c r="F13" t="inlineStr">
        <is>
          <t>mean</t>
        </is>
      </c>
      <c r="G13" t="inlineStr">
        <is>
          <t>g/day</t>
        </is>
      </c>
      <c r="I13" t="inlineStr">
        <is>
          <t>EPHI data sent by Andy Garcia</t>
        </is>
      </c>
      <c r="J13" s="5" t="n">
        <v>7.2</v>
      </c>
    </row>
    <row r="14">
      <c r="A14" t="inlineStr">
        <is>
          <t>Ethiopia</t>
        </is>
      </c>
      <c r="B14" t="inlineStr">
        <is>
          <t>Salt</t>
        </is>
      </c>
      <c r="C14" t="inlineStr">
        <is>
          <t>Middle</t>
        </is>
      </c>
      <c r="D14" t="inlineStr">
        <is>
          <t>All (assumed same)</t>
        </is>
      </c>
      <c r="E14" t="inlineStr">
        <is>
          <t>Vehicle consumption by U5 children -- amount</t>
        </is>
      </c>
      <c r="F14" t="inlineStr">
        <is>
          <t>mean</t>
        </is>
      </c>
      <c r="G14" t="inlineStr">
        <is>
          <t>g/day</t>
        </is>
      </c>
      <c r="I14" t="inlineStr">
        <is>
          <t>EPHI data sent by Andy Garcia</t>
        </is>
      </c>
      <c r="J14" t="n">
        <v>7.7</v>
      </c>
    </row>
    <row r="15">
      <c r="A15" t="inlineStr">
        <is>
          <t>Ethiopia</t>
        </is>
      </c>
      <c r="B15" t="inlineStr">
        <is>
          <t>Salt</t>
        </is>
      </c>
      <c r="C15" t="inlineStr">
        <is>
          <t>Fourth</t>
        </is>
      </c>
      <c r="D15" t="inlineStr">
        <is>
          <t>All (assumed same)</t>
        </is>
      </c>
      <c r="E15" t="inlineStr">
        <is>
          <t>Vehicle consumption by U5 children -- amount</t>
        </is>
      </c>
      <c r="F15" t="inlineStr">
        <is>
          <t>mean</t>
        </is>
      </c>
      <c r="G15" t="inlineStr">
        <is>
          <t>g/day</t>
        </is>
      </c>
      <c r="I15" t="inlineStr">
        <is>
          <t>EPHI data sent by Andy Garcia</t>
        </is>
      </c>
      <c r="J15" t="n">
        <v>7.2</v>
      </c>
    </row>
    <row r="16">
      <c r="A16" t="inlineStr">
        <is>
          <t>Ethiopia</t>
        </is>
      </c>
      <c r="B16" t="inlineStr">
        <is>
          <t>Salt</t>
        </is>
      </c>
      <c r="C16" t="inlineStr">
        <is>
          <t>Highest</t>
        </is>
      </c>
      <c r="D16" t="inlineStr">
        <is>
          <t>All (assumed same)</t>
        </is>
      </c>
      <c r="E16" t="inlineStr">
        <is>
          <t>Vehicle consumption by U5 children -- amount</t>
        </is>
      </c>
      <c r="F16" t="inlineStr">
        <is>
          <t>mean</t>
        </is>
      </c>
      <c r="G16" t="inlineStr">
        <is>
          <t>g/day</t>
        </is>
      </c>
      <c r="I16" t="inlineStr">
        <is>
          <t>EPHI data sent by Andy Garcia</t>
        </is>
      </c>
      <c r="J16" t="n">
        <v>6.5</v>
      </c>
    </row>
    <row r="17">
      <c r="A17" t="inlineStr">
        <is>
          <t>Ethiopia</t>
        </is>
      </c>
      <c r="B17" t="inlineStr">
        <is>
          <t>Salt</t>
        </is>
      </c>
      <c r="C17" t="inlineStr">
        <is>
          <t>All (assumed same)</t>
        </is>
      </c>
      <c r="D17" t="inlineStr">
        <is>
          <t>All (assumed same)</t>
        </is>
      </c>
      <c r="E17" t="inlineStr">
        <is>
          <t>Vehicle consumption by U5 children -- amount</t>
        </is>
      </c>
      <c r="F17" t="inlineStr">
        <is>
          <t>standard deviation</t>
        </is>
      </c>
      <c r="G17" t="inlineStr">
        <is>
          <t>g/day</t>
        </is>
      </c>
      <c r="I17" t="inlineStr">
        <is>
          <t>Survey in Addis Ababa</t>
        </is>
      </c>
      <c r="J17" s="5" t="n">
        <v>2.2</v>
      </c>
      <c r="M17" s="6" t="inlineStr">
        <is>
          <t>https://www.ncbi.nlm.nih.gov/pmc/articles/PMC10195378/; among all adults</t>
        </is>
      </c>
    </row>
    <row r="18">
      <c r="A18" t="inlineStr">
        <is>
          <t>Ethiopia</t>
        </is>
      </c>
      <c r="B18" t="inlineStr">
        <is>
          <t>Salt</t>
        </is>
      </c>
      <c r="C18" t="inlineStr">
        <is>
          <t>All (assumed same)</t>
        </is>
      </c>
      <c r="D18" t="inlineStr">
        <is>
          <t>All (assumed same)</t>
        </is>
      </c>
      <c r="E18" t="inlineStr">
        <is>
          <t>Vehicle "fortifiability" (essentially amount industrially produced)</t>
        </is>
      </c>
      <c r="F18" t="inlineStr">
        <is>
          <t>percentage</t>
        </is>
      </c>
      <c r="G18" t="inlineStr">
        <is>
          <t>%</t>
        </is>
      </c>
      <c r="I18" t="inlineStr">
        <is>
          <t>Assumption</t>
        </is>
      </c>
      <c r="J18" s="7" t="n">
        <v>1</v>
      </c>
      <c r="M18" t="inlineStr">
        <is>
          <t>"Almost all households in Ethiopia have access to iodized salt." ~ National Food and Nutrition Strategy Baseline Survey</t>
        </is>
      </c>
    </row>
    <row r="19">
      <c r="A19" t="inlineStr">
        <is>
          <t>Nigeria</t>
        </is>
      </c>
      <c r="B19" t="inlineStr">
        <is>
          <t>Bouillon</t>
        </is>
      </c>
      <c r="C19" t="inlineStr">
        <is>
          <t>Total</t>
        </is>
      </c>
      <c r="D19" t="inlineStr">
        <is>
          <t>Female</t>
        </is>
      </c>
      <c r="E19" t="inlineStr">
        <is>
          <t>Vehicle consumption by WRA -- any</t>
        </is>
      </c>
      <c r="F19" t="inlineStr">
        <is>
          <t>percentage</t>
        </is>
      </c>
      <c r="G19" t="inlineStr">
        <is>
          <t>%</t>
        </is>
      </c>
      <c r="H19" t="n">
        <v>2021</v>
      </c>
      <c r="I19" t="inlineStr">
        <is>
          <t>NFCMS</t>
        </is>
      </c>
      <c r="J19" s="17" t="n">
        <v>0.981</v>
      </c>
      <c r="K19" t="inlineStr">
        <is>
          <t>[97.5,98.8]</t>
        </is>
      </c>
      <c r="M19" s="6" t="inlineStr">
        <is>
          <t>https://www.unicef.org/nigeria/media/9271/file/%20National%20Food%20Consumption%20and%20Micronutrient%20Survey%20(2021).pdf</t>
        </is>
      </c>
    </row>
    <row r="20">
      <c r="A20" t="inlineStr">
        <is>
          <t>Nigeria</t>
        </is>
      </c>
      <c r="B20" t="inlineStr">
        <is>
          <t>Bouillon</t>
        </is>
      </c>
      <c r="C20" t="inlineStr">
        <is>
          <t>Lowest</t>
        </is>
      </c>
      <c r="D20" t="inlineStr">
        <is>
          <t>Female</t>
        </is>
      </c>
      <c r="E20" t="inlineStr">
        <is>
          <t>Vehicle consumption by WRA -- any</t>
        </is>
      </c>
      <c r="F20" t="inlineStr">
        <is>
          <t>percentage</t>
        </is>
      </c>
      <c r="G20" t="inlineStr">
        <is>
          <t>%</t>
        </is>
      </c>
      <c r="H20" t="n">
        <v>2021</v>
      </c>
      <c r="I20" t="inlineStr">
        <is>
          <t>NFCMS</t>
        </is>
      </c>
      <c r="J20" s="17" t="n">
        <v>0.963</v>
      </c>
      <c r="K20" t="inlineStr">
        <is>
          <t>[94.2, 98.4]</t>
        </is>
      </c>
      <c r="M20" t="inlineStr">
        <is>
          <t>Table 169, page 220</t>
        </is>
      </c>
    </row>
    <row r="21">
      <c r="A21" t="inlineStr">
        <is>
          <t>Nigeria</t>
        </is>
      </c>
      <c r="B21" t="inlineStr">
        <is>
          <t>Bouillon</t>
        </is>
      </c>
      <c r="C21" t="inlineStr">
        <is>
          <t>Second</t>
        </is>
      </c>
      <c r="D21" t="inlineStr">
        <is>
          <t>Female</t>
        </is>
      </c>
      <c r="E21" t="inlineStr">
        <is>
          <t>Vehicle consumption by WRA -- any</t>
        </is>
      </c>
      <c r="F21" t="inlineStr">
        <is>
          <t>percentage</t>
        </is>
      </c>
      <c r="G21" t="inlineStr">
        <is>
          <t>%</t>
        </is>
      </c>
      <c r="H21" t="n">
        <v>2021</v>
      </c>
      <c r="I21" t="inlineStr">
        <is>
          <t>NFCMS</t>
        </is>
      </c>
      <c r="J21" s="17" t="n">
        <v>0.981</v>
      </c>
      <c r="K21" t="inlineStr">
        <is>
          <t>[96.8, 99.3]</t>
        </is>
      </c>
      <c r="M21" t="inlineStr">
        <is>
          <t>95% CI</t>
        </is>
      </c>
    </row>
    <row r="22">
      <c r="A22" t="inlineStr">
        <is>
          <t>Nigeria</t>
        </is>
      </c>
      <c r="B22" t="inlineStr">
        <is>
          <t>Bouillon</t>
        </is>
      </c>
      <c r="C22" t="inlineStr">
        <is>
          <t>Middle</t>
        </is>
      </c>
      <c r="D22" t="inlineStr">
        <is>
          <t>Female</t>
        </is>
      </c>
      <c r="E22" t="inlineStr">
        <is>
          <t>Vehicle consumption by WRA -- any</t>
        </is>
      </c>
      <c r="F22" t="inlineStr">
        <is>
          <t>percentage</t>
        </is>
      </c>
      <c r="G22" t="inlineStr">
        <is>
          <t>%</t>
        </is>
      </c>
      <c r="H22" t="n">
        <v>2021</v>
      </c>
      <c r="I22" t="inlineStr">
        <is>
          <t>NFCMS</t>
        </is>
      </c>
      <c r="J22" s="17" t="n">
        <v>0.992</v>
      </c>
      <c r="K22" t="inlineStr">
        <is>
          <t>[98.5, 99.8]</t>
        </is>
      </c>
      <c r="M22" t="inlineStr">
        <is>
          <t>These numbers are for non-pregnant WRA, not all WRA</t>
        </is>
      </c>
    </row>
    <row r="23">
      <c r="A23" t="inlineStr">
        <is>
          <t>Nigeria</t>
        </is>
      </c>
      <c r="B23" t="inlineStr">
        <is>
          <t>Bouillon</t>
        </is>
      </c>
      <c r="C23" t="inlineStr">
        <is>
          <t>Fourth</t>
        </is>
      </c>
      <c r="D23" t="inlineStr">
        <is>
          <t>Female</t>
        </is>
      </c>
      <c r="E23" t="inlineStr">
        <is>
          <t>Vehicle consumption by WRA -- any</t>
        </is>
      </c>
      <c r="F23" t="inlineStr">
        <is>
          <t>percentage</t>
        </is>
      </c>
      <c r="G23" t="inlineStr">
        <is>
          <t>%</t>
        </is>
      </c>
      <c r="H23" t="n">
        <v>2021</v>
      </c>
      <c r="I23" t="inlineStr">
        <is>
          <t>NFCMS</t>
        </is>
      </c>
      <c r="J23" s="17" t="n">
        <v>0.986</v>
      </c>
      <c r="K23" t="inlineStr">
        <is>
          <t>[97.8, 99.4]</t>
        </is>
      </c>
    </row>
    <row r="24">
      <c r="A24" t="inlineStr">
        <is>
          <t>Nigeria</t>
        </is>
      </c>
      <c r="B24" t="inlineStr">
        <is>
          <t>Bouillon</t>
        </is>
      </c>
      <c r="C24" t="inlineStr">
        <is>
          <t>Highest</t>
        </is>
      </c>
      <c r="D24" t="inlineStr">
        <is>
          <t>Female</t>
        </is>
      </c>
      <c r="E24" t="inlineStr">
        <is>
          <t>Vehicle consumption by WRA -- any</t>
        </is>
      </c>
      <c r="F24" t="inlineStr">
        <is>
          <t>percentage</t>
        </is>
      </c>
      <c r="G24" t="inlineStr">
        <is>
          <t>%</t>
        </is>
      </c>
      <c r="H24" t="n">
        <v>2021</v>
      </c>
      <c r="I24" t="inlineStr">
        <is>
          <t>NFCMS</t>
        </is>
      </c>
      <c r="J24" s="17" t="n">
        <v>0.986</v>
      </c>
      <c r="K24" t="inlineStr">
        <is>
          <t>[97.5, 99.7]</t>
        </is>
      </c>
    </row>
    <row r="25">
      <c r="A25" t="inlineStr">
        <is>
          <t>Nigeria</t>
        </is>
      </c>
      <c r="B25" t="inlineStr">
        <is>
          <t>Bouillon</t>
        </is>
      </c>
      <c r="C25" t="inlineStr">
        <is>
          <t>Total</t>
        </is>
      </c>
      <c r="D25" t="inlineStr">
        <is>
          <t>Female</t>
        </is>
      </c>
      <c r="E25" t="inlineStr">
        <is>
          <t>Vehicle consumption by WRA -- amount</t>
        </is>
      </c>
      <c r="F25" t="inlineStr">
        <is>
          <t>mean</t>
        </is>
      </c>
      <c r="G25" t="inlineStr">
        <is>
          <t>g/day</t>
        </is>
      </c>
      <c r="H25" t="n">
        <v>2021</v>
      </c>
      <c r="I25" t="inlineStr">
        <is>
          <t>NFCMS</t>
        </is>
      </c>
      <c r="J25" t="n">
        <v>6.3</v>
      </c>
      <c r="K25" t="inlineStr">
        <is>
          <t>[6.0, 6.6]</t>
        </is>
      </c>
      <c r="L25" t="n">
        <v>0.1</v>
      </c>
      <c r="M25" t="inlineStr">
        <is>
          <t>Table 170, page 222</t>
        </is>
      </c>
    </row>
    <row r="26">
      <c r="A26" t="inlineStr">
        <is>
          <t>Nigeria</t>
        </is>
      </c>
      <c r="B26" t="inlineStr">
        <is>
          <t>Bouillon</t>
        </is>
      </c>
      <c r="C26" t="inlineStr">
        <is>
          <t>Lowest</t>
        </is>
      </c>
      <c r="D26" t="inlineStr">
        <is>
          <t>Female</t>
        </is>
      </c>
      <c r="E26" t="inlineStr">
        <is>
          <t>Vehicle consumption by WRA -- amount</t>
        </is>
      </c>
      <c r="F26" t="inlineStr">
        <is>
          <t>mean</t>
        </is>
      </c>
      <c r="G26" t="inlineStr">
        <is>
          <t>g/day</t>
        </is>
      </c>
      <c r="H26" t="n">
        <v>2021</v>
      </c>
      <c r="I26" t="inlineStr">
        <is>
          <t>NFCMS</t>
        </is>
      </c>
      <c r="J26" t="n">
        <v>8.4</v>
      </c>
      <c r="K26" t="inlineStr">
        <is>
          <t>[7.7, 9.0]</t>
        </is>
      </c>
      <c r="L26" t="n">
        <v>0.3</v>
      </c>
      <c r="M26" t="inlineStr">
        <is>
          <t>95% CI</t>
        </is>
      </c>
    </row>
    <row r="27">
      <c r="A27" t="inlineStr">
        <is>
          <t>Nigeria</t>
        </is>
      </c>
      <c r="B27" t="inlineStr">
        <is>
          <t>Bouillon</t>
        </is>
      </c>
      <c r="C27" t="inlineStr">
        <is>
          <t>Second</t>
        </is>
      </c>
      <c r="D27" t="inlineStr">
        <is>
          <t>Female</t>
        </is>
      </c>
      <c r="E27" t="inlineStr">
        <is>
          <t>Vehicle consumption by WRA -- amount</t>
        </is>
      </c>
      <c r="F27" t="inlineStr">
        <is>
          <t>mean</t>
        </is>
      </c>
      <c r="G27" t="inlineStr">
        <is>
          <t>g/day</t>
        </is>
      </c>
      <c r="H27" t="n">
        <v>2021</v>
      </c>
      <c r="I27" t="inlineStr">
        <is>
          <t>NFCMS</t>
        </is>
      </c>
      <c r="J27" s="18" t="n">
        <v>8</v>
      </c>
      <c r="K27" t="inlineStr">
        <is>
          <t>[7.3, 8.7]</t>
        </is>
      </c>
      <c r="L27" t="n">
        <v>0.3</v>
      </c>
      <c r="M27" t="inlineStr">
        <is>
          <t xml:space="preserve">Pregnant and non-pregnant WRA have been stratified in the NFCMS final report, these are the non-pregnant numbers  </t>
        </is>
      </c>
    </row>
    <row r="28">
      <c r="A28" t="inlineStr">
        <is>
          <t>Nigeria</t>
        </is>
      </c>
      <c r="B28" t="inlineStr">
        <is>
          <t>Bouillon</t>
        </is>
      </c>
      <c r="C28" t="inlineStr">
        <is>
          <t>Middle</t>
        </is>
      </c>
      <c r="D28" t="inlineStr">
        <is>
          <t>Female</t>
        </is>
      </c>
      <c r="E28" t="inlineStr">
        <is>
          <t>Vehicle consumption by WRA -- amount</t>
        </is>
      </c>
      <c r="F28" t="inlineStr">
        <is>
          <t>mean</t>
        </is>
      </c>
      <c r="G28" t="inlineStr">
        <is>
          <t>g/day</t>
        </is>
      </c>
      <c r="H28" t="n">
        <v>2021</v>
      </c>
      <c r="I28" t="inlineStr">
        <is>
          <t>NFCMS</t>
        </is>
      </c>
      <c r="J28" t="n">
        <v>5.9</v>
      </c>
      <c r="K28" t="inlineStr">
        <is>
          <t>[5.3, 6.5]</t>
        </is>
      </c>
      <c r="L28" t="n">
        <v>0.3</v>
      </c>
      <c r="M28" t="inlineStr">
        <is>
          <t>Also, these numbers are across all women, not just those who consume bouillon</t>
        </is>
      </c>
    </row>
    <row r="29">
      <c r="A29" t="inlineStr">
        <is>
          <t>Nigeria</t>
        </is>
      </c>
      <c r="B29" t="inlineStr">
        <is>
          <t>Bouillon</t>
        </is>
      </c>
      <c r="C29" t="inlineStr">
        <is>
          <t>Fourth</t>
        </is>
      </c>
      <c r="D29" t="inlineStr">
        <is>
          <t>Female</t>
        </is>
      </c>
      <c r="E29" t="inlineStr">
        <is>
          <t>Vehicle consumption by WRA -- amount</t>
        </is>
      </c>
      <c r="F29" t="inlineStr">
        <is>
          <t>mean</t>
        </is>
      </c>
      <c r="G29" t="inlineStr">
        <is>
          <t>g/day</t>
        </is>
      </c>
      <c r="H29" t="n">
        <v>2021</v>
      </c>
      <c r="I29" t="inlineStr">
        <is>
          <t>NFCMS</t>
        </is>
      </c>
      <c r="J29" t="n">
        <v>4.9</v>
      </c>
      <c r="K29" t="inlineStr">
        <is>
          <t>[4.3, 5.4]</t>
        </is>
      </c>
      <c r="L29" t="n">
        <v>0.3</v>
      </c>
    </row>
    <row r="30">
      <c r="A30" t="inlineStr">
        <is>
          <t>Nigeria</t>
        </is>
      </c>
      <c r="B30" t="inlineStr">
        <is>
          <t>Bouillon</t>
        </is>
      </c>
      <c r="C30" t="inlineStr">
        <is>
          <t>Highest</t>
        </is>
      </c>
      <c r="D30" t="inlineStr">
        <is>
          <t>Female</t>
        </is>
      </c>
      <c r="E30" t="inlineStr">
        <is>
          <t>Vehicle consumption by WRA -- amount</t>
        </is>
      </c>
      <c r="F30" t="inlineStr">
        <is>
          <t>mean</t>
        </is>
      </c>
      <c r="G30" t="inlineStr">
        <is>
          <t>g/day</t>
        </is>
      </c>
      <c r="H30" t="n">
        <v>2021</v>
      </c>
      <c r="I30" t="inlineStr">
        <is>
          <t>NFCMS</t>
        </is>
      </c>
      <c r="J30" t="n">
        <v>4.6</v>
      </c>
      <c r="K30" t="inlineStr">
        <is>
          <t>[4.1, 5.2]</t>
        </is>
      </c>
      <c r="L30" t="n">
        <v>0.3</v>
      </c>
    </row>
    <row r="31">
      <c r="A31" t="inlineStr">
        <is>
          <t>Nigeria</t>
        </is>
      </c>
      <c r="B31" t="inlineStr">
        <is>
          <t>Bouillon</t>
        </is>
      </c>
      <c r="C31" t="inlineStr">
        <is>
          <t>Total</t>
        </is>
      </c>
      <c r="D31" t="inlineStr">
        <is>
          <t>Female</t>
        </is>
      </c>
      <c r="E31" t="inlineStr">
        <is>
          <t>Vehicle consumption by WRA -- amount</t>
        </is>
      </c>
      <c r="F31" t="inlineStr">
        <is>
          <t>standard deviation</t>
        </is>
      </c>
      <c r="G31" t="inlineStr">
        <is>
          <t>g/day</t>
        </is>
      </c>
      <c r="H31" t="n">
        <v>2021</v>
      </c>
      <c r="I31" t="inlineStr">
        <is>
          <t>NFCMS</t>
        </is>
      </c>
      <c r="J31" t="n">
        <v>3.037037037037037</v>
      </c>
      <c r="M31" t="inlineStr">
        <is>
          <t>Very rough estimate using SD = IQR / 1.35 (normality assumption), IQR reported in table 170</t>
        </is>
      </c>
    </row>
    <row r="32">
      <c r="A32" t="inlineStr">
        <is>
          <t>Nigeria</t>
        </is>
      </c>
      <c r="B32" t="inlineStr">
        <is>
          <t>Bouillon</t>
        </is>
      </c>
      <c r="C32" t="inlineStr">
        <is>
          <t>Lowest</t>
        </is>
      </c>
      <c r="D32" t="inlineStr">
        <is>
          <t>Female</t>
        </is>
      </c>
      <c r="E32" t="inlineStr">
        <is>
          <t>Vehicle consumption by WRA -- amount</t>
        </is>
      </c>
      <c r="F32" t="inlineStr">
        <is>
          <t>standard deviation</t>
        </is>
      </c>
      <c r="G32" t="inlineStr">
        <is>
          <t>g/day</t>
        </is>
      </c>
      <c r="H32" t="n">
        <v>2021</v>
      </c>
      <c r="I32" t="inlineStr">
        <is>
          <t>NFCMS</t>
        </is>
      </c>
      <c r="J32" t="n">
        <v>3.62962962962963</v>
      </c>
    </row>
    <row r="33">
      <c r="A33" t="inlineStr">
        <is>
          <t>Nigeria</t>
        </is>
      </c>
      <c r="B33" t="inlineStr">
        <is>
          <t>Bouillon</t>
        </is>
      </c>
      <c r="C33" t="inlineStr">
        <is>
          <t>Second</t>
        </is>
      </c>
      <c r="D33" t="inlineStr">
        <is>
          <t>Female</t>
        </is>
      </c>
      <c r="E33" t="inlineStr">
        <is>
          <t>Vehicle consumption by WRA -- amount</t>
        </is>
      </c>
      <c r="F33" t="inlineStr">
        <is>
          <t>standard deviation</t>
        </is>
      </c>
      <c r="G33" t="inlineStr">
        <is>
          <t>g/day</t>
        </is>
      </c>
      <c r="H33" t="n">
        <v>2021</v>
      </c>
      <c r="I33" t="inlineStr">
        <is>
          <t>NFCMS</t>
        </is>
      </c>
      <c r="J33" t="n">
        <v>3.111111111111111</v>
      </c>
    </row>
    <row r="34">
      <c r="A34" t="inlineStr">
        <is>
          <t>Nigeria</t>
        </is>
      </c>
      <c r="B34" t="inlineStr">
        <is>
          <t>Bouillon</t>
        </is>
      </c>
      <c r="C34" t="inlineStr">
        <is>
          <t>Middle</t>
        </is>
      </c>
      <c r="D34" t="inlineStr">
        <is>
          <t>Female</t>
        </is>
      </c>
      <c r="E34" t="inlineStr">
        <is>
          <t>Vehicle consumption by WRA -- amount</t>
        </is>
      </c>
      <c r="F34" t="inlineStr">
        <is>
          <t>standard deviation</t>
        </is>
      </c>
      <c r="G34" t="inlineStr">
        <is>
          <t>g/day</t>
        </is>
      </c>
      <c r="H34" t="n">
        <v>2021</v>
      </c>
      <c r="I34" t="inlineStr">
        <is>
          <t>NFCMS</t>
        </is>
      </c>
      <c r="J34" s="18" t="n">
        <v>2.962962962962962</v>
      </c>
    </row>
    <row r="35">
      <c r="A35" t="inlineStr">
        <is>
          <t>Nigeria</t>
        </is>
      </c>
      <c r="B35" t="inlineStr">
        <is>
          <t>Bouillon</t>
        </is>
      </c>
      <c r="C35" t="inlineStr">
        <is>
          <t>Fourth</t>
        </is>
      </c>
      <c r="D35" t="inlineStr">
        <is>
          <t>Female</t>
        </is>
      </c>
      <c r="E35" t="inlineStr">
        <is>
          <t>Vehicle consumption by WRA -- amount</t>
        </is>
      </c>
      <c r="F35" t="inlineStr">
        <is>
          <t>standard deviation</t>
        </is>
      </c>
      <c r="G35" t="inlineStr">
        <is>
          <t>g/day</t>
        </is>
      </c>
      <c r="H35" t="n">
        <v>2021</v>
      </c>
      <c r="I35" t="inlineStr">
        <is>
          <t>NFCMS</t>
        </is>
      </c>
      <c r="J35" t="n">
        <v>2.444444444444445</v>
      </c>
    </row>
    <row r="36">
      <c r="A36" t="inlineStr">
        <is>
          <t>Nigeria</t>
        </is>
      </c>
      <c r="B36" t="inlineStr">
        <is>
          <t>Bouillon</t>
        </is>
      </c>
      <c r="C36" t="inlineStr">
        <is>
          <t>Highest</t>
        </is>
      </c>
      <c r="D36" t="inlineStr">
        <is>
          <t>Female</t>
        </is>
      </c>
      <c r="E36" t="inlineStr">
        <is>
          <t>Vehicle consumption by WRA -- amount</t>
        </is>
      </c>
      <c r="F36" t="inlineStr">
        <is>
          <t>standard deviation</t>
        </is>
      </c>
      <c r="G36" t="inlineStr">
        <is>
          <t>g/day</t>
        </is>
      </c>
      <c r="H36" t="n">
        <v>2021</v>
      </c>
      <c r="I36" t="inlineStr">
        <is>
          <t>NFCMS</t>
        </is>
      </c>
      <c r="J36" t="n">
        <v>1.703703703703703</v>
      </c>
    </row>
    <row r="37">
      <c r="A37" t="inlineStr">
        <is>
          <t>Nigeria</t>
        </is>
      </c>
      <c r="B37" t="inlineStr">
        <is>
          <t>Bouillon</t>
        </is>
      </c>
      <c r="C37" t="inlineStr">
        <is>
          <t>Total</t>
        </is>
      </c>
      <c r="D37" t="inlineStr">
        <is>
          <t>All (assumed same)</t>
        </is>
      </c>
      <c r="E37" t="inlineStr">
        <is>
          <t>Vehicle consumption by U5 children -- any</t>
        </is>
      </c>
      <c r="F37" t="inlineStr">
        <is>
          <t>percentage</t>
        </is>
      </c>
      <c r="G37" t="inlineStr">
        <is>
          <t>%</t>
        </is>
      </c>
      <c r="H37" t="n">
        <v>2021</v>
      </c>
      <c r="I37" t="inlineStr">
        <is>
          <t>NFCMS</t>
        </is>
      </c>
      <c r="J37" s="17" t="n">
        <v>0.988</v>
      </c>
      <c r="K37" t="inlineStr">
        <is>
          <t>[98.3,99.2]</t>
        </is>
      </c>
      <c r="M37" t="inlineStr">
        <is>
          <t>Annex 43, page 549</t>
        </is>
      </c>
    </row>
    <row r="38">
      <c r="A38" t="inlineStr">
        <is>
          <t>Nigeria</t>
        </is>
      </c>
      <c r="B38" t="inlineStr">
        <is>
          <t>Bouillon</t>
        </is>
      </c>
      <c r="C38" t="inlineStr">
        <is>
          <t>Lowest</t>
        </is>
      </c>
      <c r="D38" t="inlineStr">
        <is>
          <t>All (assumed same)</t>
        </is>
      </c>
      <c r="E38" t="inlineStr">
        <is>
          <t>Vehicle consumption by U5 children -- any</t>
        </is>
      </c>
      <c r="F38" t="inlineStr">
        <is>
          <t>percentage</t>
        </is>
      </c>
      <c r="G38" t="inlineStr">
        <is>
          <t>%</t>
        </is>
      </c>
      <c r="H38" t="n">
        <v>2021</v>
      </c>
      <c r="I38" t="inlineStr">
        <is>
          <t>NFCMS</t>
        </is>
      </c>
      <c r="J38" s="17" t="n">
        <v>0.963</v>
      </c>
      <c r="K38" t="inlineStr">
        <is>
          <t>[94.2, 98.4]</t>
        </is>
      </c>
      <c r="M38" s="19" t="inlineStr">
        <is>
          <t>Children 6-59 months old (doesn't include U6months)</t>
        </is>
      </c>
    </row>
    <row r="39">
      <c r="A39" t="inlineStr">
        <is>
          <t>Nigeria</t>
        </is>
      </c>
      <c r="B39" t="inlineStr">
        <is>
          <t>Bouillon</t>
        </is>
      </c>
      <c r="C39" t="inlineStr">
        <is>
          <t>Second</t>
        </is>
      </c>
      <c r="D39" t="inlineStr">
        <is>
          <t>All (assumed same)</t>
        </is>
      </c>
      <c r="E39" t="inlineStr">
        <is>
          <t>Vehicle consumption by U5 children -- any</t>
        </is>
      </c>
      <c r="F39" t="inlineStr">
        <is>
          <t>percentage</t>
        </is>
      </c>
      <c r="G39" t="inlineStr">
        <is>
          <t>%</t>
        </is>
      </c>
      <c r="H39" t="n">
        <v>2021</v>
      </c>
      <c r="I39" t="inlineStr">
        <is>
          <t>NFCMS</t>
        </is>
      </c>
      <c r="J39" s="17" t="n">
        <v>0.981</v>
      </c>
      <c r="K39" t="inlineStr">
        <is>
          <t>[96.8, 99.3]</t>
        </is>
      </c>
      <c r="M39" t="inlineStr">
        <is>
          <t>Not stratified by wealth quintile for children; wealth stratification numbers are for WRA</t>
        </is>
      </c>
    </row>
    <row r="40">
      <c r="A40" t="inlineStr">
        <is>
          <t>Nigeria</t>
        </is>
      </c>
      <c r="B40" t="inlineStr">
        <is>
          <t>Bouillon</t>
        </is>
      </c>
      <c r="C40" t="inlineStr">
        <is>
          <t>Middle</t>
        </is>
      </c>
      <c r="D40" t="inlineStr">
        <is>
          <t>All (assumed same)</t>
        </is>
      </c>
      <c r="E40" t="inlineStr">
        <is>
          <t>Vehicle consumption by U5 children -- any</t>
        </is>
      </c>
      <c r="F40" t="inlineStr">
        <is>
          <t>percentage</t>
        </is>
      </c>
      <c r="G40" t="inlineStr">
        <is>
          <t>%</t>
        </is>
      </c>
      <c r="H40" t="n">
        <v>2021</v>
      </c>
      <c r="I40" t="inlineStr">
        <is>
          <t>NFCMS</t>
        </is>
      </c>
      <c r="J40" s="17" t="n">
        <v>0.992</v>
      </c>
      <c r="K40" t="inlineStr">
        <is>
          <t>[98.5, 99.8]</t>
        </is>
      </c>
      <c r="M40" t="inlineStr">
        <is>
          <t>95% CI</t>
        </is>
      </c>
    </row>
    <row r="41">
      <c r="A41" t="inlineStr">
        <is>
          <t>Nigeria</t>
        </is>
      </c>
      <c r="B41" t="inlineStr">
        <is>
          <t>Bouillon</t>
        </is>
      </c>
      <c r="C41" t="inlineStr">
        <is>
          <t>Fourth</t>
        </is>
      </c>
      <c r="D41" t="inlineStr">
        <is>
          <t>All (assumed same)</t>
        </is>
      </c>
      <c r="E41" t="inlineStr">
        <is>
          <t>Vehicle consumption by U5 children -- any</t>
        </is>
      </c>
      <c r="F41" t="inlineStr">
        <is>
          <t>percentage</t>
        </is>
      </c>
      <c r="G41" t="inlineStr">
        <is>
          <t>%</t>
        </is>
      </c>
      <c r="H41" t="n">
        <v>2021</v>
      </c>
      <c r="I41" t="inlineStr">
        <is>
          <t>NFCMS</t>
        </is>
      </c>
      <c r="J41" s="17" t="n">
        <v>0.986</v>
      </c>
      <c r="K41" t="inlineStr">
        <is>
          <t>[97.8, 99.4]</t>
        </is>
      </c>
    </row>
    <row r="42">
      <c r="A42" t="inlineStr">
        <is>
          <t>Nigeria</t>
        </is>
      </c>
      <c r="B42" t="inlineStr">
        <is>
          <t>Bouillon</t>
        </is>
      </c>
      <c r="C42" t="inlineStr">
        <is>
          <t>Highest</t>
        </is>
      </c>
      <c r="D42" t="inlineStr">
        <is>
          <t>All (assumed same)</t>
        </is>
      </c>
      <c r="E42" t="inlineStr">
        <is>
          <t>Vehicle consumption by U5 children -- any</t>
        </is>
      </c>
      <c r="F42" t="inlineStr">
        <is>
          <t>percentage</t>
        </is>
      </c>
      <c r="G42" t="inlineStr">
        <is>
          <t>%</t>
        </is>
      </c>
      <c r="H42" t="n">
        <v>2021</v>
      </c>
      <c r="I42" t="inlineStr">
        <is>
          <t>NFCMS</t>
        </is>
      </c>
      <c r="J42" s="17" t="n">
        <v>0.986</v>
      </c>
      <c r="K42" t="inlineStr">
        <is>
          <t>[97.5, 99.7]</t>
        </is>
      </c>
    </row>
    <row r="43">
      <c r="A43" t="inlineStr">
        <is>
          <t>Nigeria</t>
        </is>
      </c>
      <c r="B43" t="inlineStr">
        <is>
          <t>Bouillon</t>
        </is>
      </c>
      <c r="C43" t="inlineStr">
        <is>
          <t>Total</t>
        </is>
      </c>
      <c r="D43" t="inlineStr">
        <is>
          <t>Total</t>
        </is>
      </c>
      <c r="E43" t="inlineStr">
        <is>
          <t>Vehicle consumption by U5 children -- amount</t>
        </is>
      </c>
      <c r="F43" t="inlineStr">
        <is>
          <t>mean</t>
        </is>
      </c>
      <c r="G43" t="inlineStr">
        <is>
          <t>g/day</t>
        </is>
      </c>
      <c r="H43" t="n">
        <v>2021</v>
      </c>
      <c r="I43" t="inlineStr">
        <is>
          <t>NFCMS</t>
        </is>
      </c>
      <c r="J43" t="n">
        <v>4.2</v>
      </c>
      <c r="K43" t="inlineStr">
        <is>
          <t>[4.0, 4.5]</t>
        </is>
      </c>
      <c r="L43" t="n">
        <v>0.1</v>
      </c>
      <c r="M43" t="inlineStr">
        <is>
          <t>Table 171, page 223</t>
        </is>
      </c>
    </row>
    <row r="44">
      <c r="A44" t="inlineStr">
        <is>
          <t>Nigeria</t>
        </is>
      </c>
      <c r="B44" t="inlineStr">
        <is>
          <t>Bouillon</t>
        </is>
      </c>
      <c r="C44" t="inlineStr">
        <is>
          <t>Total</t>
        </is>
      </c>
      <c r="D44" t="inlineStr">
        <is>
          <t>Female</t>
        </is>
      </c>
      <c r="E44" t="inlineStr">
        <is>
          <t>Vehicle consumption by U5 children -- amount</t>
        </is>
      </c>
      <c r="F44" t="inlineStr">
        <is>
          <t>mean</t>
        </is>
      </c>
      <c r="G44" t="inlineStr">
        <is>
          <t>g/day</t>
        </is>
      </c>
      <c r="H44" t="n">
        <v>2021</v>
      </c>
      <c r="I44" t="inlineStr">
        <is>
          <t>NFCMS</t>
        </is>
      </c>
      <c r="J44" t="n">
        <v>4.1</v>
      </c>
      <c r="K44" t="inlineStr">
        <is>
          <t>[3.8, 4.4]</t>
        </is>
      </c>
      <c r="M44" t="inlineStr">
        <is>
          <t>Table 171, page 223</t>
        </is>
      </c>
    </row>
    <row r="45">
      <c r="A45" t="inlineStr">
        <is>
          <t>Nigeria</t>
        </is>
      </c>
      <c r="B45" t="inlineStr">
        <is>
          <t>Bouillon</t>
        </is>
      </c>
      <c r="C45" t="inlineStr">
        <is>
          <t>Total</t>
        </is>
      </c>
      <c r="D45" t="inlineStr">
        <is>
          <t>Male</t>
        </is>
      </c>
      <c r="E45" t="inlineStr">
        <is>
          <t>Vehicle consumption by U5 children -- amount</t>
        </is>
      </c>
      <c r="F45" t="inlineStr">
        <is>
          <t>mean</t>
        </is>
      </c>
      <c r="G45" t="inlineStr">
        <is>
          <t>g/day</t>
        </is>
      </c>
      <c r="H45" t="n">
        <v>2021</v>
      </c>
      <c r="I45" t="inlineStr">
        <is>
          <t>NFCMS</t>
        </is>
      </c>
      <c r="J45" t="n">
        <v>4.3</v>
      </c>
      <c r="K45" t="inlineStr">
        <is>
          <t>[4.0, 4.6]</t>
        </is>
      </c>
      <c r="M45" t="inlineStr">
        <is>
          <t>Table 171, page 223</t>
        </is>
      </c>
    </row>
    <row r="46">
      <c r="A46" t="inlineStr">
        <is>
          <t>Nigeria</t>
        </is>
      </c>
      <c r="B46" t="inlineStr">
        <is>
          <t>Bouillon</t>
        </is>
      </c>
      <c r="C46" t="inlineStr">
        <is>
          <t>Total</t>
        </is>
      </c>
      <c r="D46" t="inlineStr">
        <is>
          <t>Total</t>
        </is>
      </c>
      <c r="E46" t="inlineStr">
        <is>
          <t>Vehicle consumption by U5 children -- amount</t>
        </is>
      </c>
      <c r="F46" t="inlineStr">
        <is>
          <t>standard deviation</t>
        </is>
      </c>
      <c r="G46" t="inlineStr">
        <is>
          <t>g/day</t>
        </is>
      </c>
      <c r="H46" t="n">
        <v>2021</v>
      </c>
      <c r="I46" t="inlineStr">
        <is>
          <t>NFCMS</t>
        </is>
      </c>
      <c r="J46">
        <f>(5.5-2.5)/1.35</f>
        <v>2.2222222222222219</v>
      </c>
      <c r="M46" t="inlineStr">
        <is>
          <t>Very rough estimate using SD = IQR / 1.35 (normality assumption), IQR reported in table 171</t>
        </is>
      </c>
    </row>
    <row r="47">
      <c r="A47" t="inlineStr">
        <is>
          <t>Nigeria</t>
        </is>
      </c>
      <c r="B47" t="inlineStr">
        <is>
          <t>Bouillon</t>
        </is>
      </c>
      <c r="C47" t="inlineStr">
        <is>
          <t>Total</t>
        </is>
      </c>
      <c r="D47" t="inlineStr">
        <is>
          <t>Female</t>
        </is>
      </c>
      <c r="E47" t="inlineStr">
        <is>
          <t>Vehicle consumption by U5 children -- amount</t>
        </is>
      </c>
      <c r="F47" t="inlineStr">
        <is>
          <t>standard deviation</t>
        </is>
      </c>
      <c r="G47" t="inlineStr">
        <is>
          <t>g/day</t>
        </is>
      </c>
      <c r="H47" t="n">
        <v>2021</v>
      </c>
      <c r="I47" t="inlineStr">
        <is>
          <t>NFCMS</t>
        </is>
      </c>
      <c r="J47">
        <f>(5.4-2.4)/1.35</f>
        <v>2.2222222222222223</v>
      </c>
      <c r="M47" t="inlineStr">
        <is>
          <t>Very rough estimate using SD = IQR / 1.35 (normality assumption), IQR reported in table 171</t>
        </is>
      </c>
    </row>
    <row r="48">
      <c r="A48" t="inlineStr">
        <is>
          <t>Nigeria</t>
        </is>
      </c>
      <c r="B48" t="inlineStr">
        <is>
          <t>Bouillon</t>
        </is>
      </c>
      <c r="C48" t="inlineStr">
        <is>
          <t>Total</t>
        </is>
      </c>
      <c r="D48" t="inlineStr">
        <is>
          <t>Male</t>
        </is>
      </c>
      <c r="E48" t="inlineStr">
        <is>
          <t>Vehicle consumption by U5 children -- amount</t>
        </is>
      </c>
      <c r="F48" t="inlineStr">
        <is>
          <t>standard deviation</t>
        </is>
      </c>
      <c r="G48" t="inlineStr">
        <is>
          <t>g/day</t>
        </is>
      </c>
      <c r="H48" t="n">
        <v>2021</v>
      </c>
      <c r="I48" t="inlineStr">
        <is>
          <t>NFCMS</t>
        </is>
      </c>
      <c r="J48">
        <f>(5.6-2.5)/1.35</f>
        <v>2.2962962962962958</v>
      </c>
      <c r="M48" t="inlineStr">
        <is>
          <t>Very rough estimate using SD = IQR / 1.35 (normality assumption), IQR reported in table 171</t>
        </is>
      </c>
    </row>
    <row r="49" ht="144.75" customHeight="1">
      <c r="A49" t="inlineStr">
        <is>
          <t>Nigeria</t>
        </is>
      </c>
      <c r="B49" t="inlineStr">
        <is>
          <t>Bouillon</t>
        </is>
      </c>
      <c r="C49" t="inlineStr">
        <is>
          <t>Total</t>
        </is>
      </c>
      <c r="D49" t="inlineStr">
        <is>
          <t>Total</t>
        </is>
      </c>
      <c r="E49" t="inlineStr">
        <is>
          <t>Vehicle "fortifiability" (essentially amount industrially produced)</t>
        </is>
      </c>
      <c r="F49" t="inlineStr">
        <is>
          <t>percentage</t>
        </is>
      </c>
      <c r="G49" t="inlineStr">
        <is>
          <t>%</t>
        </is>
      </c>
      <c r="H49" t="n">
        <v>2021</v>
      </c>
      <c r="I49" t="inlineStr">
        <is>
          <t>NFCMS</t>
        </is>
      </c>
      <c r="J49" s="21" t="n">
        <v>0.979612640163099</v>
      </c>
      <c r="K49" s="17" t="n"/>
      <c r="L49" s="17" t="n"/>
      <c r="M49" s="5" t="inlineStr">
        <is>
      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      </is>
      </c>
    </row>
    <row r="50">
      <c r="A50" t="inlineStr">
        <is>
          <t>Nigeria</t>
        </is>
      </c>
      <c r="B50" t="inlineStr">
        <is>
          <t>Bouillon</t>
        </is>
      </c>
      <c r="C50" t="inlineStr">
        <is>
          <t>Lowest</t>
        </is>
      </c>
      <c r="D50" t="inlineStr">
        <is>
          <t>All (assumed same)</t>
        </is>
      </c>
      <c r="E50" t="inlineStr">
        <is>
          <t>Vehicle "fortifiability" (essentially amount industrially produced)</t>
        </is>
      </c>
      <c r="F50" t="inlineStr">
        <is>
          <t>percentage</t>
        </is>
      </c>
      <c r="G50" t="inlineStr">
        <is>
          <t>%</t>
        </is>
      </c>
      <c r="H50" t="n">
        <v>2021</v>
      </c>
      <c r="I50" t="inlineStr">
        <is>
          <t>NFCMS</t>
        </is>
      </c>
      <c r="J50" s="17" t="n">
        <v>0.965732087227414</v>
      </c>
    </row>
    <row r="51">
      <c r="A51" t="inlineStr">
        <is>
          <t>Nigeria</t>
        </is>
      </c>
      <c r="B51" t="inlineStr">
        <is>
          <t>Bouillon</t>
        </is>
      </c>
      <c r="C51" t="inlineStr">
        <is>
          <t>Second</t>
        </is>
      </c>
      <c r="D51" t="inlineStr">
        <is>
          <t>All (assumed same)</t>
        </is>
      </c>
      <c r="E51" t="inlineStr">
        <is>
          <t>Vehicle "fortifiability" (essentially amount industrially produced)</t>
        </is>
      </c>
      <c r="F51" t="inlineStr">
        <is>
          <t>percentage</t>
        </is>
      </c>
      <c r="G51" t="inlineStr">
        <is>
          <t>%</t>
        </is>
      </c>
      <c r="H51" t="n">
        <v>2021</v>
      </c>
      <c r="I51" t="inlineStr">
        <is>
          <t>NFCMS</t>
        </is>
      </c>
      <c r="J51" s="7" t="n">
        <v>0.9785932721712538</v>
      </c>
    </row>
    <row r="52">
      <c r="A52" t="inlineStr">
        <is>
          <t>Nigeria</t>
        </is>
      </c>
      <c r="B52" t="inlineStr">
        <is>
          <t>Bouillon</t>
        </is>
      </c>
      <c r="C52" t="inlineStr">
        <is>
          <t>Middle</t>
        </is>
      </c>
      <c r="D52" t="inlineStr">
        <is>
          <t>All (assumed same)</t>
        </is>
      </c>
      <c r="E52" t="inlineStr">
        <is>
          <t>Vehicle "fortifiability" (essentially amount industrially produced)</t>
        </is>
      </c>
      <c r="F52" t="inlineStr">
        <is>
          <t>percentage</t>
        </is>
      </c>
      <c r="G52" t="inlineStr">
        <is>
          <t>%</t>
        </is>
      </c>
      <c r="H52" t="n">
        <v>2021</v>
      </c>
      <c r="I52" t="inlineStr">
        <is>
          <t>NFCMS</t>
        </is>
      </c>
      <c r="J52" s="20" t="n">
        <v>0.9808467741935484</v>
      </c>
    </row>
    <row r="53">
      <c r="A53" t="inlineStr">
        <is>
          <t>Nigeria</t>
        </is>
      </c>
      <c r="B53" t="inlineStr">
        <is>
          <t>Bouillon</t>
        </is>
      </c>
      <c r="C53" t="inlineStr">
        <is>
          <t>Fourth</t>
        </is>
      </c>
      <c r="D53" t="inlineStr">
        <is>
          <t>All (assumed same)</t>
        </is>
      </c>
      <c r="E53" t="inlineStr">
        <is>
          <t>Vehicle "fortifiability" (essentially amount industrially produced)</t>
        </is>
      </c>
      <c r="F53" t="inlineStr">
        <is>
          <t>percentage</t>
        </is>
      </c>
      <c r="G53" t="inlineStr">
        <is>
          <t>%</t>
        </is>
      </c>
      <c r="H53" t="n">
        <v>2021</v>
      </c>
      <c r="I53" t="inlineStr">
        <is>
          <t>NFCMS</t>
        </is>
      </c>
      <c r="J53" s="7" t="n">
        <v>0.9888438133874239</v>
      </c>
    </row>
    <row r="54">
      <c r="A54" t="inlineStr">
        <is>
          <t>Nigeria</t>
        </is>
      </c>
      <c r="B54" t="inlineStr">
        <is>
          <t>Bouillon</t>
        </is>
      </c>
      <c r="C54" t="inlineStr">
        <is>
          <t>Highest</t>
        </is>
      </c>
      <c r="D54" t="inlineStr">
        <is>
          <t>All (assumed same)</t>
        </is>
      </c>
      <c r="E54" t="inlineStr">
        <is>
          <t>Vehicle "fortifiability" (essentially amount industrially produced)</t>
        </is>
      </c>
      <c r="F54" t="inlineStr">
        <is>
          <t>percentage</t>
        </is>
      </c>
      <c r="G54" t="inlineStr">
        <is>
          <t>%</t>
        </is>
      </c>
      <c r="H54" t="n">
        <v>2021</v>
      </c>
      <c r="I54" t="inlineStr">
        <is>
          <t>NFCMS</t>
        </is>
      </c>
      <c r="J54" s="20" t="n">
        <v>0.9837728194726166</v>
      </c>
    </row>
    <row r="55" ht="57.75" customHeight="1">
      <c r="A55" t="inlineStr">
        <is>
          <t>India</t>
        </is>
      </c>
      <c r="B55" t="inlineStr">
        <is>
          <t>Rice</t>
        </is>
      </c>
      <c r="C55" t="inlineStr">
        <is>
          <t>Total</t>
        </is>
      </c>
      <c r="D55" t="inlineStr">
        <is>
          <t>All (assumed same)</t>
        </is>
      </c>
      <c r="E55" t="inlineStr">
        <is>
          <t>Vehicle "fortifiability" (essentially amount industrially produced)</t>
        </is>
      </c>
      <c r="F55" t="inlineStr">
        <is>
          <t>percentage</t>
        </is>
      </c>
      <c r="G55" t="inlineStr">
        <is>
          <t>%</t>
        </is>
      </c>
      <c r="H55" t="n">
        <v>2024</v>
      </c>
      <c r="I55" t="inlineStr">
        <is>
          <t>Laura Key (BCG), "India_Bangladesh_data" (note in "Vehicles - preschool!Q48" of "20260416_Input data to IHME models.xlsx"</t>
        </is>
      </c>
      <c r="J55" s="21" t="n">
        <v>0.45</v>
      </c>
      <c r="M55" s="5" t="inlineStr">
        <is>
          <t>51.3% "Industry consolidation" sent by Jonathan Gorstein in a spreadsheet on 7/19/2024 according to M4N Database, but on 8/15/2024 we agreed to consider all open-market rice unfortifiable; in 2025 or 26 Laura Key (Boston Consulting Group) put 45% in the "Vehicles - preschool" sheet entry for India Rice Industry consolidation</t>
        </is>
      </c>
    </row>
    <row r="56" ht="15" customHeight="1">
      <c r="A56" t="inlineStr">
        <is>
          <t>Nigeria</t>
        </is>
      </c>
      <c r="B56" t="inlineStr">
        <is>
          <t>Rice</t>
        </is>
      </c>
      <c r="C56" t="inlineStr">
        <is>
          <t>All (assumed same)</t>
        </is>
      </c>
      <c r="D56" t="inlineStr">
        <is>
          <t>All (assumed same)</t>
        </is>
      </c>
      <c r="E56" t="inlineStr">
        <is>
          <t>Vehicle "fortifiability" (essentially amount industrially produced)</t>
        </is>
      </c>
      <c r="F56" t="inlineStr">
        <is>
          <t>percentage</t>
        </is>
      </c>
      <c r="G56" t="inlineStr">
        <is>
          <t>%</t>
        </is>
      </c>
      <c r="I56" t="inlineStr">
        <is>
          <t>BCG-measured tonnage</t>
        </is>
      </c>
      <c r="J56" s="7" t="n">
        <v>0.74</v>
      </c>
      <c r="M56" s="5" t="inlineStr">
        <is>
          <t>"Updated for Portfolio Review - 3.92 / 5.23 MT" and is attributed to Laura Key (Boston Consulting Group), from "20260416_Input data to IHME models.xlsx" and on both the "Vehicles - WRA" and "Vehicles - Preschool" sheets, cell Q10</t>
        </is>
      </c>
    </row>
    <row r="57" ht="43.5" customHeight="1">
      <c r="A57" t="inlineStr">
        <is>
          <t>Nigeria</t>
        </is>
      </c>
      <c r="B57" t="inlineStr">
        <is>
          <t>Rice</t>
        </is>
      </c>
      <c r="C57" t="inlineStr">
        <is>
          <t>Total</t>
        </is>
      </c>
      <c r="D57" t="inlineStr">
        <is>
          <t>Female</t>
        </is>
      </c>
      <c r="E57" t="inlineStr">
        <is>
          <t>Vehicle consumption by WRA -- amount</t>
        </is>
      </c>
      <c r="F57" t="inlineStr">
        <is>
          <t>mean</t>
        </is>
      </c>
      <c r="G57" t="inlineStr">
        <is>
          <t>g/day</t>
        </is>
      </c>
      <c r="H57" t="n">
        <v>2021</v>
      </c>
      <c r="I57" t="inlineStr">
        <is>
          <t>NFCMS</t>
        </is>
      </c>
      <c r="J57">
        <f>61.2*J63</f>
        <v>32.803200000000004</v>
      </c>
      <c r="M57" s="5" t="inlineStr">
        <is>
          <t>Table 172, page 224; based on email from Jonathan Gorstein 8/31 we have assumed the number reported is among consumers, so have multiplied it by coverage here</t>
        </is>
      </c>
    </row>
    <row r="58" ht="43.5" customHeight="1">
      <c r="A58" t="inlineStr">
        <is>
          <t>Nigeria</t>
        </is>
      </c>
      <c r="B58" t="inlineStr">
        <is>
          <t>Rice</t>
        </is>
      </c>
      <c r="C58" t="inlineStr">
        <is>
          <t>Lowest</t>
        </is>
      </c>
      <c r="D58" t="inlineStr">
        <is>
          <t>Female</t>
        </is>
      </c>
      <c r="E58" t="inlineStr">
        <is>
          <t>Vehicle consumption by WRA -- amount</t>
        </is>
      </c>
      <c r="F58" t="inlineStr">
        <is>
          <t>mean</t>
        </is>
      </c>
      <c r="G58" t="inlineStr">
        <is>
          <t>g/day</t>
        </is>
      </c>
      <c r="H58" t="n">
        <v>2021</v>
      </c>
      <c r="I58" t="inlineStr">
        <is>
          <t>NFCMS</t>
        </is>
      </c>
      <c r="J58">
        <f>34.2*J64</f>
        <v>11.491200000000001</v>
      </c>
      <c r="M58" s="5" t="inlineStr">
        <is>
          <t>Table 172, page 224; based on email from Jonathan Gorstein 8/31 we have assumed the number reported is among consumers, so have multiplied it by coverage here</t>
        </is>
      </c>
    </row>
    <row r="59" ht="43.5" customHeight="1">
      <c r="A59" t="inlineStr">
        <is>
          <t>Nigeria</t>
        </is>
      </c>
      <c r="B59" t="inlineStr">
        <is>
          <t>Rice</t>
        </is>
      </c>
      <c r="C59" t="inlineStr">
        <is>
          <t>Second</t>
        </is>
      </c>
      <c r="D59" t="inlineStr">
        <is>
          <t>Female</t>
        </is>
      </c>
      <c r="E59" t="inlineStr">
        <is>
          <t>Vehicle consumption by WRA -- amount</t>
        </is>
      </c>
      <c r="F59" t="inlineStr">
        <is>
          <t>mean</t>
        </is>
      </c>
      <c r="G59" t="inlineStr">
        <is>
          <t>g/day</t>
        </is>
      </c>
      <c r="H59" t="n">
        <v>2021</v>
      </c>
      <c r="I59" t="inlineStr">
        <is>
          <t>NFCMS</t>
        </is>
      </c>
      <c r="J59">
        <f>52.4*J65</f>
        <v>23.475200000000001</v>
      </c>
      <c r="M59" s="5" t="inlineStr">
        <is>
          <t>Table 172, page 224; based on email from Jonathan Gorstein 8/31 we have assumed the number reported is among consumers, so have multiplied it by coverage here</t>
        </is>
      </c>
    </row>
    <row r="60" ht="43.5" customHeight="1">
      <c r="A60" t="inlineStr">
        <is>
          <t>Nigeria</t>
        </is>
      </c>
      <c r="B60" t="inlineStr">
        <is>
          <t>Rice</t>
        </is>
      </c>
      <c r="C60" t="inlineStr">
        <is>
          <t>Middle</t>
        </is>
      </c>
      <c r="D60" t="inlineStr">
        <is>
          <t>Female</t>
        </is>
      </c>
      <c r="E60" t="inlineStr">
        <is>
          <t>Vehicle consumption by WRA -- amount</t>
        </is>
      </c>
      <c r="F60" t="inlineStr">
        <is>
          <t>mean</t>
        </is>
      </c>
      <c r="G60" t="inlineStr">
        <is>
          <t>g/day</t>
        </is>
      </c>
      <c r="H60" t="n">
        <v>2021</v>
      </c>
      <c r="I60" t="inlineStr">
        <is>
          <t>NFCMS</t>
        </is>
      </c>
      <c r="J60">
        <f>60.7*J66</f>
        <v>33.142200000000003</v>
      </c>
      <c r="M60" s="5" t="inlineStr">
        <is>
          <t>Table 172, page 224; based on email from Jonathan Gorstein 8/31 we have assumed the number reported is among consumers, so have multiplied it by coverage here</t>
        </is>
      </c>
    </row>
    <row r="61" ht="43.5" customHeight="1">
      <c r="A61" t="inlineStr">
        <is>
          <t>Nigeria</t>
        </is>
      </c>
      <c r="B61" t="inlineStr">
        <is>
          <t>Rice</t>
        </is>
      </c>
      <c r="C61" t="inlineStr">
        <is>
          <t>Fourth</t>
        </is>
      </c>
      <c r="D61" t="inlineStr">
        <is>
          <t>Female</t>
        </is>
      </c>
      <c r="E61" t="inlineStr">
        <is>
          <t>Vehicle consumption by WRA -- amount</t>
        </is>
      </c>
      <c r="F61" t="inlineStr">
        <is>
          <t>mean</t>
        </is>
      </c>
      <c r="G61" t="inlineStr">
        <is>
          <t>g/day</t>
        </is>
      </c>
      <c r="H61" t="n">
        <v>2021</v>
      </c>
      <c r="I61" t="inlineStr">
        <is>
          <t>NFCMS</t>
        </is>
      </c>
      <c r="J61">
        <f>73.7*J67</f>
        <v>46.652100000000004</v>
      </c>
      <c r="M61" s="5" t="inlineStr">
        <is>
          <t>Table 172, page 224; based on email from Jonathan Gorstein 8/31 we have assumed the number reported is among consumers, so have multiplied it by coverage here</t>
        </is>
      </c>
    </row>
    <row r="62" ht="43.5" customHeight="1">
      <c r="A62" t="inlineStr">
        <is>
          <t>Nigeria</t>
        </is>
      </c>
      <c r="B62" t="inlineStr">
        <is>
          <t>Rice</t>
        </is>
      </c>
      <c r="C62" t="inlineStr">
        <is>
          <t>Highest</t>
        </is>
      </c>
      <c r="D62" t="inlineStr">
        <is>
          <t>Female</t>
        </is>
      </c>
      <c r="E62" t="inlineStr">
        <is>
          <t>Vehicle consumption by WRA -- amount</t>
        </is>
      </c>
      <c r="F62" t="inlineStr">
        <is>
          <t>mean</t>
        </is>
      </c>
      <c r="G62" t="inlineStr">
        <is>
          <t>g/day</t>
        </is>
      </c>
      <c r="H62" t="n">
        <v>2021</v>
      </c>
      <c r="I62" t="inlineStr">
        <is>
          <t>NFCMS</t>
        </is>
      </c>
      <c r="J62">
        <f>79.5*J68</f>
        <v>53.742000000000004</v>
      </c>
      <c r="M62" s="5" t="inlineStr">
        <is>
          <t>Table 172, page 224; based on email from Jonathan Gorstein 8/31 we have assumed the number reported is among consumers, so have multiplied it by coverage here</t>
        </is>
      </c>
    </row>
    <row r="63" ht="29.25" customHeight="1">
      <c r="A63" t="inlineStr">
        <is>
          <t>Nigeria</t>
        </is>
      </c>
      <c r="B63" t="inlineStr">
        <is>
          <t>Rice</t>
        </is>
      </c>
      <c r="C63" t="inlineStr">
        <is>
          <t>Total</t>
        </is>
      </c>
      <c r="D63" t="inlineStr">
        <is>
          <t>Female</t>
        </is>
      </c>
      <c r="E63" t="inlineStr">
        <is>
          <t>Vehicle consumption by WRA -- any</t>
        </is>
      </c>
      <c r="F63" t="inlineStr">
        <is>
          <t>percentage</t>
        </is>
      </c>
      <c r="G63" t="inlineStr">
        <is>
          <t>%</t>
        </is>
      </c>
      <c r="I63" t="inlineStr">
        <is>
          <t>INTAKE</t>
        </is>
      </c>
      <c r="J63" s="21" t="n">
        <v>0.536</v>
      </c>
      <c r="M63" s="5" t="inlineStr">
        <is>
          <t>INTAKE tabulation of NFCMS (?) shared by Jonathan Gorstein on 8/30; presumably in WRA</t>
        </is>
      </c>
    </row>
    <row r="64">
      <c r="A64" t="inlineStr">
        <is>
          <t>Nigeria</t>
        </is>
      </c>
      <c r="B64" t="inlineStr">
        <is>
          <t>Rice</t>
        </is>
      </c>
      <c r="C64" t="inlineStr">
        <is>
          <t>Lowest</t>
        </is>
      </c>
      <c r="D64" t="inlineStr">
        <is>
          <t>Female</t>
        </is>
      </c>
      <c r="E64" t="inlineStr">
        <is>
          <t>Vehicle consumption by WRA -- any</t>
        </is>
      </c>
      <c r="F64" t="inlineStr">
        <is>
          <t>percentage</t>
        </is>
      </c>
      <c r="G64" t="inlineStr">
        <is>
          <t>%</t>
        </is>
      </c>
      <c r="I64" t="inlineStr">
        <is>
          <t>INTAKE</t>
        </is>
      </c>
      <c r="J64" s="21" t="n">
        <v>0.336</v>
      </c>
    </row>
    <row r="65">
      <c r="A65" t="inlineStr">
        <is>
          <t>Nigeria</t>
        </is>
      </c>
      <c r="B65" t="inlineStr">
        <is>
          <t>Rice</t>
        </is>
      </c>
      <c r="C65" t="inlineStr">
        <is>
          <t>Second</t>
        </is>
      </c>
      <c r="D65" t="inlineStr">
        <is>
          <t>Female</t>
        </is>
      </c>
      <c r="E65" t="inlineStr">
        <is>
          <t>Vehicle consumption by WRA -- any</t>
        </is>
      </c>
      <c r="F65" t="inlineStr">
        <is>
          <t>percentage</t>
        </is>
      </c>
      <c r="G65" t="inlineStr">
        <is>
          <t>%</t>
        </is>
      </c>
      <c r="I65" t="inlineStr">
        <is>
          <t>INTAKE</t>
        </is>
      </c>
      <c r="J65" s="21" t="n">
        <v>0.448</v>
      </c>
    </row>
    <row r="66">
      <c r="A66" t="inlineStr">
        <is>
          <t>Nigeria</t>
        </is>
      </c>
      <c r="B66" t="inlineStr">
        <is>
          <t>Rice</t>
        </is>
      </c>
      <c r="C66" t="inlineStr">
        <is>
          <t>Middle</t>
        </is>
      </c>
      <c r="D66" t="inlineStr">
        <is>
          <t>Female</t>
        </is>
      </c>
      <c r="E66" t="inlineStr">
        <is>
          <t>Vehicle consumption by WRA -- any</t>
        </is>
      </c>
      <c r="F66" t="inlineStr">
        <is>
          <t>percentage</t>
        </is>
      </c>
      <c r="G66" t="inlineStr">
        <is>
          <t>%</t>
        </is>
      </c>
      <c r="I66" t="inlineStr">
        <is>
          <t>INTAKE</t>
        </is>
      </c>
      <c r="J66" s="21" t="n">
        <v>0.546</v>
      </c>
    </row>
    <row r="67">
      <c r="A67" t="inlineStr">
        <is>
          <t>Nigeria</t>
        </is>
      </c>
      <c r="B67" t="inlineStr">
        <is>
          <t>Rice</t>
        </is>
      </c>
      <c r="C67" t="inlineStr">
        <is>
          <t>Fourth</t>
        </is>
      </c>
      <c r="D67" t="inlineStr">
        <is>
          <t>Female</t>
        </is>
      </c>
      <c r="E67" t="inlineStr">
        <is>
          <t>Vehicle consumption by WRA -- any</t>
        </is>
      </c>
      <c r="F67" t="inlineStr">
        <is>
          <t>percentage</t>
        </is>
      </c>
      <c r="G67" t="inlineStr">
        <is>
          <t>%</t>
        </is>
      </c>
      <c r="I67" t="inlineStr">
        <is>
          <t>INTAKE</t>
        </is>
      </c>
      <c r="J67" s="21" t="n">
        <v>0.633</v>
      </c>
    </row>
    <row r="68">
      <c r="A68" t="inlineStr">
        <is>
          <t>Nigeria</t>
        </is>
      </c>
      <c r="B68" t="inlineStr">
        <is>
          <t>Rice</t>
        </is>
      </c>
      <c r="C68" t="inlineStr">
        <is>
          <t>Highest</t>
        </is>
      </c>
      <c r="D68" t="inlineStr">
        <is>
          <t>Female</t>
        </is>
      </c>
      <c r="E68" t="inlineStr">
        <is>
          <t>Vehicle consumption by WRA -- any</t>
        </is>
      </c>
      <c r="F68" t="inlineStr">
        <is>
          <t>percentage</t>
        </is>
      </c>
      <c r="G68" t="inlineStr">
        <is>
          <t>%</t>
        </is>
      </c>
      <c r="I68" t="inlineStr">
        <is>
          <t>INTAKE</t>
        </is>
      </c>
      <c r="J68" s="21" t="n">
        <v>0.676</v>
      </c>
    </row>
    <row r="69" ht="29.25" customHeight="1">
      <c r="A69" t="inlineStr">
        <is>
          <t>Nigeria</t>
        </is>
      </c>
      <c r="B69" t="inlineStr">
        <is>
          <t>Rice</t>
        </is>
      </c>
      <c r="C69" t="inlineStr">
        <is>
          <t>Total</t>
        </is>
      </c>
      <c r="D69" t="inlineStr">
        <is>
          <t>Female</t>
        </is>
      </c>
      <c r="E69" t="inlineStr">
        <is>
          <t>Vehicle consumption by WRA -- amount</t>
        </is>
      </c>
      <c r="F69" t="inlineStr">
        <is>
          <t>standard deviation</t>
        </is>
      </c>
      <c r="G69" t="inlineStr">
        <is>
          <t>g/day</t>
        </is>
      </c>
      <c r="H69" t="n">
        <v>2021</v>
      </c>
      <c r="I69" t="inlineStr">
        <is>
          <t>NFCMS</t>
        </is>
      </c>
      <c r="J69">
        <f>(84.6-30.5)/1.35</f>
        <v>40.074074074074069</v>
      </c>
      <c r="M69" s="5" t="inlineStr">
        <is>
          <t>Very rough estimate using SD = IQR / 1.35 (normality assumption), IQR reported in table 172</t>
        </is>
      </c>
    </row>
    <row r="70">
      <c r="A70" t="inlineStr">
        <is>
          <t>Nigeria</t>
        </is>
      </c>
      <c r="B70" t="inlineStr">
        <is>
          <t>Rice</t>
        </is>
      </c>
      <c r="C70" t="inlineStr">
        <is>
          <t>Lowest</t>
        </is>
      </c>
      <c r="D70" t="inlineStr">
        <is>
          <t>Female</t>
        </is>
      </c>
      <c r="E70" t="inlineStr">
        <is>
          <t>Vehicle consumption by WRA -- amount</t>
        </is>
      </c>
      <c r="F70" t="inlineStr">
        <is>
          <t>standard deviation</t>
        </is>
      </c>
      <c r="G70" t="inlineStr">
        <is>
          <t>g/day</t>
        </is>
      </c>
      <c r="H70" t="n">
        <v>2021</v>
      </c>
      <c r="I70" t="inlineStr">
        <is>
          <t>NFCMS</t>
        </is>
      </c>
      <c r="J70">
        <f>(47.2-13.7)/1.35</f>
        <v>24.814814814814813</v>
      </c>
    </row>
    <row r="71">
      <c r="A71" t="inlineStr">
        <is>
          <t>Nigeria</t>
        </is>
      </c>
      <c r="B71" t="inlineStr">
        <is>
          <t>Rice</t>
        </is>
      </c>
      <c r="C71" t="inlineStr">
        <is>
          <t>Second</t>
        </is>
      </c>
      <c r="D71" t="inlineStr">
        <is>
          <t>Female</t>
        </is>
      </c>
      <c r="E71" t="inlineStr">
        <is>
          <t>Vehicle consumption by WRA -- amount</t>
        </is>
      </c>
      <c r="F71" t="inlineStr">
        <is>
          <t>standard deviation</t>
        </is>
      </c>
      <c r="G71" t="inlineStr">
        <is>
          <t>g/day</t>
        </is>
      </c>
      <c r="H71" t="n">
        <v>2021</v>
      </c>
      <c r="I71" t="inlineStr">
        <is>
          <t>NFCMS</t>
        </is>
      </c>
      <c r="J71">
        <f>(71.4-26.4)/1.35</f>
        <v>33.333333333333336</v>
      </c>
    </row>
    <row r="72">
      <c r="A72" t="inlineStr">
        <is>
          <t>Nigeria</t>
        </is>
      </c>
      <c r="B72" t="inlineStr">
        <is>
          <t>Rice</t>
        </is>
      </c>
      <c r="C72" t="inlineStr">
        <is>
          <t>Middle</t>
        </is>
      </c>
      <c r="D72" t="inlineStr">
        <is>
          <t>Female</t>
        </is>
      </c>
      <c r="E72" t="inlineStr">
        <is>
          <t>Vehicle consumption by WRA -- amount</t>
        </is>
      </c>
      <c r="F72" t="inlineStr">
        <is>
          <t>standard deviation</t>
        </is>
      </c>
      <c r="G72" t="inlineStr">
        <is>
          <t>g/day</t>
        </is>
      </c>
      <c r="H72" t="n">
        <v>2021</v>
      </c>
      <c r="I72" t="inlineStr">
        <is>
          <t>NFCMS</t>
        </is>
      </c>
      <c r="J72">
        <f>(81.1-33.8)/1.35</f>
        <v>35.037037037037031</v>
      </c>
    </row>
    <row r="73">
      <c r="A73" t="inlineStr">
        <is>
          <t>Nigeria</t>
        </is>
      </c>
      <c r="B73" t="inlineStr">
        <is>
          <t>Rice</t>
        </is>
      </c>
      <c r="C73" t="inlineStr">
        <is>
          <t>Fourth</t>
        </is>
      </c>
      <c r="D73" t="inlineStr">
        <is>
          <t>Female</t>
        </is>
      </c>
      <c r="E73" t="inlineStr">
        <is>
          <t>Vehicle consumption by WRA -- amount</t>
        </is>
      </c>
      <c r="F73" t="inlineStr">
        <is>
          <t>standard deviation</t>
        </is>
      </c>
      <c r="G73" t="inlineStr">
        <is>
          <t>g/day</t>
        </is>
      </c>
      <c r="H73" t="n">
        <v>2021</v>
      </c>
      <c r="I73" t="inlineStr">
        <is>
          <t>NFCMS</t>
        </is>
      </c>
      <c r="J73">
        <f>(96.3-45.3)/1.35</f>
        <v>37.777777777777779</v>
      </c>
    </row>
    <row r="74">
      <c r="A74" t="inlineStr">
        <is>
          <t>Nigeria</t>
        </is>
      </c>
      <c r="B74" t="inlineStr">
        <is>
          <t>Rice</t>
        </is>
      </c>
      <c r="C74" t="inlineStr">
        <is>
          <t>Highest</t>
        </is>
      </c>
      <c r="D74" t="inlineStr">
        <is>
          <t>Female</t>
        </is>
      </c>
      <c r="E74" t="inlineStr">
        <is>
          <t>Vehicle consumption by WRA -- amount</t>
        </is>
      </c>
      <c r="F74" t="inlineStr">
        <is>
          <t>standard deviation</t>
        </is>
      </c>
      <c r="G74" t="inlineStr">
        <is>
          <t>g/day</t>
        </is>
      </c>
      <c r="H74" t="n">
        <v>2021</v>
      </c>
      <c r="I74" t="inlineStr">
        <is>
          <t>NFCMS</t>
        </is>
      </c>
      <c r="J74">
        <f>(103.1-50.4)/1.35</f>
        <v>39.037037037037031</v>
      </c>
    </row>
    <row r="75" ht="43.5" customHeight="1">
      <c r="A75" t="inlineStr">
        <is>
          <t>Nigeria</t>
        </is>
      </c>
      <c r="B75" t="inlineStr">
        <is>
          <t>Rice</t>
        </is>
      </c>
      <c r="C75" t="inlineStr">
        <is>
          <t>Total</t>
        </is>
      </c>
      <c r="D75" t="inlineStr">
        <is>
          <t>Total</t>
        </is>
      </c>
      <c r="E75" t="inlineStr">
        <is>
          <t>Vehicle consumption by U5 children -- amount</t>
        </is>
      </c>
      <c r="F75" t="inlineStr">
        <is>
          <t>mean</t>
        </is>
      </c>
      <c r="G75" t="inlineStr">
        <is>
          <t>g/day</t>
        </is>
      </c>
      <c r="H75" t="n">
        <v>2021</v>
      </c>
      <c r="I75" t="inlineStr">
        <is>
          <t>NFCMS</t>
        </is>
      </c>
      <c r="J75">
        <f>38.3*J81</f>
        <v>20.5288</v>
      </c>
      <c r="M75" s="5" t="inlineStr">
        <is>
          <t>Table 173, page 224; based on email from Jonathan Gorstein 8/31 we have assumed the number reported is among consumers, so have multiplied it by coverage here</t>
        </is>
      </c>
    </row>
    <row r="76" ht="43.5" customHeight="1">
      <c r="A76" t="inlineStr">
        <is>
          <t>Nigeria</t>
        </is>
      </c>
      <c r="B76" t="inlineStr">
        <is>
          <t>Rice</t>
        </is>
      </c>
      <c r="C76" t="inlineStr">
        <is>
          <t>Total</t>
        </is>
      </c>
      <c r="D76" t="inlineStr">
        <is>
          <t>Female</t>
        </is>
      </c>
      <c r="E76" t="inlineStr">
        <is>
          <t>Vehicle consumption by U5 children -- amount</t>
        </is>
      </c>
      <c r="F76" t="inlineStr">
        <is>
          <t>mean</t>
        </is>
      </c>
      <c r="G76" t="inlineStr">
        <is>
          <t>g/day</t>
        </is>
      </c>
      <c r="H76" t="n">
        <v>2021</v>
      </c>
      <c r="I76" t="inlineStr">
        <is>
          <t>NFCMS</t>
        </is>
      </c>
      <c r="J76">
        <f>35.5*J81</f>
        <v>19.028000000000002</v>
      </c>
      <c r="M76" s="5" t="inlineStr">
        <is>
          <t>Table 173, page 224; based on email from Jonathan Gorstein 8/31 we have assumed the number reported is among consumers, so have multiplied it by coverage here</t>
        </is>
      </c>
    </row>
    <row r="77" ht="43.5" customHeight="1">
      <c r="A77" t="inlineStr">
        <is>
          <t>Nigeria</t>
        </is>
      </c>
      <c r="B77" t="inlineStr">
        <is>
          <t>Rice</t>
        </is>
      </c>
      <c r="C77" t="inlineStr">
        <is>
          <t>Total</t>
        </is>
      </c>
      <c r="D77" t="inlineStr">
        <is>
          <t>Male</t>
        </is>
      </c>
      <c r="E77" t="inlineStr">
        <is>
          <t>Vehicle consumption by U5 children -- amount</t>
        </is>
      </c>
      <c r="F77" t="inlineStr">
        <is>
          <t>mean</t>
        </is>
      </c>
      <c r="G77" t="inlineStr">
        <is>
          <t>g/day</t>
        </is>
      </c>
      <c r="H77" t="n">
        <v>2021</v>
      </c>
      <c r="I77" t="inlineStr">
        <is>
          <t>NFCMS</t>
        </is>
      </c>
      <c r="J77">
        <f>41*J81</f>
        <v>21.976000000000003</v>
      </c>
      <c r="M77" s="5" t="inlineStr">
        <is>
          <t>Table 173, page 224; based on email from Jonathan Gorstein 8/31 we have assumed the number reported is among consumers, so have multiplied it by coverage here</t>
        </is>
      </c>
    </row>
    <row r="78" ht="29.25" customHeight="1">
      <c r="A78" t="inlineStr">
        <is>
          <t>Nigeria</t>
        </is>
      </c>
      <c r="B78" t="inlineStr">
        <is>
          <t>Rice</t>
        </is>
      </c>
      <c r="C78" t="inlineStr">
        <is>
          <t>Total</t>
        </is>
      </c>
      <c r="D78" t="inlineStr">
        <is>
          <t>Total</t>
        </is>
      </c>
      <c r="E78" t="inlineStr">
        <is>
          <t>Vehicle consumption by U5 children -- amount</t>
        </is>
      </c>
      <c r="F78" t="inlineStr">
        <is>
          <t>standard deviation</t>
        </is>
      </c>
      <c r="G78" t="inlineStr">
        <is>
          <t>g/day</t>
        </is>
      </c>
      <c r="H78" t="n">
        <v>2021</v>
      </c>
      <c r="I78" t="inlineStr">
        <is>
          <t>NFCMS</t>
        </is>
      </c>
      <c r="J78">
        <f>(53.6-19)/1.35</f>
        <v>25.62962962962963</v>
      </c>
      <c r="M78" s="5" t="inlineStr">
        <is>
          <t>Very rough estimate using SD = IQR / 1.35 (normality assumption), IQR reported in table 173</t>
        </is>
      </c>
    </row>
    <row r="79" ht="29.25" customHeight="1">
      <c r="A79" t="inlineStr">
        <is>
          <t>Nigeria</t>
        </is>
      </c>
      <c r="B79" t="inlineStr">
        <is>
          <t>Rice</t>
        </is>
      </c>
      <c r="C79" t="inlineStr">
        <is>
          <t>Total</t>
        </is>
      </c>
      <c r="D79" t="inlineStr">
        <is>
          <t>Female</t>
        </is>
      </c>
      <c r="E79" t="inlineStr">
        <is>
          <t>Vehicle consumption by U5 children -- amount</t>
        </is>
      </c>
      <c r="F79" t="inlineStr">
        <is>
          <t>standard deviation</t>
        </is>
      </c>
      <c r="G79" t="inlineStr">
        <is>
          <t>g/day</t>
        </is>
      </c>
      <c r="H79" t="n">
        <v>2021</v>
      </c>
      <c r="I79" t="inlineStr">
        <is>
          <t>NFCMS</t>
        </is>
      </c>
      <c r="J79">
        <f>(49.5-17.1)/1.35</f>
        <v>23.999999999999996</v>
      </c>
      <c r="M79" s="5" t="inlineStr">
        <is>
          <t>Very rough estimate using SD = IQR / 1.35 (normality assumption), IQR reported in table 173</t>
        </is>
      </c>
    </row>
    <row r="80" ht="29.25" customHeight="1">
      <c r="A80" t="inlineStr">
        <is>
          <t>Nigeria</t>
        </is>
      </c>
      <c r="B80" t="inlineStr">
        <is>
          <t>Rice</t>
        </is>
      </c>
      <c r="C80" t="inlineStr">
        <is>
          <t>Total</t>
        </is>
      </c>
      <c r="D80" t="inlineStr">
        <is>
          <t>Male</t>
        </is>
      </c>
      <c r="E80" t="inlineStr">
        <is>
          <t>Vehicle consumption by U5 children -- amount</t>
        </is>
      </c>
      <c r="F80" t="inlineStr">
        <is>
          <t>standard deviation</t>
        </is>
      </c>
      <c r="G80" t="inlineStr">
        <is>
          <t>g/day</t>
        </is>
      </c>
      <c r="H80" t="n">
        <v>2021</v>
      </c>
      <c r="I80" t="inlineStr">
        <is>
          <t>NFCMS</t>
        </is>
      </c>
      <c r="J80">
        <f>(57.6-20.7)/1.35</f>
        <v>27.333333333333336</v>
      </c>
      <c r="M80" s="5" t="inlineStr">
        <is>
          <t>Very rough estimate using SD = IQR / 1.35 (normality assumption), IQR reported in table 173</t>
        </is>
      </c>
    </row>
    <row r="81" ht="29.25" customHeight="1">
      <c r="A81" t="inlineStr">
        <is>
          <t>Nigeria</t>
        </is>
      </c>
      <c r="B81" t="inlineStr">
        <is>
          <t>Rice</t>
        </is>
      </c>
      <c r="C81" t="inlineStr">
        <is>
          <t>Total</t>
        </is>
      </c>
      <c r="D81" t="inlineStr">
        <is>
          <t>All (assumed same)</t>
        </is>
      </c>
      <c r="E81" t="inlineStr">
        <is>
          <t>Vehicle consumption by U5 children -- any</t>
        </is>
      </c>
      <c r="F81" t="inlineStr">
        <is>
          <t>percentage</t>
        </is>
      </c>
      <c r="G81" t="inlineStr">
        <is>
          <t>%</t>
        </is>
      </c>
      <c r="I81" t="inlineStr">
        <is>
          <t>INTAKE</t>
        </is>
      </c>
      <c r="J81" s="21" t="n">
        <v>0.536</v>
      </c>
      <c r="M81" s="5" t="inlineStr">
        <is>
          <t>INTAKE tabulation of NFCMS (?) shared by Jonathan Gorstein on 8/30; presumably in WRA</t>
        </is>
      </c>
    </row>
    <row r="82">
      <c r="A82" t="inlineStr">
        <is>
          <t>Nigeria</t>
        </is>
      </c>
      <c r="B82" t="inlineStr">
        <is>
          <t>Rice</t>
        </is>
      </c>
      <c r="C82" t="inlineStr">
        <is>
          <t>Lowest</t>
        </is>
      </c>
      <c r="D82" t="inlineStr">
        <is>
          <t>All (assumed same)</t>
        </is>
      </c>
      <c r="E82" t="inlineStr">
        <is>
          <t>Vehicle consumption by U5 children -- any</t>
        </is>
      </c>
      <c r="F82" t="inlineStr">
        <is>
          <t>percentage</t>
        </is>
      </c>
      <c r="G82" t="inlineStr">
        <is>
          <t>%</t>
        </is>
      </c>
      <c r="I82" t="inlineStr">
        <is>
          <t>INTAKE</t>
        </is>
      </c>
      <c r="J82" s="21" t="n">
        <v>0.336</v>
      </c>
    </row>
    <row r="83">
      <c r="A83" t="inlineStr">
        <is>
          <t>Nigeria</t>
        </is>
      </c>
      <c r="B83" t="inlineStr">
        <is>
          <t>Rice</t>
        </is>
      </c>
      <c r="C83" t="inlineStr">
        <is>
          <t>Second</t>
        </is>
      </c>
      <c r="D83" t="inlineStr">
        <is>
          <t>All (assumed same)</t>
        </is>
      </c>
      <c r="E83" t="inlineStr">
        <is>
          <t>Vehicle consumption by U5 children -- any</t>
        </is>
      </c>
      <c r="F83" t="inlineStr">
        <is>
          <t>percentage</t>
        </is>
      </c>
      <c r="G83" t="inlineStr">
        <is>
          <t>%</t>
        </is>
      </c>
      <c r="I83" t="inlineStr">
        <is>
          <t>INTAKE</t>
        </is>
      </c>
      <c r="J83" s="21" t="n">
        <v>0.448</v>
      </c>
    </row>
    <row r="84">
      <c r="A84" t="inlineStr">
        <is>
          <t>Nigeria</t>
        </is>
      </c>
      <c r="B84" t="inlineStr">
        <is>
          <t>Rice</t>
        </is>
      </c>
      <c r="C84" t="inlineStr">
        <is>
          <t>Middle</t>
        </is>
      </c>
      <c r="D84" t="inlineStr">
        <is>
          <t>All (assumed same)</t>
        </is>
      </c>
      <c r="E84" t="inlineStr">
        <is>
          <t>Vehicle consumption by U5 children -- any</t>
        </is>
      </c>
      <c r="F84" t="inlineStr">
        <is>
          <t>percentage</t>
        </is>
      </c>
      <c r="G84" t="inlineStr">
        <is>
          <t>%</t>
        </is>
      </c>
      <c r="I84" t="inlineStr">
        <is>
          <t>INTAKE</t>
        </is>
      </c>
      <c r="J84" s="21" t="n">
        <v>0.546</v>
      </c>
    </row>
    <row r="85">
      <c r="A85" t="inlineStr">
        <is>
          <t>Nigeria</t>
        </is>
      </c>
      <c r="B85" t="inlineStr">
        <is>
          <t>Rice</t>
        </is>
      </c>
      <c r="C85" t="inlineStr">
        <is>
          <t>Fourth</t>
        </is>
      </c>
      <c r="D85" t="inlineStr">
        <is>
          <t>All (assumed same)</t>
        </is>
      </c>
      <c r="E85" t="inlineStr">
        <is>
          <t>Vehicle consumption by U5 children -- any</t>
        </is>
      </c>
      <c r="F85" t="inlineStr">
        <is>
          <t>percentage</t>
        </is>
      </c>
      <c r="G85" t="inlineStr">
        <is>
          <t>%</t>
        </is>
      </c>
      <c r="I85" t="inlineStr">
        <is>
          <t>INTAKE</t>
        </is>
      </c>
      <c r="J85" s="21" t="n">
        <v>0.633</v>
      </c>
    </row>
    <row r="86">
      <c r="A86" t="inlineStr">
        <is>
          <t>Nigeria</t>
        </is>
      </c>
      <c r="B86" t="inlineStr">
        <is>
          <t>Rice</t>
        </is>
      </c>
      <c r="C86" t="inlineStr">
        <is>
          <t>Highest</t>
        </is>
      </c>
      <c r="D86" t="inlineStr">
        <is>
          <t>All (assumed same)</t>
        </is>
      </c>
      <c r="E86" t="inlineStr">
        <is>
          <t>Vehicle consumption by U5 children -- any</t>
        </is>
      </c>
      <c r="F86" t="inlineStr">
        <is>
          <t>percentage</t>
        </is>
      </c>
      <c r="G86" t="inlineStr">
        <is>
          <t>%</t>
        </is>
      </c>
      <c r="I86" t="inlineStr">
        <is>
          <t>INTAKE</t>
        </is>
      </c>
      <c r="J86" s="21" t="n">
        <v>0.676</v>
      </c>
    </row>
    <row r="87">
      <c r="A87" t="inlineStr">
        <is>
          <t>Nigeria</t>
        </is>
      </c>
      <c r="B87" t="inlineStr">
        <is>
          <t>Salt</t>
        </is>
      </c>
      <c r="C87" t="inlineStr">
        <is>
          <t>Total</t>
        </is>
      </c>
      <c r="D87" t="inlineStr">
        <is>
          <t>Female</t>
        </is>
      </c>
      <c r="E87" t="inlineStr">
        <is>
          <t>Vehicle consumption by WRA -- any</t>
        </is>
      </c>
      <c r="F87" t="inlineStr">
        <is>
          <t>percentage</t>
        </is>
      </c>
      <c r="G87" t="inlineStr">
        <is>
          <t>%</t>
        </is>
      </c>
      <c r="H87" t="n">
        <v>2021</v>
      </c>
      <c r="I87" t="inlineStr">
        <is>
          <t>GF 'Input data to IHME models' workbook (2026-04-16) (NFCMS 2021), Vehicles - WRA</t>
        </is>
      </c>
      <c r="J87" t="n">
        <v>0.993</v>
      </c>
      <c r="M87" t="inlineStr">
        <is>
          <t>Coverage 99.3</t>
        </is>
      </c>
    </row>
    <row r="88">
      <c r="A88" t="inlineStr">
        <is>
          <t>Nigeria</t>
        </is>
      </c>
      <c r="B88" t="inlineStr">
        <is>
          <t>Salt</t>
        </is>
      </c>
      <c r="C88" t="inlineStr">
        <is>
          <t>Lowest</t>
        </is>
      </c>
      <c r="D88" t="inlineStr">
        <is>
          <t>Female</t>
        </is>
      </c>
      <c r="E88" t="inlineStr">
        <is>
          <t>Vehicle consumption by WRA -- any</t>
        </is>
      </c>
      <c r="F88" t="inlineStr">
        <is>
          <t>percentage</t>
        </is>
      </c>
      <c r="G88" t="inlineStr">
        <is>
          <t>%</t>
        </is>
      </c>
      <c r="H88" t="n">
        <v>2021</v>
      </c>
      <c r="I88" t="inlineStr">
        <is>
          <t>GF 'Input data to IHME models' workbook (2026-04-16) (NFCMS 2021), Vehicles - WRA</t>
        </is>
      </c>
      <c r="J88" t="n">
        <v>0.995</v>
      </c>
    </row>
    <row r="89">
      <c r="A89" t="inlineStr">
        <is>
          <t>Nigeria</t>
        </is>
      </c>
      <c r="B89" t="inlineStr">
        <is>
          <t>Salt</t>
        </is>
      </c>
      <c r="C89" t="inlineStr">
        <is>
          <t>Second</t>
        </is>
      </c>
      <c r="D89" t="inlineStr">
        <is>
          <t>Female</t>
        </is>
      </c>
      <c r="E89" t="inlineStr">
        <is>
          <t>Vehicle consumption by WRA -- any</t>
        </is>
      </c>
      <c r="F89" t="inlineStr">
        <is>
          <t>percentage</t>
        </is>
      </c>
      <c r="G89" t="inlineStr">
        <is>
          <t>%</t>
        </is>
      </c>
      <c r="H89" t="n">
        <v>2021</v>
      </c>
      <c r="I89" t="inlineStr">
        <is>
          <t>GF 'Input data to IHME models' workbook (2026-04-16) (NFCMS 2021), Vehicles - WRA</t>
        </is>
      </c>
      <c r="J89" t="n">
        <v>0.997</v>
      </c>
    </row>
    <row r="90">
      <c r="A90" t="inlineStr">
        <is>
          <t>Nigeria</t>
        </is>
      </c>
      <c r="B90" t="inlineStr">
        <is>
          <t>Salt</t>
        </is>
      </c>
      <c r="C90" t="inlineStr">
        <is>
          <t>Middle</t>
        </is>
      </c>
      <c r="D90" t="inlineStr">
        <is>
          <t>Female</t>
        </is>
      </c>
      <c r="E90" t="inlineStr">
        <is>
          <t>Vehicle consumption by WRA -- any</t>
        </is>
      </c>
      <c r="F90" t="inlineStr">
        <is>
          <t>percentage</t>
        </is>
      </c>
      <c r="G90" t="inlineStr">
        <is>
          <t>%</t>
        </is>
      </c>
      <c r="H90" t="n">
        <v>2021</v>
      </c>
      <c r="I90" t="inlineStr">
        <is>
          <t>GF 'Input data to IHME models' workbook (2026-04-16) (NFCMS 2021), Vehicles - WRA</t>
        </is>
      </c>
      <c r="J90" t="n">
        <v>0.995</v>
      </c>
    </row>
    <row r="91" ht="15" customHeight="1">
      <c r="A91" t="inlineStr">
        <is>
          <t>Nigeria</t>
        </is>
      </c>
      <c r="B91" t="inlineStr">
        <is>
          <t>Salt</t>
        </is>
      </c>
      <c r="C91" t="inlineStr">
        <is>
          <t>Fourth</t>
        </is>
      </c>
      <c r="D91" t="inlineStr">
        <is>
          <t>Female</t>
        </is>
      </c>
      <c r="E91" t="inlineStr">
        <is>
          <t>Vehicle consumption by WRA -- any</t>
        </is>
      </c>
      <c r="F91" t="inlineStr">
        <is>
          <t>percentage</t>
        </is>
      </c>
      <c r="G91" t="inlineStr">
        <is>
          <t>%</t>
        </is>
      </c>
      <c r="H91" t="n">
        <v>2021</v>
      </c>
      <c r="I91" t="inlineStr">
        <is>
          <t>GF 'Input data to IHME models' workbook (2026-04-16) (NFCMS 2021), Vehicles - WRA</t>
        </is>
      </c>
      <c r="J91" t="n">
        <v>0.994</v>
      </c>
    </row>
    <row r="92" ht="15" customHeight="1">
      <c r="A92" t="inlineStr">
        <is>
          <t>Nigeria</t>
        </is>
      </c>
      <c r="B92" t="inlineStr">
        <is>
          <t>Salt</t>
        </is>
      </c>
      <c r="C92" t="inlineStr">
        <is>
          <t>Highest</t>
        </is>
      </c>
      <c r="D92" t="inlineStr">
        <is>
          <t>Female</t>
        </is>
      </c>
      <c r="E92" t="inlineStr">
        <is>
          <t>Vehicle consumption by WRA -- any</t>
        </is>
      </c>
      <c r="F92" t="inlineStr">
        <is>
          <t>percentage</t>
        </is>
      </c>
      <c r="G92" t="inlineStr">
        <is>
          <t>%</t>
        </is>
      </c>
      <c r="H92" t="n">
        <v>2021</v>
      </c>
      <c r="I92" t="inlineStr">
        <is>
          <t>GF 'Input data to IHME models' workbook (2026-04-16) (NFCMS 2021), Vehicles - WRA</t>
        </is>
      </c>
      <c r="J92" t="n">
        <v>0.985</v>
      </c>
    </row>
    <row r="93">
      <c r="A93" t="inlineStr">
        <is>
          <t>Nigeria</t>
        </is>
      </c>
      <c r="B93" t="inlineStr">
        <is>
          <t>Salt</t>
        </is>
      </c>
      <c r="C93" t="inlineStr">
        <is>
          <t>Total</t>
        </is>
      </c>
      <c r="D93" t="inlineStr">
        <is>
          <t>Female</t>
        </is>
      </c>
      <c r="E93" t="inlineStr">
        <is>
          <t>Vehicle consumption by WRA -- amount</t>
        </is>
      </c>
      <c r="F93" t="inlineStr">
        <is>
          <t>mean</t>
        </is>
      </c>
      <c r="G93" t="inlineStr">
        <is>
          <t>g/day</t>
        </is>
      </c>
      <c r="H93" t="n">
        <v>2021</v>
      </c>
      <c r="I93" t="inlineStr">
        <is>
          <t>GF 'Input data to IHME models' workbook (2026-04-16) (NFCMS 2021), Vehicles - WRA</t>
        </is>
      </c>
      <c r="J93" t="n">
        <v>3.9</v>
      </c>
      <c r="M93" t="inlineStr">
        <is>
          <t>Mean per capita salt intake; at 99.3% coverage the among-consumers vs population-mean distinction is immaterial.</t>
        </is>
      </c>
    </row>
    <row r="94">
      <c r="A94" t="inlineStr">
        <is>
          <t>Nigeria</t>
        </is>
      </c>
      <c r="B94" t="inlineStr">
        <is>
          <t>Salt</t>
        </is>
      </c>
      <c r="C94" t="inlineStr">
        <is>
          <t>Lowest</t>
        </is>
      </c>
      <c r="D94" t="inlineStr">
        <is>
          <t>Female</t>
        </is>
      </c>
      <c r="E94" t="inlineStr">
        <is>
          <t>Vehicle consumption by WRA -- amount</t>
        </is>
      </c>
      <c r="F94" t="inlineStr">
        <is>
          <t>mean</t>
        </is>
      </c>
      <c r="G94" t="inlineStr">
        <is>
          <t>g/day</t>
        </is>
      </c>
      <c r="H94" t="n">
        <v>2021</v>
      </c>
      <c r="I94" t="inlineStr">
        <is>
          <t>GF 'Input data to IHME models' workbook (2026-04-16) (NFCMS 2021), Vehicles - WRA</t>
        </is>
      </c>
      <c r="J94" t="n">
        <v>4.2</v>
      </c>
    </row>
    <row r="95">
      <c r="A95" t="inlineStr">
        <is>
          <t>Nigeria</t>
        </is>
      </c>
      <c r="B95" t="inlineStr">
        <is>
          <t>Salt</t>
        </is>
      </c>
      <c r="C95" t="inlineStr">
        <is>
          <t>Second</t>
        </is>
      </c>
      <c r="D95" t="inlineStr">
        <is>
          <t>Female</t>
        </is>
      </c>
      <c r="E95" t="inlineStr">
        <is>
          <t>Vehicle consumption by WRA -- amount</t>
        </is>
      </c>
      <c r="F95" t="inlineStr">
        <is>
          <t>mean</t>
        </is>
      </c>
      <c r="G95" t="inlineStr">
        <is>
          <t>g/day</t>
        </is>
      </c>
      <c r="H95" t="n">
        <v>2021</v>
      </c>
      <c r="I95" t="inlineStr">
        <is>
          <t>GF 'Input data to IHME models' workbook (2026-04-16) (NFCMS 2021), Vehicles - WRA</t>
        </is>
      </c>
      <c r="J95" t="n">
        <v>4</v>
      </c>
    </row>
    <row r="96">
      <c r="A96" t="inlineStr">
        <is>
          <t>Nigeria</t>
        </is>
      </c>
      <c r="B96" t="inlineStr">
        <is>
          <t>Salt</t>
        </is>
      </c>
      <c r="C96" t="inlineStr">
        <is>
          <t>Middle</t>
        </is>
      </c>
      <c r="D96" t="inlineStr">
        <is>
          <t>Female</t>
        </is>
      </c>
      <c r="E96" t="inlineStr">
        <is>
          <t>Vehicle consumption by WRA -- amount</t>
        </is>
      </c>
      <c r="F96" t="inlineStr">
        <is>
          <t>mean</t>
        </is>
      </c>
      <c r="G96" t="inlineStr">
        <is>
          <t>g/day</t>
        </is>
      </c>
      <c r="H96" t="n">
        <v>2021</v>
      </c>
      <c r="I96" t="inlineStr">
        <is>
          <t>GF 'Input data to IHME models' workbook (2026-04-16) (NFCMS 2021), Vehicles - WRA</t>
        </is>
      </c>
      <c r="J96" t="n">
        <v>3.8</v>
      </c>
    </row>
    <row r="97" ht="15" customHeight="1">
      <c r="A97" t="inlineStr">
        <is>
          <t>Nigeria</t>
        </is>
      </c>
      <c r="B97" t="inlineStr">
        <is>
          <t>Salt</t>
        </is>
      </c>
      <c r="C97" t="inlineStr">
        <is>
          <t>Fourth</t>
        </is>
      </c>
      <c r="D97" t="inlineStr">
        <is>
          <t>Female</t>
        </is>
      </c>
      <c r="E97" t="inlineStr">
        <is>
          <t>Vehicle consumption by WRA -- amount</t>
        </is>
      </c>
      <c r="F97" t="inlineStr">
        <is>
          <t>mean</t>
        </is>
      </c>
      <c r="G97" t="inlineStr">
        <is>
          <t>g/day</t>
        </is>
      </c>
      <c r="H97" t="n">
        <v>2021</v>
      </c>
      <c r="I97" t="inlineStr">
        <is>
          <t>GF 'Input data to IHME models' workbook (2026-04-16) (NFCMS 2021), Vehicles - WRA</t>
        </is>
      </c>
      <c r="J97" t="n">
        <v>3.7</v>
      </c>
    </row>
    <row r="98">
      <c r="A98" t="inlineStr">
        <is>
          <t>Nigeria</t>
        </is>
      </c>
      <c r="B98" t="inlineStr">
        <is>
          <t>Salt</t>
        </is>
      </c>
      <c r="C98" t="inlineStr">
        <is>
          <t>Highest</t>
        </is>
      </c>
      <c r="D98" t="inlineStr">
        <is>
          <t>Female</t>
        </is>
      </c>
      <c r="E98" t="inlineStr">
        <is>
          <t>Vehicle consumption by WRA -- amount</t>
        </is>
      </c>
      <c r="F98" t="inlineStr">
        <is>
          <t>mean</t>
        </is>
      </c>
      <c r="G98" t="inlineStr">
        <is>
          <t>g/day</t>
        </is>
      </c>
      <c r="H98" t="n">
        <v>2021</v>
      </c>
      <c r="I98" t="inlineStr">
        <is>
          <t>GF 'Input data to IHME models' workbook (2026-04-16) (NFCMS 2021), Vehicles - WRA</t>
        </is>
      </c>
      <c r="J98" t="n">
        <v>3.8</v>
      </c>
    </row>
    <row r="99">
      <c r="A99" t="inlineStr">
        <is>
          <t>Nigeria</t>
        </is>
      </c>
      <c r="B99" t="inlineStr">
        <is>
          <t>Salt</t>
        </is>
      </c>
      <c r="C99" t="inlineStr">
        <is>
          <t>Total</t>
        </is>
      </c>
      <c r="D99" t="inlineStr">
        <is>
          <t>Female</t>
        </is>
      </c>
      <c r="E99" t="inlineStr">
        <is>
          <t>Vehicle consumption by WRA -- amount</t>
        </is>
      </c>
      <c r="F99" t="inlineStr">
        <is>
          <t>standard deviation</t>
        </is>
      </c>
      <c r="G99" t="inlineStr">
        <is>
          <t>g/day</t>
        </is>
      </c>
      <c r="I99" t="inlineStr">
        <is>
          <t>Assumption</t>
        </is>
      </c>
      <c r="J99" t="n">
        <v>1.21</v>
      </c>
      <c r="M99" t="inlineStr">
        <is>
          <t>Assumption: no salt-consumption SD in the GF workbook; CV~0.31 borrowed from the Ethiopia salt extraction (Addis survey SD 2.2 / mean 7.1).</t>
        </is>
      </c>
    </row>
    <row r="100">
      <c r="A100" t="inlineStr">
        <is>
          <t>Nigeria</t>
        </is>
      </c>
      <c r="B100" t="inlineStr">
        <is>
          <t>Salt</t>
        </is>
      </c>
      <c r="C100" t="inlineStr">
        <is>
          <t>Lowest</t>
        </is>
      </c>
      <c r="D100" t="inlineStr">
        <is>
          <t>Female</t>
        </is>
      </c>
      <c r="E100" t="inlineStr">
        <is>
          <t>Vehicle consumption by WRA -- amount</t>
        </is>
      </c>
      <c r="F100" t="inlineStr">
        <is>
          <t>standard deviation</t>
        </is>
      </c>
      <c r="G100" t="inlineStr">
        <is>
          <t>g/day</t>
        </is>
      </c>
      <c r="I100" t="inlineStr">
        <is>
          <t>Assumption</t>
        </is>
      </c>
      <c r="J100" t="n">
        <v>1.21</v>
      </c>
    </row>
    <row r="101">
      <c r="A101" t="inlineStr">
        <is>
          <t>Nigeria</t>
        </is>
      </c>
      <c r="B101" t="inlineStr">
        <is>
          <t>Salt</t>
        </is>
      </c>
      <c r="C101" t="inlineStr">
        <is>
          <t>Second</t>
        </is>
      </c>
      <c r="D101" t="inlineStr">
        <is>
          <t>Female</t>
        </is>
      </c>
      <c r="E101" t="inlineStr">
        <is>
          <t>Vehicle consumption by WRA -- amount</t>
        </is>
      </c>
      <c r="F101" t="inlineStr">
        <is>
          <t>standard deviation</t>
        </is>
      </c>
      <c r="G101" t="inlineStr">
        <is>
          <t>g/day</t>
        </is>
      </c>
      <c r="I101" t="inlineStr">
        <is>
          <t>Assumption</t>
        </is>
      </c>
      <c r="J101" t="n">
        <v>1.21</v>
      </c>
    </row>
    <row r="102" ht="15" customHeight="1">
      <c r="A102" t="inlineStr">
        <is>
          <t>Nigeria</t>
        </is>
      </c>
      <c r="B102" t="inlineStr">
        <is>
          <t>Salt</t>
        </is>
      </c>
      <c r="C102" t="inlineStr">
        <is>
          <t>Middle</t>
        </is>
      </c>
      <c r="D102" t="inlineStr">
        <is>
          <t>Female</t>
        </is>
      </c>
      <c r="E102" t="inlineStr">
        <is>
          <t>Vehicle consumption by WRA -- amount</t>
        </is>
      </c>
      <c r="F102" t="inlineStr">
        <is>
          <t>standard deviation</t>
        </is>
      </c>
      <c r="G102" t="inlineStr">
        <is>
          <t>g/day</t>
        </is>
      </c>
      <c r="I102" t="inlineStr">
        <is>
          <t>Assumption</t>
        </is>
      </c>
      <c r="J102" t="n">
        <v>1.21</v>
      </c>
    </row>
    <row r="103">
      <c r="A103" t="inlineStr">
        <is>
          <t>Nigeria</t>
        </is>
      </c>
      <c r="B103" t="inlineStr">
        <is>
          <t>Salt</t>
        </is>
      </c>
      <c r="C103" t="inlineStr">
        <is>
          <t>Fourth</t>
        </is>
      </c>
      <c r="D103" t="inlineStr">
        <is>
          <t>Female</t>
        </is>
      </c>
      <c r="E103" t="inlineStr">
        <is>
          <t>Vehicle consumption by WRA -- amount</t>
        </is>
      </c>
      <c r="F103" t="inlineStr">
        <is>
          <t>standard deviation</t>
        </is>
      </c>
      <c r="G103" t="inlineStr">
        <is>
          <t>g/day</t>
        </is>
      </c>
      <c r="I103" t="inlineStr">
        <is>
          <t>Assumption</t>
        </is>
      </c>
      <c r="J103" t="n">
        <v>1.21</v>
      </c>
    </row>
    <row r="104">
      <c r="A104" t="inlineStr">
        <is>
          <t>Nigeria</t>
        </is>
      </c>
      <c r="B104" t="inlineStr">
        <is>
          <t>Salt</t>
        </is>
      </c>
      <c r="C104" t="inlineStr">
        <is>
          <t>Highest</t>
        </is>
      </c>
      <c r="D104" t="inlineStr">
        <is>
          <t>Female</t>
        </is>
      </c>
      <c r="E104" t="inlineStr">
        <is>
          <t>Vehicle consumption by WRA -- amount</t>
        </is>
      </c>
      <c r="F104" t="inlineStr">
        <is>
          <t>standard deviation</t>
        </is>
      </c>
      <c r="G104" t="inlineStr">
        <is>
          <t>g/day</t>
        </is>
      </c>
      <c r="I104" t="inlineStr">
        <is>
          <t>Assumption</t>
        </is>
      </c>
      <c r="J104" t="n">
        <v>1.21</v>
      </c>
    </row>
    <row r="105">
      <c r="A105" t="inlineStr">
        <is>
          <t>Nigeria</t>
        </is>
      </c>
      <c r="B105" t="inlineStr">
        <is>
          <t>Salt</t>
        </is>
      </c>
      <c r="C105" t="inlineStr">
        <is>
          <t>Total</t>
        </is>
      </c>
      <c r="D105" t="inlineStr">
        <is>
          <t>All (assumed same)</t>
        </is>
      </c>
      <c r="E105" t="inlineStr">
        <is>
          <t>Vehicle consumption by U5 children -- any</t>
        </is>
      </c>
      <c r="F105" t="inlineStr">
        <is>
          <t>percentage</t>
        </is>
      </c>
      <c r="G105" t="inlineStr">
        <is>
          <t>%</t>
        </is>
      </c>
      <c r="H105" t="n">
        <v>2021</v>
      </c>
      <c r="I105" t="inlineStr">
        <is>
          <t>GF 'Input data to IHME models' workbook (2026-04-16) (NFCMS 2021), Vehicles - preschool</t>
        </is>
      </c>
      <c r="J105" t="n">
        <v>0.99</v>
      </c>
    </row>
    <row r="106">
      <c r="A106" t="inlineStr">
        <is>
          <t>Nigeria</t>
        </is>
      </c>
      <c r="B106" t="inlineStr">
        <is>
          <t>Salt</t>
        </is>
      </c>
      <c r="C106" t="inlineStr">
        <is>
          <t>Total</t>
        </is>
      </c>
      <c r="D106" t="inlineStr">
        <is>
          <t>Total</t>
        </is>
      </c>
      <c r="E106" t="inlineStr">
        <is>
          <t>Vehicle consumption by U5 children -- amount</t>
        </is>
      </c>
      <c r="F106" t="inlineStr">
        <is>
          <t>mean</t>
        </is>
      </c>
      <c r="G106" t="inlineStr">
        <is>
          <t>g/day</t>
        </is>
      </c>
      <c r="H106" t="n">
        <v>2021</v>
      </c>
      <c r="I106" t="inlineStr">
        <is>
          <t>GF 'Input data to IHME models' workbook (2026-04-16) (NFCMS 2021), Vehicles - preschool</t>
        </is>
      </c>
      <c r="J106" t="n">
        <v>2.6</v>
      </c>
    </row>
    <row r="107">
      <c r="A107" t="inlineStr">
        <is>
          <t>Nigeria</t>
        </is>
      </c>
      <c r="B107" t="inlineStr">
        <is>
          <t>Salt</t>
        </is>
      </c>
      <c r="C107" t="inlineStr">
        <is>
          <t>Total</t>
        </is>
      </c>
      <c r="D107" t="inlineStr">
        <is>
          <t>Female</t>
        </is>
      </c>
      <c r="E107" t="inlineStr">
        <is>
          <t>Vehicle consumption by U5 children -- amount</t>
        </is>
      </c>
      <c r="F107" t="inlineStr">
        <is>
          <t>mean</t>
        </is>
      </c>
      <c r="G107" t="inlineStr">
        <is>
          <t>g/day</t>
        </is>
      </c>
      <c r="H107" t="n">
        <v>2021</v>
      </c>
      <c r="I107" t="inlineStr">
        <is>
          <t>GF 'Input data to IHME models' workbook (2026-04-16) (NFCMS 2021), Vehicles - preschool</t>
        </is>
      </c>
      <c r="J107" t="n">
        <v>2.5</v>
      </c>
    </row>
    <row r="108">
      <c r="A108" t="inlineStr">
        <is>
          <t>Nigeria</t>
        </is>
      </c>
      <c r="B108" t="inlineStr">
        <is>
          <t>Salt</t>
        </is>
      </c>
      <c r="C108" t="inlineStr">
        <is>
          <t>Total</t>
        </is>
      </c>
      <c r="D108" t="inlineStr">
        <is>
          <t>Male</t>
        </is>
      </c>
      <c r="E108" t="inlineStr">
        <is>
          <t>Vehicle consumption by U5 children -- amount</t>
        </is>
      </c>
      <c r="F108" t="inlineStr">
        <is>
          <t>mean</t>
        </is>
      </c>
      <c r="G108" t="inlineStr">
        <is>
          <t>g/day</t>
        </is>
      </c>
      <c r="H108" t="n">
        <v>2021</v>
      </c>
      <c r="I108" t="inlineStr">
        <is>
          <t>GF 'Input data to IHME models' workbook (2026-04-16) (NFCMS 2021), Vehicles - preschool</t>
        </is>
      </c>
      <c r="J108" t="n">
        <v>2.7</v>
      </c>
    </row>
    <row r="109">
      <c r="A109" t="inlineStr">
        <is>
          <t>Nigeria</t>
        </is>
      </c>
      <c r="B109" t="inlineStr">
        <is>
          <t>Salt</t>
        </is>
      </c>
      <c r="C109" t="inlineStr">
        <is>
          <t>Lowest</t>
        </is>
      </c>
      <c r="D109" t="inlineStr">
        <is>
          <t>All (assumed same)</t>
        </is>
      </c>
      <c r="E109" t="inlineStr">
        <is>
          <t>Vehicle consumption by U5 children -- amount</t>
        </is>
      </c>
      <c r="F109" t="inlineStr">
        <is>
          <t>mean</t>
        </is>
      </c>
      <c r="G109" t="inlineStr">
        <is>
          <t>g/day</t>
        </is>
      </c>
      <c r="H109" t="n">
        <v>2021</v>
      </c>
      <c r="I109" t="inlineStr">
        <is>
          <t>GF 'Input data to IHME models' workbook (2026-04-16) (NFCMS 2021)</t>
        </is>
      </c>
      <c r="J109" t="n">
        <v>4.2</v>
      </c>
      <c r="M109" t="inlineStr">
        <is>
          <t>Wealth pattern not available for children; WRA quintile pattern, rescaled to the U5 totals by check_totals(fix=True), as for bouillon/rice.</t>
        </is>
      </c>
    </row>
    <row r="110">
      <c r="A110" t="inlineStr">
        <is>
          <t>Nigeria</t>
        </is>
      </c>
      <c r="B110" t="inlineStr">
        <is>
          <t>Salt</t>
        </is>
      </c>
      <c r="C110" t="inlineStr">
        <is>
          <t>Second</t>
        </is>
      </c>
      <c r="D110" t="inlineStr">
        <is>
          <t>All (assumed same)</t>
        </is>
      </c>
      <c r="E110" t="inlineStr">
        <is>
          <t>Vehicle consumption by U5 children -- amount</t>
        </is>
      </c>
      <c r="F110" t="inlineStr">
        <is>
          <t>mean</t>
        </is>
      </c>
      <c r="G110" t="inlineStr">
        <is>
          <t>g/day</t>
        </is>
      </c>
      <c r="H110" t="n">
        <v>2021</v>
      </c>
      <c r="I110" t="inlineStr">
        <is>
          <t>GF 'Input data to IHME models' workbook (2026-04-16) (NFCMS 2021)</t>
        </is>
      </c>
      <c r="J110" t="n">
        <v>4</v>
      </c>
    </row>
    <row r="111">
      <c r="A111" t="inlineStr">
        <is>
          <t>Nigeria</t>
        </is>
      </c>
      <c r="B111" t="inlineStr">
        <is>
          <t>Salt</t>
        </is>
      </c>
      <c r="C111" t="inlineStr">
        <is>
          <t>Middle</t>
        </is>
      </c>
      <c r="D111" t="inlineStr">
        <is>
          <t>All (assumed same)</t>
        </is>
      </c>
      <c r="E111" t="inlineStr">
        <is>
          <t>Vehicle consumption by U5 children -- amount</t>
        </is>
      </c>
      <c r="F111" t="inlineStr">
        <is>
          <t>mean</t>
        </is>
      </c>
      <c r="G111" t="inlineStr">
        <is>
          <t>g/day</t>
        </is>
      </c>
      <c r="H111" t="n">
        <v>2021</v>
      </c>
      <c r="I111" t="inlineStr">
        <is>
          <t>GF 'Input data to IHME models' workbook (2026-04-16) (NFCMS 2021)</t>
        </is>
      </c>
      <c r="J111" t="n">
        <v>3.8</v>
      </c>
    </row>
    <row r="112">
      <c r="A112" t="inlineStr">
        <is>
          <t>Nigeria</t>
        </is>
      </c>
      <c r="B112" t="inlineStr">
        <is>
          <t>Salt</t>
        </is>
      </c>
      <c r="C112" t="inlineStr">
        <is>
          <t>Fourth</t>
        </is>
      </c>
      <c r="D112" t="inlineStr">
        <is>
          <t>All (assumed same)</t>
        </is>
      </c>
      <c r="E112" t="inlineStr">
        <is>
          <t>Vehicle consumption by U5 children -- amount</t>
        </is>
      </c>
      <c r="F112" t="inlineStr">
        <is>
          <t>mean</t>
        </is>
      </c>
      <c r="G112" t="inlineStr">
        <is>
          <t>g/day</t>
        </is>
      </c>
      <c r="H112" t="n">
        <v>2021</v>
      </c>
      <c r="I112" t="inlineStr">
        <is>
          <t>GF 'Input data to IHME models' workbook (2026-04-16) (NFCMS 2021)</t>
        </is>
      </c>
      <c r="J112" t="n">
        <v>3.7</v>
      </c>
    </row>
    <row r="113">
      <c r="A113" t="inlineStr">
        <is>
          <t>Nigeria</t>
        </is>
      </c>
      <c r="B113" t="inlineStr">
        <is>
          <t>Salt</t>
        </is>
      </c>
      <c r="C113" t="inlineStr">
        <is>
          <t>Highest</t>
        </is>
      </c>
      <c r="D113" t="inlineStr">
        <is>
          <t>All (assumed same)</t>
        </is>
      </c>
      <c r="E113" t="inlineStr">
        <is>
          <t>Vehicle consumption by U5 children -- amount</t>
        </is>
      </c>
      <c r="F113" t="inlineStr">
        <is>
          <t>mean</t>
        </is>
      </c>
      <c r="G113" t="inlineStr">
        <is>
          <t>g/day</t>
        </is>
      </c>
      <c r="H113" t="n">
        <v>2021</v>
      </c>
      <c r="I113" t="inlineStr">
        <is>
          <t>GF 'Input data to IHME models' workbook (2026-04-16) (NFCMS 2021)</t>
        </is>
      </c>
      <c r="J113" t="n">
        <v>3.8</v>
      </c>
    </row>
    <row r="114">
      <c r="A114" t="inlineStr">
        <is>
          <t>Nigeria</t>
        </is>
      </c>
      <c r="B114" t="inlineStr">
        <is>
          <t>Salt</t>
        </is>
      </c>
      <c r="C114" t="inlineStr">
        <is>
          <t>Total</t>
        </is>
      </c>
      <c r="D114" t="inlineStr">
        <is>
          <t>Total</t>
        </is>
      </c>
      <c r="E114" t="inlineStr">
        <is>
          <t>Vehicle consumption by U5 children -- amount</t>
        </is>
      </c>
      <c r="F114" t="inlineStr">
        <is>
          <t>standard deviation</t>
        </is>
      </c>
      <c r="G114" t="inlineStr">
        <is>
          <t>g/day</t>
        </is>
      </c>
      <c r="I114" t="inlineStr">
        <is>
          <t>Assumption</t>
        </is>
      </c>
      <c r="J114" t="n">
        <v>0.8100000000000001</v>
      </c>
      <c r="M114" t="inlineStr">
        <is>
          <t>Assumption: no salt-consumption SD in the GF workbook; CV~0.31 borrowed from the Ethiopia salt extraction (Addis survey SD 2.2 / mean 7.1).</t>
        </is>
      </c>
    </row>
    <row r="115">
      <c r="A115" t="inlineStr">
        <is>
          <t>Nigeria</t>
        </is>
      </c>
      <c r="B115" t="inlineStr">
        <is>
          <t>Salt</t>
        </is>
      </c>
      <c r="C115" t="inlineStr">
        <is>
          <t>Lowest</t>
        </is>
      </c>
      <c r="D115" t="inlineStr">
        <is>
          <t>All (assumed same)</t>
        </is>
      </c>
      <c r="E115" t="inlineStr">
        <is>
          <t>Vehicle consumption by U5 children -- amount</t>
        </is>
      </c>
      <c r="F115" t="inlineStr">
        <is>
          <t>standard deviation</t>
        </is>
      </c>
      <c r="G115" t="inlineStr">
        <is>
          <t>g/day</t>
        </is>
      </c>
      <c r="I115" t="inlineStr">
        <is>
          <t>Assumption</t>
        </is>
      </c>
      <c r="J115" t="n">
        <v>1.21</v>
      </c>
      <c r="M115" t="inlineStr">
        <is>
          <t>Wealth pattern not available for children; WRA quintile pattern, rescaled to the U5 totals by check_totals(fix=True), as for bouillon/rice.</t>
        </is>
      </c>
    </row>
    <row r="116">
      <c r="A116" t="inlineStr">
        <is>
          <t>Nigeria</t>
        </is>
      </c>
      <c r="B116" t="inlineStr">
        <is>
          <t>Salt</t>
        </is>
      </c>
      <c r="C116" t="inlineStr">
        <is>
          <t>Second</t>
        </is>
      </c>
      <c r="D116" t="inlineStr">
        <is>
          <t>All (assumed same)</t>
        </is>
      </c>
      <c r="E116" t="inlineStr">
        <is>
          <t>Vehicle consumption by U5 children -- amount</t>
        </is>
      </c>
      <c r="F116" t="inlineStr">
        <is>
          <t>standard deviation</t>
        </is>
      </c>
      <c r="G116" t="inlineStr">
        <is>
          <t>g/day</t>
        </is>
      </c>
      <c r="I116" t="inlineStr">
        <is>
          <t>Assumption</t>
        </is>
      </c>
      <c r="J116" t="n">
        <v>1.21</v>
      </c>
    </row>
    <row r="117">
      <c r="A117" t="inlineStr">
        <is>
          <t>Nigeria</t>
        </is>
      </c>
      <c r="B117" t="inlineStr">
        <is>
          <t>Salt</t>
        </is>
      </c>
      <c r="C117" t="inlineStr">
        <is>
          <t>Middle</t>
        </is>
      </c>
      <c r="D117" t="inlineStr">
        <is>
          <t>All (assumed same)</t>
        </is>
      </c>
      <c r="E117" t="inlineStr">
        <is>
          <t>Vehicle consumption by U5 children -- amount</t>
        </is>
      </c>
      <c r="F117" t="inlineStr">
        <is>
          <t>standard deviation</t>
        </is>
      </c>
      <c r="G117" t="inlineStr">
        <is>
          <t>g/day</t>
        </is>
      </c>
      <c r="I117" t="inlineStr">
        <is>
          <t>Assumption</t>
        </is>
      </c>
      <c r="J117" t="n">
        <v>1.21</v>
      </c>
    </row>
    <row r="118">
      <c r="A118" t="inlineStr">
        <is>
          <t>Nigeria</t>
        </is>
      </c>
      <c r="B118" t="inlineStr">
        <is>
          <t>Salt</t>
        </is>
      </c>
      <c r="C118" t="inlineStr">
        <is>
          <t>Fourth</t>
        </is>
      </c>
      <c r="D118" t="inlineStr">
        <is>
          <t>All (assumed same)</t>
        </is>
      </c>
      <c r="E118" t="inlineStr">
        <is>
          <t>Vehicle consumption by U5 children -- amount</t>
        </is>
      </c>
      <c r="F118" t="inlineStr">
        <is>
          <t>standard deviation</t>
        </is>
      </c>
      <c r="G118" t="inlineStr">
        <is>
          <t>g/day</t>
        </is>
      </c>
      <c r="I118" t="inlineStr">
        <is>
          <t>Assumption</t>
        </is>
      </c>
      <c r="J118" t="n">
        <v>1.21</v>
      </c>
    </row>
    <row r="119">
      <c r="A119" t="inlineStr">
        <is>
          <t>Nigeria</t>
        </is>
      </c>
      <c r="B119" t="inlineStr">
        <is>
          <t>Salt</t>
        </is>
      </c>
      <c r="C119" t="inlineStr">
        <is>
          <t>Highest</t>
        </is>
      </c>
      <c r="D119" t="inlineStr">
        <is>
          <t>All (assumed same)</t>
        </is>
      </c>
      <c r="E119" t="inlineStr">
        <is>
          <t>Vehicle consumption by U5 children -- amount</t>
        </is>
      </c>
      <c r="F119" t="inlineStr">
        <is>
          <t>standard deviation</t>
        </is>
      </c>
      <c r="G119" t="inlineStr">
        <is>
          <t>g/day</t>
        </is>
      </c>
      <c r="I119" t="inlineStr">
        <is>
          <t>Assumption</t>
        </is>
      </c>
      <c r="J119" t="n">
        <v>1.21</v>
      </c>
    </row>
    <row r="120">
      <c r="A120" t="inlineStr">
        <is>
          <t>Nigeria</t>
        </is>
      </c>
      <c r="B120" t="inlineStr">
        <is>
          <t>Salt</t>
        </is>
      </c>
      <c r="C120" t="inlineStr">
        <is>
          <t>All (assumed same)</t>
        </is>
      </c>
      <c r="D120" t="inlineStr">
        <is>
          <t>All (assumed same)</t>
        </is>
      </c>
      <c r="E120" t="inlineStr">
        <is>
          <t>Vehicle "fortifiability" (essentially amount industrially produced)</t>
        </is>
      </c>
      <c r="F120" t="inlineStr">
        <is>
          <t>percentage</t>
        </is>
      </c>
      <c r="G120" t="inlineStr">
        <is>
          <t>%</t>
        </is>
      </c>
      <c r="H120" t="n">
        <v>2026</v>
      </c>
      <c r="I120" t="inlineStr">
        <is>
          <t>GF 'Input data to IHME models' workbook (2026-04-16), Vehicles - WRA</t>
        </is>
      </c>
      <c r="J120" t="n">
        <v>0.95</v>
      </c>
      <c r="M120" t="inlineStr">
        <is>
          <t>Industry consolidation 95%; consistent with GAIN's 93% coverage / 90% compliance for the iodization program.</t>
        </is>
      </c>
    </row>
    <row r="121" ht="15" customHeight="1">
      <c r="A121" t="inlineStr">
        <is>
          <t>Nigeria</t>
        </is>
      </c>
      <c r="B121" t="inlineStr">
        <is>
          <t>Wheat</t>
        </is>
      </c>
      <c r="C121" t="inlineStr">
        <is>
          <t>All (assumed same)</t>
        </is>
      </c>
      <c r="D121" t="inlineStr">
        <is>
          <t>All (assumed same)</t>
        </is>
      </c>
      <c r="E121" t="inlineStr">
        <is>
          <t>Vehicle "fortifiability" (essentially amount industrially produced)</t>
        </is>
      </c>
      <c r="F121" t="inlineStr">
        <is>
          <t>percentage</t>
        </is>
      </c>
      <c r="G121" t="inlineStr">
        <is>
          <t>%</t>
        </is>
      </c>
      <c r="I121" t="inlineStr">
        <is>
          <t>DUMMY (MIC-7549)</t>
        </is>
      </c>
      <c s="7" r="J121" t="n">
        <v>0.74</v>
      </c>
      <c s="5" r="M121" t="inlineStr">
        <is>
          <t>DUMMY PLACEHOLDER (MIC-7549): value copied from the corresponding Rice row. Replace with real wheat data.</t>
        </is>
      </c>
    </row>
    <row r="122" ht="43.5" customHeight="1">
      <c r="A122" t="inlineStr">
        <is>
          <t>Nigeria</t>
        </is>
      </c>
      <c r="B122" t="inlineStr">
        <is>
          <t>Wheat</t>
        </is>
      </c>
      <c r="C122" t="inlineStr">
        <is>
          <t>Total</t>
        </is>
      </c>
      <c r="D122" t="inlineStr">
        <is>
          <t>Female</t>
        </is>
      </c>
      <c r="E122" t="inlineStr">
        <is>
          <t>Vehicle consumption by WRA -- amount</t>
        </is>
      </c>
      <c r="F122" t="inlineStr">
        <is>
          <t>mean</t>
        </is>
      </c>
      <c r="G122" t="inlineStr">
        <is>
          <t>g/day</t>
        </is>
      </c>
      <c r="I122" t="inlineStr">
        <is>
          <t>DUMMY (MIC-7549)</t>
        </is>
      </c>
      <c r="J122" t="n">
        <v>32.803200000000004</v>
      </c>
      <c s="5" r="M122" t="inlineStr">
        <is>
          <t>DUMMY PLACEHOLDER (MIC-7549): value copied from the corresponding Rice row. Replace with real wheat data.</t>
        </is>
      </c>
    </row>
    <row r="123" ht="43.5" customHeight="1">
      <c r="A123" t="inlineStr">
        <is>
          <t>Nigeria</t>
        </is>
      </c>
      <c r="B123" t="inlineStr">
        <is>
          <t>Wheat</t>
        </is>
      </c>
      <c r="C123" t="inlineStr">
        <is>
          <t>Lowest</t>
        </is>
      </c>
      <c r="D123" t="inlineStr">
        <is>
          <t>Female</t>
        </is>
      </c>
      <c r="E123" t="inlineStr">
        <is>
          <t>Vehicle consumption by WRA -- amount</t>
        </is>
      </c>
      <c r="F123" t="inlineStr">
        <is>
          <t>mean</t>
        </is>
      </c>
      <c r="G123" t="inlineStr">
        <is>
          <t>g/day</t>
        </is>
      </c>
      <c r="I123" t="inlineStr">
        <is>
          <t>DUMMY (MIC-7549)</t>
        </is>
      </c>
      <c r="J123" t="n">
        <v>11.491200000000001</v>
      </c>
      <c s="5" r="M123" t="inlineStr">
        <is>
          <t>DUMMY PLACEHOLDER (MIC-7549): value copied from the corresponding Rice row. Replace with real wheat data.</t>
        </is>
      </c>
    </row>
    <row r="124" ht="43.5" customHeight="1">
      <c r="A124" t="inlineStr">
        <is>
          <t>Nigeria</t>
        </is>
      </c>
      <c r="B124" t="inlineStr">
        <is>
          <t>Wheat</t>
        </is>
      </c>
      <c r="C124" t="inlineStr">
        <is>
          <t>Second</t>
        </is>
      </c>
      <c r="D124" t="inlineStr">
        <is>
          <t>Female</t>
        </is>
      </c>
      <c r="E124" t="inlineStr">
        <is>
          <t>Vehicle consumption by WRA -- amount</t>
        </is>
      </c>
      <c r="F124" t="inlineStr">
        <is>
          <t>mean</t>
        </is>
      </c>
      <c r="G124" t="inlineStr">
        <is>
          <t>g/day</t>
        </is>
      </c>
      <c r="I124" t="inlineStr">
        <is>
          <t>DUMMY (MIC-7549)</t>
        </is>
      </c>
      <c r="J124" t="n">
        <v>23.475200000000001</v>
      </c>
      <c s="5" r="M124" t="inlineStr">
        <is>
          <t>DUMMY PLACEHOLDER (MIC-7549): value copied from the corresponding Rice row. Replace with real wheat data.</t>
        </is>
      </c>
    </row>
    <row r="125" ht="43.5" customHeight="1">
      <c r="A125" t="inlineStr">
        <is>
          <t>Nigeria</t>
        </is>
      </c>
      <c r="B125" t="inlineStr">
        <is>
          <t>Wheat</t>
        </is>
      </c>
      <c r="C125" t="inlineStr">
        <is>
          <t>Middle</t>
        </is>
      </c>
      <c r="D125" t="inlineStr">
        <is>
          <t>Female</t>
        </is>
      </c>
      <c r="E125" t="inlineStr">
        <is>
          <t>Vehicle consumption by WRA -- amount</t>
        </is>
      </c>
      <c r="F125" t="inlineStr">
        <is>
          <t>mean</t>
        </is>
      </c>
      <c r="G125" t="inlineStr">
        <is>
          <t>g/day</t>
        </is>
      </c>
      <c r="I125" t="inlineStr">
        <is>
          <t>DUMMY (MIC-7549)</t>
        </is>
      </c>
      <c r="J125" t="n">
        <v>33.142200000000003</v>
      </c>
      <c s="5" r="M125" t="inlineStr">
        <is>
          <t>DUMMY PLACEHOLDER (MIC-7549): value copied from the corresponding Rice row. Replace with real wheat data.</t>
        </is>
      </c>
    </row>
    <row r="126" ht="43.5" customHeight="1">
      <c r="A126" t="inlineStr">
        <is>
          <t>Nigeria</t>
        </is>
      </c>
      <c r="B126" t="inlineStr">
        <is>
          <t>Wheat</t>
        </is>
      </c>
      <c r="C126" t="inlineStr">
        <is>
          <t>Fourth</t>
        </is>
      </c>
      <c r="D126" t="inlineStr">
        <is>
          <t>Female</t>
        </is>
      </c>
      <c r="E126" t="inlineStr">
        <is>
          <t>Vehicle consumption by WRA -- amount</t>
        </is>
      </c>
      <c r="F126" t="inlineStr">
        <is>
          <t>mean</t>
        </is>
      </c>
      <c r="G126" t="inlineStr">
        <is>
          <t>g/day</t>
        </is>
      </c>
      <c r="I126" t="inlineStr">
        <is>
          <t>DUMMY (MIC-7549)</t>
        </is>
      </c>
      <c r="J126" t="n">
        <v>46.652100000000004</v>
      </c>
      <c s="5" r="M126" t="inlineStr">
        <is>
          <t>DUMMY PLACEHOLDER (MIC-7549): value copied from the corresponding Rice row. Replace with real wheat data.</t>
        </is>
      </c>
    </row>
    <row r="127" ht="43.5" customHeight="1">
      <c r="A127" t="inlineStr">
        <is>
          <t>Nigeria</t>
        </is>
      </c>
      <c r="B127" t="inlineStr">
        <is>
          <t>Wheat</t>
        </is>
      </c>
      <c r="C127" t="inlineStr">
        <is>
          <t>Highest</t>
        </is>
      </c>
      <c r="D127" t="inlineStr">
        <is>
          <t>Female</t>
        </is>
      </c>
      <c r="E127" t="inlineStr">
        <is>
          <t>Vehicle consumption by WRA -- amount</t>
        </is>
      </c>
      <c r="F127" t="inlineStr">
        <is>
          <t>mean</t>
        </is>
      </c>
      <c r="G127" t="inlineStr">
        <is>
          <t>g/day</t>
        </is>
      </c>
      <c r="I127" t="inlineStr">
        <is>
          <t>DUMMY (MIC-7549)</t>
        </is>
      </c>
      <c r="J127" t="n">
        <v>53.742000000000004</v>
      </c>
      <c s="5" r="M127" t="inlineStr">
        <is>
          <t>DUMMY PLACEHOLDER (MIC-7549): value copied from the corresponding Rice row. Replace with real wheat data.</t>
        </is>
      </c>
    </row>
    <row r="128" ht="29.25" customHeight="1">
      <c r="A128" t="inlineStr">
        <is>
          <t>Nigeria</t>
        </is>
      </c>
      <c r="B128" t="inlineStr">
        <is>
          <t>Wheat</t>
        </is>
      </c>
      <c r="C128" t="inlineStr">
        <is>
          <t>Total</t>
        </is>
      </c>
      <c r="D128" t="inlineStr">
        <is>
          <t>Female</t>
        </is>
      </c>
      <c r="E128" t="inlineStr">
        <is>
          <t>Vehicle consumption by WRA -- any</t>
        </is>
      </c>
      <c r="F128" t="inlineStr">
        <is>
          <t>percentage</t>
        </is>
      </c>
      <c r="G128" t="inlineStr">
        <is>
          <t>%</t>
        </is>
      </c>
      <c r="I128" t="inlineStr">
        <is>
          <t>DUMMY (MIC-7549)</t>
        </is>
      </c>
      <c s="21" r="J128" t="n">
        <v>0.536</v>
      </c>
      <c s="5" r="M128" t="inlineStr">
        <is>
          <t>DUMMY PLACEHOLDER (MIC-7549): value copied from the corresponding Rice row. Replace with real wheat data.</t>
        </is>
      </c>
    </row>
    <row r="129">
      <c r="A129" t="inlineStr">
        <is>
          <t>Nigeria</t>
        </is>
      </c>
      <c r="B129" t="inlineStr">
        <is>
          <t>Wheat</t>
        </is>
      </c>
      <c r="C129" t="inlineStr">
        <is>
          <t>Lowest</t>
        </is>
      </c>
      <c r="D129" t="inlineStr">
        <is>
          <t>Female</t>
        </is>
      </c>
      <c r="E129" t="inlineStr">
        <is>
          <t>Vehicle consumption by WRA -- any</t>
        </is>
      </c>
      <c r="F129" t="inlineStr">
        <is>
          <t>percentage</t>
        </is>
      </c>
      <c r="G129" t="inlineStr">
        <is>
          <t>%</t>
        </is>
      </c>
      <c r="I129" t="inlineStr">
        <is>
          <t>DUMMY (MIC-7549)</t>
        </is>
      </c>
      <c s="21" r="J129" t="n">
        <v>0.336</v>
      </c>
      <c r="M129" t="inlineStr">
        <is>
          <t>DUMMY PLACEHOLDER (MIC-7549): value copied from the corresponding Rice row. Replace with real wheat data.</t>
        </is>
      </c>
    </row>
    <row r="130">
      <c r="A130" t="inlineStr">
        <is>
          <t>Nigeria</t>
        </is>
      </c>
      <c r="B130" t="inlineStr">
        <is>
          <t>Wheat</t>
        </is>
      </c>
      <c r="C130" t="inlineStr">
        <is>
          <t>Second</t>
        </is>
      </c>
      <c r="D130" t="inlineStr">
        <is>
          <t>Female</t>
        </is>
      </c>
      <c r="E130" t="inlineStr">
        <is>
          <t>Vehicle consumption by WRA -- any</t>
        </is>
      </c>
      <c r="F130" t="inlineStr">
        <is>
          <t>percentage</t>
        </is>
      </c>
      <c r="G130" t="inlineStr">
        <is>
          <t>%</t>
        </is>
      </c>
      <c r="I130" t="inlineStr">
        <is>
          <t>DUMMY (MIC-7549)</t>
        </is>
      </c>
      <c s="21" r="J130" t="n">
        <v>0.448</v>
      </c>
      <c r="M130" t="inlineStr">
        <is>
          <t>DUMMY PLACEHOLDER (MIC-7549): value copied from the corresponding Rice row. Replace with real wheat data.</t>
        </is>
      </c>
    </row>
    <row r="131">
      <c r="A131" t="inlineStr">
        <is>
          <t>Nigeria</t>
        </is>
      </c>
      <c r="B131" t="inlineStr">
        <is>
          <t>Wheat</t>
        </is>
      </c>
      <c r="C131" t="inlineStr">
        <is>
          <t>Middle</t>
        </is>
      </c>
      <c r="D131" t="inlineStr">
        <is>
          <t>Female</t>
        </is>
      </c>
      <c r="E131" t="inlineStr">
        <is>
          <t>Vehicle consumption by WRA -- any</t>
        </is>
      </c>
      <c r="F131" t="inlineStr">
        <is>
          <t>percentage</t>
        </is>
      </c>
      <c r="G131" t="inlineStr">
        <is>
          <t>%</t>
        </is>
      </c>
      <c r="I131" t="inlineStr">
        <is>
          <t>DUMMY (MIC-7549)</t>
        </is>
      </c>
      <c s="21" r="J131" t="n">
        <v>0.546</v>
      </c>
      <c r="M131" t="inlineStr">
        <is>
          <t>DUMMY PLACEHOLDER (MIC-7549): value copied from the corresponding Rice row. Replace with real wheat data.</t>
        </is>
      </c>
    </row>
    <row r="132">
      <c r="A132" t="inlineStr">
        <is>
          <t>Nigeria</t>
        </is>
      </c>
      <c r="B132" t="inlineStr">
        <is>
          <t>Wheat</t>
        </is>
      </c>
      <c r="C132" t="inlineStr">
        <is>
          <t>Fourth</t>
        </is>
      </c>
      <c r="D132" t="inlineStr">
        <is>
          <t>Female</t>
        </is>
      </c>
      <c r="E132" t="inlineStr">
        <is>
          <t>Vehicle consumption by WRA -- any</t>
        </is>
      </c>
      <c r="F132" t="inlineStr">
        <is>
          <t>percentage</t>
        </is>
      </c>
      <c r="G132" t="inlineStr">
        <is>
          <t>%</t>
        </is>
      </c>
      <c r="I132" t="inlineStr">
        <is>
          <t>DUMMY (MIC-7549)</t>
        </is>
      </c>
      <c s="21" r="J132" t="n">
        <v>0.633</v>
      </c>
      <c r="M132" t="inlineStr">
        <is>
          <t>DUMMY PLACEHOLDER (MIC-7549): value copied from the corresponding Rice row. Replace with real wheat data.</t>
        </is>
      </c>
    </row>
    <row r="133">
      <c r="A133" t="inlineStr">
        <is>
          <t>Nigeria</t>
        </is>
      </c>
      <c r="B133" t="inlineStr">
        <is>
          <t>Wheat</t>
        </is>
      </c>
      <c r="C133" t="inlineStr">
        <is>
          <t>Highest</t>
        </is>
      </c>
      <c r="D133" t="inlineStr">
        <is>
          <t>Female</t>
        </is>
      </c>
      <c r="E133" t="inlineStr">
        <is>
          <t>Vehicle consumption by WRA -- any</t>
        </is>
      </c>
      <c r="F133" t="inlineStr">
        <is>
          <t>percentage</t>
        </is>
      </c>
      <c r="G133" t="inlineStr">
        <is>
          <t>%</t>
        </is>
      </c>
      <c r="I133" t="inlineStr">
        <is>
          <t>DUMMY (MIC-7549)</t>
        </is>
      </c>
      <c s="21" r="J133" t="n">
        <v>0.676</v>
      </c>
      <c r="M133" t="inlineStr">
        <is>
          <t>DUMMY PLACEHOLDER (MIC-7549): value copied from the corresponding Rice row. Replace with real wheat data.</t>
        </is>
      </c>
    </row>
    <row r="134" ht="29.25" customHeight="1">
      <c r="A134" t="inlineStr">
        <is>
          <t>Nigeria</t>
        </is>
      </c>
      <c r="B134" t="inlineStr">
        <is>
          <t>Wheat</t>
        </is>
      </c>
      <c r="C134" t="inlineStr">
        <is>
          <t>Total</t>
        </is>
      </c>
      <c r="D134" t="inlineStr">
        <is>
          <t>Female</t>
        </is>
      </c>
      <c r="E134" t="inlineStr">
        <is>
          <t>Vehicle consumption by WRA -- amount</t>
        </is>
      </c>
      <c r="F134" t="inlineStr">
        <is>
          <t>standard deviation</t>
        </is>
      </c>
      <c r="G134" t="inlineStr">
        <is>
          <t>g/day</t>
        </is>
      </c>
      <c r="I134" t="inlineStr">
        <is>
          <t>DUMMY (MIC-7549)</t>
        </is>
      </c>
      <c r="J134" t="n">
        <v>40.074074074074069</v>
      </c>
      <c s="5" r="M134" t="inlineStr">
        <is>
          <t>DUMMY PLACEHOLDER (MIC-7549): value copied from the corresponding Rice row. Replace with real wheat data.</t>
        </is>
      </c>
    </row>
    <row r="135">
      <c r="A135" t="inlineStr">
        <is>
          <t>Nigeria</t>
        </is>
      </c>
      <c r="B135" t="inlineStr">
        <is>
          <t>Wheat</t>
        </is>
      </c>
      <c r="C135" t="inlineStr">
        <is>
          <t>Lowest</t>
        </is>
      </c>
      <c r="D135" t="inlineStr">
        <is>
          <t>Female</t>
        </is>
      </c>
      <c r="E135" t="inlineStr">
        <is>
          <t>Vehicle consumption by WRA -- amount</t>
        </is>
      </c>
      <c r="F135" t="inlineStr">
        <is>
          <t>standard deviation</t>
        </is>
      </c>
      <c r="G135" t="inlineStr">
        <is>
          <t>g/day</t>
        </is>
      </c>
      <c r="I135" t="inlineStr">
        <is>
          <t>DUMMY (MIC-7549)</t>
        </is>
      </c>
      <c r="J135" t="n">
        <v>24.814814814814813</v>
      </c>
      <c r="M135" t="inlineStr">
        <is>
          <t>DUMMY PLACEHOLDER (MIC-7549): value copied from the corresponding Rice row. Replace with real wheat data.</t>
        </is>
      </c>
    </row>
    <row r="136">
      <c r="A136" t="inlineStr">
        <is>
          <t>Nigeria</t>
        </is>
      </c>
      <c r="B136" t="inlineStr">
        <is>
          <t>Wheat</t>
        </is>
      </c>
      <c r="C136" t="inlineStr">
        <is>
          <t>Second</t>
        </is>
      </c>
      <c r="D136" t="inlineStr">
        <is>
          <t>Female</t>
        </is>
      </c>
      <c r="E136" t="inlineStr">
        <is>
          <t>Vehicle consumption by WRA -- amount</t>
        </is>
      </c>
      <c r="F136" t="inlineStr">
        <is>
          <t>standard deviation</t>
        </is>
      </c>
      <c r="G136" t="inlineStr">
        <is>
          <t>g/day</t>
        </is>
      </c>
      <c r="I136" t="inlineStr">
        <is>
          <t>DUMMY (MIC-7549)</t>
        </is>
      </c>
      <c r="J136" t="n">
        <v>33.333333333333336</v>
      </c>
      <c r="M136" t="inlineStr">
        <is>
          <t>DUMMY PLACEHOLDER (MIC-7549): value copied from the corresponding Rice row. Replace with real wheat data.</t>
        </is>
      </c>
    </row>
    <row r="137">
      <c r="A137" t="inlineStr">
        <is>
          <t>Nigeria</t>
        </is>
      </c>
      <c r="B137" t="inlineStr">
        <is>
          <t>Wheat</t>
        </is>
      </c>
      <c r="C137" t="inlineStr">
        <is>
          <t>Middle</t>
        </is>
      </c>
      <c r="D137" t="inlineStr">
        <is>
          <t>Female</t>
        </is>
      </c>
      <c r="E137" t="inlineStr">
        <is>
          <t>Vehicle consumption by WRA -- amount</t>
        </is>
      </c>
      <c r="F137" t="inlineStr">
        <is>
          <t>standard deviation</t>
        </is>
      </c>
      <c r="G137" t="inlineStr">
        <is>
          <t>g/day</t>
        </is>
      </c>
      <c r="I137" t="inlineStr">
        <is>
          <t>DUMMY (MIC-7549)</t>
        </is>
      </c>
      <c r="J137" t="n">
        <v>35.037037037037031</v>
      </c>
      <c r="M137" t="inlineStr">
        <is>
          <t>DUMMY PLACEHOLDER (MIC-7549): value copied from the corresponding Rice row. Replace with real wheat data.</t>
        </is>
      </c>
    </row>
    <row r="138">
      <c r="A138" t="inlineStr">
        <is>
          <t>Nigeria</t>
        </is>
      </c>
      <c r="B138" t="inlineStr">
        <is>
          <t>Wheat</t>
        </is>
      </c>
      <c r="C138" t="inlineStr">
        <is>
          <t>Fourth</t>
        </is>
      </c>
      <c r="D138" t="inlineStr">
        <is>
          <t>Female</t>
        </is>
      </c>
      <c r="E138" t="inlineStr">
        <is>
          <t>Vehicle consumption by WRA -- amount</t>
        </is>
      </c>
      <c r="F138" t="inlineStr">
        <is>
          <t>standard deviation</t>
        </is>
      </c>
      <c r="G138" t="inlineStr">
        <is>
          <t>g/day</t>
        </is>
      </c>
      <c r="I138" t="inlineStr">
        <is>
          <t>DUMMY (MIC-7549)</t>
        </is>
      </c>
      <c r="J138" t="n">
        <v>37.777777777777779</v>
      </c>
      <c r="M138" t="inlineStr">
        <is>
          <t>DUMMY PLACEHOLDER (MIC-7549): value copied from the corresponding Rice row. Replace with real wheat data.</t>
        </is>
      </c>
    </row>
    <row r="139">
      <c r="A139" t="inlineStr">
        <is>
          <t>Nigeria</t>
        </is>
      </c>
      <c r="B139" t="inlineStr">
        <is>
          <t>Wheat</t>
        </is>
      </c>
      <c r="C139" t="inlineStr">
        <is>
          <t>Highest</t>
        </is>
      </c>
      <c r="D139" t="inlineStr">
        <is>
          <t>Female</t>
        </is>
      </c>
      <c r="E139" t="inlineStr">
        <is>
          <t>Vehicle consumption by WRA -- amount</t>
        </is>
      </c>
      <c r="F139" t="inlineStr">
        <is>
          <t>standard deviation</t>
        </is>
      </c>
      <c r="G139" t="inlineStr">
        <is>
          <t>g/day</t>
        </is>
      </c>
      <c r="I139" t="inlineStr">
        <is>
          <t>DUMMY (MIC-7549)</t>
        </is>
      </c>
      <c r="J139" t="n">
        <v>39.037037037037031</v>
      </c>
      <c r="M139" t="inlineStr">
        <is>
          <t>DUMMY PLACEHOLDER (MIC-7549): value copied from the corresponding Rice row. Replace with real wheat data.</t>
        </is>
      </c>
    </row>
    <row r="140" ht="43.5" customHeight="1">
      <c r="A140" t="inlineStr">
        <is>
          <t>Nigeria</t>
        </is>
      </c>
      <c r="B140" t="inlineStr">
        <is>
          <t>Wheat</t>
        </is>
      </c>
      <c r="C140" t="inlineStr">
        <is>
          <t>Total</t>
        </is>
      </c>
      <c r="D140" t="inlineStr">
        <is>
          <t>Total</t>
        </is>
      </c>
      <c r="E140" t="inlineStr">
        <is>
          <t>Vehicle consumption by U5 children -- amount</t>
        </is>
      </c>
      <c r="F140" t="inlineStr">
        <is>
          <t>mean</t>
        </is>
      </c>
      <c r="G140" t="inlineStr">
        <is>
          <t>g/day</t>
        </is>
      </c>
      <c r="I140" t="inlineStr">
        <is>
          <t>DUMMY (MIC-7549)</t>
        </is>
      </c>
      <c r="J140" t="n">
        <v>20.5288</v>
      </c>
      <c s="5" r="M140" t="inlineStr">
        <is>
          <t>DUMMY PLACEHOLDER (MIC-7549): value copied from the corresponding Rice row. Replace with real wheat data.</t>
        </is>
      </c>
    </row>
    <row r="141" ht="43.5" customHeight="1">
      <c r="A141" t="inlineStr">
        <is>
          <t>Nigeria</t>
        </is>
      </c>
      <c r="B141" t="inlineStr">
        <is>
          <t>Wheat</t>
        </is>
      </c>
      <c r="C141" t="inlineStr">
        <is>
          <t>Total</t>
        </is>
      </c>
      <c r="D141" t="inlineStr">
        <is>
          <t>Female</t>
        </is>
      </c>
      <c r="E141" t="inlineStr">
        <is>
          <t>Vehicle consumption by U5 children -- amount</t>
        </is>
      </c>
      <c r="F141" t="inlineStr">
        <is>
          <t>mean</t>
        </is>
      </c>
      <c r="G141" t="inlineStr">
        <is>
          <t>g/day</t>
        </is>
      </c>
      <c r="I141" t="inlineStr">
        <is>
          <t>DUMMY (MIC-7549)</t>
        </is>
      </c>
      <c r="J141" t="n">
        <v>19.028000000000002</v>
      </c>
      <c s="5" r="M141" t="inlineStr">
        <is>
          <t>DUMMY PLACEHOLDER (MIC-7549): value copied from the corresponding Rice row. Replace with real wheat data.</t>
        </is>
      </c>
    </row>
    <row r="142" ht="43.5" customHeight="1">
      <c r="A142" t="inlineStr">
        <is>
          <t>Nigeria</t>
        </is>
      </c>
      <c r="B142" t="inlineStr">
        <is>
          <t>Wheat</t>
        </is>
      </c>
      <c r="C142" t="inlineStr">
        <is>
          <t>Total</t>
        </is>
      </c>
      <c r="D142" t="inlineStr">
        <is>
          <t>Male</t>
        </is>
      </c>
      <c r="E142" t="inlineStr">
        <is>
          <t>Vehicle consumption by U5 children -- amount</t>
        </is>
      </c>
      <c r="F142" t="inlineStr">
        <is>
          <t>mean</t>
        </is>
      </c>
      <c r="G142" t="inlineStr">
        <is>
          <t>g/day</t>
        </is>
      </c>
      <c r="I142" t="inlineStr">
        <is>
          <t>DUMMY (MIC-7549)</t>
        </is>
      </c>
      <c r="J142" t="n">
        <v>21.976000000000003</v>
      </c>
      <c s="5" r="M142" t="inlineStr">
        <is>
          <t>DUMMY PLACEHOLDER (MIC-7549): value copied from the corresponding Rice row. Replace with real wheat data.</t>
        </is>
      </c>
    </row>
    <row r="143" ht="29.25" customHeight="1">
      <c r="A143" t="inlineStr">
        <is>
          <t>Nigeria</t>
        </is>
      </c>
      <c r="B143" t="inlineStr">
        <is>
          <t>Wheat</t>
        </is>
      </c>
      <c r="C143" t="inlineStr">
        <is>
          <t>Total</t>
        </is>
      </c>
      <c r="D143" t="inlineStr">
        <is>
          <t>Total</t>
        </is>
      </c>
      <c r="E143" t="inlineStr">
        <is>
          <t>Vehicle consumption by U5 children -- amount</t>
        </is>
      </c>
      <c r="F143" t="inlineStr">
        <is>
          <t>standard deviation</t>
        </is>
      </c>
      <c r="G143" t="inlineStr">
        <is>
          <t>g/day</t>
        </is>
      </c>
      <c r="I143" t="inlineStr">
        <is>
          <t>DUMMY (MIC-7549)</t>
        </is>
      </c>
      <c r="J143" t="n">
        <v>25.62962962962963</v>
      </c>
      <c s="5" r="M143" t="inlineStr">
        <is>
          <t>DUMMY PLACEHOLDER (MIC-7549): value copied from the corresponding Rice row. Replace with real wheat data.</t>
        </is>
      </c>
    </row>
    <row r="144" ht="29.25" customHeight="1">
      <c r="A144" t="inlineStr">
        <is>
          <t>Nigeria</t>
        </is>
      </c>
      <c r="B144" t="inlineStr">
        <is>
          <t>Wheat</t>
        </is>
      </c>
      <c r="C144" t="inlineStr">
        <is>
          <t>Total</t>
        </is>
      </c>
      <c r="D144" t="inlineStr">
        <is>
          <t>Female</t>
        </is>
      </c>
      <c r="E144" t="inlineStr">
        <is>
          <t>Vehicle consumption by U5 children -- amount</t>
        </is>
      </c>
      <c r="F144" t="inlineStr">
        <is>
          <t>standard deviation</t>
        </is>
      </c>
      <c r="G144" t="inlineStr">
        <is>
          <t>g/day</t>
        </is>
      </c>
      <c r="I144" t="inlineStr">
        <is>
          <t>DUMMY (MIC-7549)</t>
        </is>
      </c>
      <c r="J144" t="n">
        <v>23.999999999999996</v>
      </c>
      <c s="5" r="M144" t="inlineStr">
        <is>
          <t>DUMMY PLACEHOLDER (MIC-7549): value copied from the corresponding Rice row. Replace with real wheat data.</t>
        </is>
      </c>
    </row>
    <row r="145" ht="29.25" customHeight="1">
      <c r="A145" t="inlineStr">
        <is>
          <t>Nigeria</t>
        </is>
      </c>
      <c r="B145" t="inlineStr">
        <is>
          <t>Wheat</t>
        </is>
      </c>
      <c r="C145" t="inlineStr">
        <is>
          <t>Total</t>
        </is>
      </c>
      <c r="D145" t="inlineStr">
        <is>
          <t>Male</t>
        </is>
      </c>
      <c r="E145" t="inlineStr">
        <is>
          <t>Vehicle consumption by U5 children -- amount</t>
        </is>
      </c>
      <c r="F145" t="inlineStr">
        <is>
          <t>standard deviation</t>
        </is>
      </c>
      <c r="G145" t="inlineStr">
        <is>
          <t>g/day</t>
        </is>
      </c>
      <c r="I145" t="inlineStr">
        <is>
          <t>DUMMY (MIC-7549)</t>
        </is>
      </c>
      <c r="J145" t="n">
        <v>27.333333333333336</v>
      </c>
      <c s="5" r="M145" t="inlineStr">
        <is>
          <t>DUMMY PLACEHOLDER (MIC-7549): value copied from the corresponding Rice row. Replace with real wheat data.</t>
        </is>
      </c>
    </row>
    <row r="146" ht="29.25" customHeight="1">
      <c r="A146" t="inlineStr">
        <is>
          <t>Nigeria</t>
        </is>
      </c>
      <c r="B146" t="inlineStr">
        <is>
          <t>Wheat</t>
        </is>
      </c>
      <c r="C146" t="inlineStr">
        <is>
          <t>Total</t>
        </is>
      </c>
      <c r="D146" t="inlineStr">
        <is>
          <t>All (assumed same)</t>
        </is>
      </c>
      <c r="E146" t="inlineStr">
        <is>
          <t>Vehicle consumption by U5 children -- any</t>
        </is>
      </c>
      <c r="F146" t="inlineStr">
        <is>
          <t>percentage</t>
        </is>
      </c>
      <c r="G146" t="inlineStr">
        <is>
          <t>%</t>
        </is>
      </c>
      <c r="I146" t="inlineStr">
        <is>
          <t>DUMMY (MIC-7549)</t>
        </is>
      </c>
      <c s="21" r="J146" t="n">
        <v>0.536</v>
      </c>
      <c s="5" r="M146" t="inlineStr">
        <is>
          <t>DUMMY PLACEHOLDER (MIC-7549): value copied from the corresponding Rice row. Replace with real wheat data.</t>
        </is>
      </c>
    </row>
    <row r="147">
      <c r="A147" t="inlineStr">
        <is>
          <t>Nigeria</t>
        </is>
      </c>
      <c r="B147" t="inlineStr">
        <is>
          <t>Wheat</t>
        </is>
      </c>
      <c r="C147" t="inlineStr">
        <is>
          <t>Lowest</t>
        </is>
      </c>
      <c r="D147" t="inlineStr">
        <is>
          <t>All (assumed same)</t>
        </is>
      </c>
      <c r="E147" t="inlineStr">
        <is>
          <t>Vehicle consumption by U5 children -- any</t>
        </is>
      </c>
      <c r="F147" t="inlineStr">
        <is>
          <t>percentage</t>
        </is>
      </c>
      <c r="G147" t="inlineStr">
        <is>
          <t>%</t>
        </is>
      </c>
      <c r="I147" t="inlineStr">
        <is>
          <t>DUMMY (MIC-7549)</t>
        </is>
      </c>
      <c s="21" r="J147" t="n">
        <v>0.336</v>
      </c>
      <c r="M147" t="inlineStr">
        <is>
          <t>DUMMY PLACEHOLDER (MIC-7549): value copied from the corresponding Rice row. Replace with real wheat data.</t>
        </is>
      </c>
    </row>
    <row r="148">
      <c r="A148" t="inlineStr">
        <is>
          <t>Nigeria</t>
        </is>
      </c>
      <c r="B148" t="inlineStr">
        <is>
          <t>Wheat</t>
        </is>
      </c>
      <c r="C148" t="inlineStr">
        <is>
          <t>Second</t>
        </is>
      </c>
      <c r="D148" t="inlineStr">
        <is>
          <t>All (assumed same)</t>
        </is>
      </c>
      <c r="E148" t="inlineStr">
        <is>
          <t>Vehicle consumption by U5 children -- any</t>
        </is>
      </c>
      <c r="F148" t="inlineStr">
        <is>
          <t>percentage</t>
        </is>
      </c>
      <c r="G148" t="inlineStr">
        <is>
          <t>%</t>
        </is>
      </c>
      <c r="I148" t="inlineStr">
        <is>
          <t>DUMMY (MIC-7549)</t>
        </is>
      </c>
      <c s="21" r="J148" t="n">
        <v>0.448</v>
      </c>
      <c r="M148" t="inlineStr">
        <is>
          <t>DUMMY PLACEHOLDER (MIC-7549): value copied from the corresponding Rice row. Replace with real wheat data.</t>
        </is>
      </c>
    </row>
    <row r="149">
      <c r="A149" t="inlineStr">
        <is>
          <t>Nigeria</t>
        </is>
      </c>
      <c r="B149" t="inlineStr">
        <is>
          <t>Wheat</t>
        </is>
      </c>
      <c r="C149" t="inlineStr">
        <is>
          <t>Middle</t>
        </is>
      </c>
      <c r="D149" t="inlineStr">
        <is>
          <t>All (assumed same)</t>
        </is>
      </c>
      <c r="E149" t="inlineStr">
        <is>
          <t>Vehicle consumption by U5 children -- any</t>
        </is>
      </c>
      <c r="F149" t="inlineStr">
        <is>
          <t>percentage</t>
        </is>
      </c>
      <c r="G149" t="inlineStr">
        <is>
          <t>%</t>
        </is>
      </c>
      <c r="I149" t="inlineStr">
        <is>
          <t>DUMMY (MIC-7549)</t>
        </is>
      </c>
      <c s="21" r="J149" t="n">
        <v>0.546</v>
      </c>
      <c r="M149" t="inlineStr">
        <is>
          <t>DUMMY PLACEHOLDER (MIC-7549): value copied from the corresponding Rice row. Replace with real wheat data.</t>
        </is>
      </c>
    </row>
    <row r="150">
      <c r="A150" t="inlineStr">
        <is>
          <t>Nigeria</t>
        </is>
      </c>
      <c r="B150" t="inlineStr">
        <is>
          <t>Wheat</t>
        </is>
      </c>
      <c r="C150" t="inlineStr">
        <is>
          <t>Fourth</t>
        </is>
      </c>
      <c r="D150" t="inlineStr">
        <is>
          <t>All (assumed same)</t>
        </is>
      </c>
      <c r="E150" t="inlineStr">
        <is>
          <t>Vehicle consumption by U5 children -- any</t>
        </is>
      </c>
      <c r="F150" t="inlineStr">
        <is>
          <t>percentage</t>
        </is>
      </c>
      <c r="G150" t="inlineStr">
        <is>
          <t>%</t>
        </is>
      </c>
      <c r="I150" t="inlineStr">
        <is>
          <t>DUMMY (MIC-7549)</t>
        </is>
      </c>
      <c s="21" r="J150" t="n">
        <v>0.633</v>
      </c>
      <c r="M150" t="inlineStr">
        <is>
          <t>DUMMY PLACEHOLDER (MIC-7549): value copied from the corresponding Rice row. Replace with real wheat data.</t>
        </is>
      </c>
    </row>
    <row r="151">
      <c r="A151" t="inlineStr">
        <is>
          <t>Nigeria</t>
        </is>
      </c>
      <c r="B151" t="inlineStr">
        <is>
          <t>Wheat</t>
        </is>
      </c>
      <c r="C151" t="inlineStr">
        <is>
          <t>Highest</t>
        </is>
      </c>
      <c r="D151" t="inlineStr">
        <is>
          <t>All (assumed same)</t>
        </is>
      </c>
      <c r="E151" t="inlineStr">
        <is>
          <t>Vehicle consumption by U5 children -- any</t>
        </is>
      </c>
      <c r="F151" t="inlineStr">
        <is>
          <t>percentage</t>
        </is>
      </c>
      <c r="G151" t="inlineStr">
        <is>
          <t>%</t>
        </is>
      </c>
      <c r="I151" t="inlineStr">
        <is>
          <t>DUMMY (MIC-7549)</t>
        </is>
      </c>
      <c s="21" r="J151" t="n">
        <v>0.676</v>
      </c>
      <c r="M151" t="inlineStr">
        <is>
          <t>DUMMY PLACEHOLDER (MIC-7549): value copied from the corresponding Rice row. Replace with real wheat data.</t>
        </is>
      </c>
    </row>
  </sheetData>
  <dataValidations count="5">
    <dataValidation sqref="A1:B1" showDropDown="0" showInputMessage="1" showErrorMessage="1" allowBlank="1"/>
    <dataValidation sqref="C1:C1048576" showDropDown="0" showInputMessage="1" showErrorMessage="1" allowBlank="1" type="list">
      <formula1>"All (assumed same),Total,Lowest,Second,Middle,Fourth,Highest"</formula1>
    </dataValidation>
    <dataValidation sqref="A2:A1048576" showDropDown="0" showInputMessage="1" showErrorMessage="1" allowBlank="1" type="list">
      <formula1>"Nigeria,Ethiopia,India"</formula1>
    </dataValidation>
    <dataValidation sqref="B2:B1048576" showDropDown="0" showInputMessage="1" showErrorMessage="1" allowBlank="1" type="list">
      <formula1>"Bouillon,Salt,Rice"</formula1>
    </dataValidation>
    <dataValidation sqref="D1:D1048576" showDropDown="0" showInputMessage="1" showErrorMessage="1" allowBlank="1" type="list">
      <formula1>"All (assumed same),Total,Female,Male"</formula1>
    </dataValidation>
  </dataValidations>
  <hyperlinks>
    <hyperlink xmlns:r="http://schemas.openxmlformats.org/officeDocument/2006/relationships" ref="M9" r:id="rId1"/>
    <hyperlink xmlns:r="http://schemas.openxmlformats.org/officeDocument/2006/relationships" ref="M17" r:id="rId2"/>
    <hyperlink xmlns:r="http://schemas.openxmlformats.org/officeDocument/2006/relationships" ref="M19" r:id="rId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selection activeCell="F1" sqref="F1:M1"/>
    </sheetView>
  </sheetViews>
  <sheetFormatPr baseColWidth="8" defaultRowHeight="14.45"/>
  <cols>
    <col width="52.42578125" bestFit="1" customWidth="1" min="1" max="1"/>
    <col width="12.42578125" bestFit="1" customWidth="1" min="2" max="2"/>
    <col width="15.5703125" bestFit="1" customWidth="1" min="3" max="3"/>
    <col width="15.5703125" customWidth="1" min="4" max="5"/>
    <col width="9.7109375" bestFit="1" customWidth="1" min="6" max="6"/>
    <col width="15.85546875" bestFit="1" customWidth="1" min="14" max="17"/>
  </cols>
  <sheetData>
    <row r="1" ht="15" customHeight="1">
      <c r="A1" s="3" t="inlineStr">
        <is>
          <t>Country</t>
        </is>
      </c>
      <c r="B1" s="34" t="inlineStr">
        <is>
          <t>Ethiopia</t>
        </is>
      </c>
      <c r="F1" s="34" t="inlineStr">
        <is>
          <t>Nigeria</t>
        </is>
      </c>
      <c r="N1" s="35" t="inlineStr">
        <is>
          <t>India</t>
        </is>
      </c>
    </row>
    <row r="2" ht="15" customHeight="1">
      <c r="A2" s="3" t="inlineStr">
        <is>
          <t>Vehicle</t>
        </is>
      </c>
      <c r="B2" s="34" t="inlineStr">
        <is>
          <t>Salt</t>
        </is>
      </c>
      <c r="F2" s="34" t="inlineStr">
        <is>
          <t>Bouillon</t>
        </is>
      </c>
      <c r="J2" s="34" t="inlineStr">
        <is>
          <t>Rice</t>
        </is>
      </c>
      <c r="N2" s="34" t="inlineStr">
        <is>
          <t>Rice</t>
        </is>
      </c>
    </row>
    <row r="3" ht="15" customHeight="1">
      <c r="A3" s="3" t="inlineStr">
        <is>
          <t>Fortificant</t>
        </is>
      </c>
      <c r="B3" s="34" t="inlineStr">
        <is>
          <t>Folate</t>
        </is>
      </c>
      <c r="D3" s="34" t="inlineStr">
        <is>
          <t>Iron</t>
        </is>
      </c>
      <c r="F3" s="34" t="inlineStr">
        <is>
          <t>Folate</t>
        </is>
      </c>
      <c r="H3" s="34" t="inlineStr">
        <is>
          <t>Iron</t>
        </is>
      </c>
      <c r="J3" s="34" t="inlineStr">
        <is>
          <t>Folate</t>
        </is>
      </c>
      <c r="L3" s="34" t="inlineStr">
        <is>
          <t>Iron</t>
        </is>
      </c>
      <c r="N3" s="34" t="inlineStr">
        <is>
          <t>Folate</t>
        </is>
      </c>
      <c r="P3" s="34" t="inlineStr">
        <is>
          <t>Iron</t>
        </is>
      </c>
    </row>
    <row r="4" ht="15" customHeight="1">
      <c r="A4" s="3" t="inlineStr">
        <is>
          <t>Wealth</t>
        </is>
      </c>
      <c r="B4" s="2" t="inlineStr">
        <is>
          <t>Overall</t>
        </is>
      </c>
      <c r="C4" s="1" t="inlineStr">
        <is>
          <t>Quintile</t>
        </is>
      </c>
      <c r="D4" s="2" t="inlineStr">
        <is>
          <t>Overall</t>
        </is>
      </c>
      <c r="E4" s="1" t="inlineStr">
        <is>
          <t>Quintile</t>
        </is>
      </c>
      <c r="F4" s="2" t="inlineStr">
        <is>
          <t>Overall</t>
        </is>
      </c>
      <c r="G4" s="1" t="inlineStr">
        <is>
          <t>Quintile</t>
        </is>
      </c>
      <c r="H4" s="2" t="inlineStr">
        <is>
          <t>Overall</t>
        </is>
      </c>
      <c r="I4" s="1" t="inlineStr">
        <is>
          <t>Quintile</t>
        </is>
      </c>
      <c r="J4" s="2" t="inlineStr">
        <is>
          <t>Overall</t>
        </is>
      </c>
      <c r="K4" s="1" t="inlineStr">
        <is>
          <t>Quintile</t>
        </is>
      </c>
      <c r="L4" s="2" t="inlineStr">
        <is>
          <t>Overall</t>
        </is>
      </c>
      <c r="M4" s="1" t="inlineStr">
        <is>
          <t>Quintile</t>
        </is>
      </c>
      <c r="N4" s="2" t="inlineStr">
        <is>
          <t>Overall</t>
        </is>
      </c>
      <c r="O4" s="1" t="inlineStr">
        <is>
          <t>Quintile</t>
        </is>
      </c>
      <c r="P4" s="2" t="inlineStr">
        <is>
          <t>Overall</t>
        </is>
      </c>
      <c r="Q4" s="1" t="inlineStr">
        <is>
          <t>Quintile</t>
        </is>
      </c>
    </row>
    <row r="5" ht="15" customHeight="1">
      <c r="A5" s="1" t="inlineStr">
        <is>
          <t>Data need</t>
        </is>
      </c>
      <c r="B5" s="1" t="n"/>
      <c r="C5" s="1" t="n"/>
      <c r="D5" s="1" t="n"/>
      <c r="E5" s="1" t="n"/>
      <c r="F5" s="1" t="n"/>
      <c r="G5" s="1" t="n"/>
    </row>
    <row r="6" ht="15" customHeight="1">
      <c r="A6" t="inlineStr">
        <is>
          <t>Vehicle fortification at baseline -- any</t>
        </is>
      </c>
      <c r="B6" t="inlineStr">
        <is>
          <t>Zero</t>
        </is>
      </c>
      <c r="C6" t="inlineStr">
        <is>
          <t>Zero</t>
        </is>
      </c>
      <c r="D6" t="inlineStr">
        <is>
          <t>Not modeled</t>
        </is>
      </c>
      <c r="E6" t="inlineStr">
        <is>
          <t>Not modeled</t>
        </is>
      </c>
      <c r="F6" t="inlineStr">
        <is>
          <t>Zero</t>
        </is>
      </c>
      <c r="G6" t="inlineStr">
        <is>
          <t>Zero</t>
        </is>
      </c>
      <c r="H6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$A6, 'Country-Vehicle-Fort Extraction'!$J$2:$J$944, "&lt;&gt;") = 0, "Missing", "Complete")</f>
        <v>Complete</v>
      </c>
      <c r="I6" t="str">
        <f>IF(COUNTIFS('Country-Vehicle-Fort Extraction'!$A$2:$A$944, F$1,  'Country-Vehicle-Fort Extraction'!$B$2:$B$944, F$2,  'Country-Vehicle-Fort Extraction'!$C$2:$C$944, H$3, 'Country-Vehicle-Fort Extraction'!$D$2:$D$944, "&lt;&gt;All",  'Country-Vehicle-Fort Extraction'!$E$2:$E$944, $A6, 'Country-Vehicle-Fort Extraction'!$J$2:$J$944, "&lt;&gt;") &lt; 5, "Missing", "Complete")</f>
        <v>Complete</v>
      </c>
      <c r="J6" t="inlineStr">
        <is>
          <t>Zero</t>
        </is>
      </c>
      <c r="K6" t="inlineStr">
        <is>
          <t>Zero</t>
        </is>
      </c>
      <c r="L6" t="inlineStr">
        <is>
          <t>Zero</t>
        </is>
      </c>
      <c r="M6" t="inlineStr">
        <is>
          <t>Zero</t>
        </is>
      </c>
      <c r="N6" t="inlineStr">
        <is>
          <t>Microdata: HCES</t>
        </is>
      </c>
      <c r="O6" t="inlineStr">
        <is>
          <t>Microdata: HCES</t>
        </is>
      </c>
      <c r="P6" t="inlineStr">
        <is>
          <t>Microdata: HCES</t>
        </is>
      </c>
      <c r="Q6" t="inlineStr">
        <is>
          <t>Microdata: HCES</t>
        </is>
      </c>
    </row>
    <row r="7" ht="15" customHeight="1">
      <c r="A7" t="inlineStr">
        <is>
          <t>Vehicle fortification at baseline -- amount among fortified</t>
        </is>
      </c>
      <c r="B7" t="inlineStr">
        <is>
          <t>Zero</t>
        </is>
      </c>
      <c r="C7" t="inlineStr">
        <is>
          <t>Zero</t>
        </is>
      </c>
      <c r="D7" t="inlineStr">
        <is>
          <t>Not modeled</t>
        </is>
      </c>
      <c r="E7" t="inlineStr">
        <is>
          <t>Not modeled</t>
        </is>
      </c>
      <c r="F7" t="inlineStr">
        <is>
          <t>Zero</t>
        </is>
      </c>
      <c r="G7" t="inlineStr">
        <is>
          <t>Zero</t>
        </is>
      </c>
      <c r="H7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$A7, 'Country-Vehicle-Fort Extraction'!$J$2:$J$944, "&lt;&gt;") = 0, "Missing", "Complete")</f>
        <v>Missing</v>
      </c>
      <c r="I7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$A7, 'Country-Vehicle-Fort Extraction'!$J$2:$J$944, "&lt;&gt;") &lt; 5, "Missing", "Complete")</f>
        <v>Missing</v>
      </c>
      <c r="J7" t="inlineStr">
        <is>
          <t>Zero</t>
        </is>
      </c>
      <c r="K7" t="inlineStr">
        <is>
          <t>Zero</t>
        </is>
      </c>
      <c r="L7" t="inlineStr">
        <is>
          <t>Zero</t>
        </is>
      </c>
      <c r="M7" t="inlineStr">
        <is>
          <t>Zero</t>
        </is>
      </c>
      <c r="N7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$A7, 'Country-Vehicle-Fort Extraction'!$J$2:$J$944, "&lt;&gt;") = 0, "Missing", "Complete")</f>
        <v>Missing</v>
      </c>
      <c r="O7" t="inlineStr">
        <is>
          <t>N/A</t>
        </is>
      </c>
      <c r="P7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$A7, 'Country-Vehicle-Fort Extraction'!$J$2:$J$944, "&lt;&gt;") = 0, "Missing", "Complete")</f>
        <v>Missing</v>
      </c>
      <c r="Q7" t="inlineStr">
        <is>
          <t>N/A</t>
        </is>
      </c>
    </row>
    <row r="8" ht="15" customHeight="1">
      <c r="A8" t="inlineStr">
        <is>
          <t>Baseline effective % of fortified</t>
        </is>
      </c>
      <c r="B8" t="inlineStr">
        <is>
          <t>Zero</t>
        </is>
      </c>
      <c r="C8" t="inlineStr">
        <is>
          <t>Zero</t>
        </is>
      </c>
      <c r="D8" t="inlineStr">
        <is>
          <t>Not modeled</t>
        </is>
      </c>
      <c r="E8" t="inlineStr">
        <is>
          <t>Not modeled</t>
        </is>
      </c>
      <c r="F8" t="inlineStr">
        <is>
          <t>Zero</t>
        </is>
      </c>
      <c r="G8" t="inlineStr">
        <is>
          <t>Zero</t>
        </is>
      </c>
      <c r="H8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$A8, 'Country-Vehicle-Fort Extraction'!$J$2:$J$944, "&lt;&gt;") = 0, "Missing", "Complete")</f>
        <v>Missing</v>
      </c>
      <c r="I8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$A8, 'Country-Vehicle-Fort Extraction'!$J$2:$J$944, "&lt;&gt;") &lt; 5, "Missing", "Complete")</f>
        <v>Missing</v>
      </c>
      <c r="J8" t="inlineStr">
        <is>
          <t>Zero</t>
        </is>
      </c>
      <c r="K8" t="inlineStr">
        <is>
          <t>Zero</t>
        </is>
      </c>
      <c r="L8" t="inlineStr">
        <is>
          <t>Zero</t>
        </is>
      </c>
      <c r="M8" t="inlineStr">
        <is>
          <t>Zero</t>
        </is>
      </c>
      <c r="N8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$A8, 'Country-Vehicle-Fort Extraction'!$J$2:$J$944, "&lt;&gt;") = 0, "Missing", "Complete")</f>
        <v>Missing</v>
      </c>
      <c r="O8" t="inlineStr">
        <is>
          <t>N/A</t>
        </is>
      </c>
      <c r="P8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$A8, 'Country-Vehicle-Fort Extraction'!$J$2:$J$944, "&lt;&gt;") = 0, "Missing", "Complete")</f>
        <v>Missing</v>
      </c>
      <c r="Q8" t="inlineStr">
        <is>
          <t>N/A</t>
        </is>
      </c>
    </row>
  </sheetData>
  <mergeCells count="15">
    <mergeCell ref="F3:G3"/>
    <mergeCell ref="L3:M3"/>
    <mergeCell ref="J3:K3"/>
    <mergeCell ref="P3:Q3"/>
    <mergeCell ref="N3:O3"/>
    <mergeCell ref="B1:E1"/>
    <mergeCell ref="B3:C3"/>
    <mergeCell ref="N1:Q1"/>
    <mergeCell ref="F2:I2"/>
    <mergeCell ref="B2:E2"/>
    <mergeCell ref="J2:M2"/>
    <mergeCell ref="N2:Q2"/>
    <mergeCell ref="D3:E3"/>
    <mergeCell ref="F1:M1"/>
    <mergeCell ref="H3:I3"/>
  </mergeCells>
  <conditionalFormatting sqref="B6:Q7">
    <cfRule type="cellIs" priority="7" operator="equal" dxfId="0">
      <formula>"Missing"</formula>
    </cfRule>
  </conditionalFormatting>
  <conditionalFormatting sqref="H8:I8 N8:Q8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8" activePane="bottomLeft" state="frozen"/>
      <selection pane="bottomLeft" activeCell="L25" sqref="A24:L25"/>
    </sheetView>
  </sheetViews>
  <sheetFormatPr baseColWidth="8" defaultRowHeight="14.45"/>
  <cols>
    <col width="8" bestFit="1" customWidth="1" min="1" max="1"/>
    <col width="9.5703125" bestFit="1" customWidth="1" min="3" max="3"/>
    <col width="18.28515625" bestFit="1" customWidth="1" min="4" max="4"/>
    <col width="52.7109375" bestFit="1" customWidth="1" min="5" max="5"/>
    <col width="19" customWidth="1" min="6" max="6"/>
    <col width="11.85546875" bestFit="1" customWidth="1" min="9" max="9"/>
    <col width="50.42578125" customWidth="1" min="12" max="12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Fortificant</t>
        </is>
      </c>
      <c r="D1" s="1" t="inlineStr">
        <is>
          <t>Quintile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Year</t>
        </is>
      </c>
      <c r="I1" s="1" t="inlineStr">
        <is>
          <t>Data source</t>
        </is>
      </c>
      <c r="J1" s="1" t="inlineStr">
        <is>
          <t>Value</t>
        </is>
      </c>
      <c r="K1" s="1" t="inlineStr">
        <is>
          <t>CI</t>
        </is>
      </c>
      <c r="L1" s="1" t="inlineStr">
        <is>
          <t>Notes</t>
        </is>
      </c>
    </row>
    <row r="2">
      <c r="A2" t="inlineStr">
        <is>
          <t>Ethiopia</t>
        </is>
      </c>
      <c r="B2" t="inlineStr">
        <is>
          <t>Salt</t>
        </is>
      </c>
      <c r="C2" t="inlineStr">
        <is>
          <t>Folate</t>
        </is>
      </c>
      <c r="D2" t="inlineStr">
        <is>
          <t>All (assumed same)</t>
        </is>
      </c>
      <c r="E2" t="inlineStr">
        <is>
          <t>Vehicle fortification at baseline -- any</t>
        </is>
      </c>
      <c r="F2" t="inlineStr">
        <is>
          <t>percentage</t>
        </is>
      </c>
      <c r="G2" s="8" t="inlineStr">
        <is>
          <t>%</t>
        </is>
      </c>
      <c r="I2" t="inlineStr">
        <is>
          <t>Assumption</t>
        </is>
      </c>
      <c r="J2" s="7" t="n">
        <v>0</v>
      </c>
    </row>
    <row r="3">
      <c r="A3" t="inlineStr">
        <is>
          <t>Ethiopia</t>
        </is>
      </c>
      <c r="B3" t="inlineStr">
        <is>
          <t>Salt</t>
        </is>
      </c>
      <c r="C3" t="inlineStr">
        <is>
          <t>Folate</t>
        </is>
      </c>
      <c r="D3" t="inlineStr">
        <is>
          <t>All (assumed same)</t>
        </is>
      </c>
      <c r="E3" t="inlineStr">
        <is>
          <t>Vehicle fortification at baseline -- amount among fortified</t>
        </is>
      </c>
      <c r="F3" t="inlineStr">
        <is>
          <t>concentration</t>
        </is>
      </c>
      <c r="G3" s="8" t="inlineStr">
        <is>
          <t>mcg/g</t>
        </is>
      </c>
      <c r="I3" t="inlineStr">
        <is>
          <t>Assumption</t>
        </is>
      </c>
      <c r="J3" s="10" t="n">
        <v>0</v>
      </c>
    </row>
    <row r="4" ht="15" customHeight="1">
      <c r="A4" t="inlineStr">
        <is>
          <t>Nigeria</t>
        </is>
      </c>
      <c r="B4" t="inlineStr">
        <is>
          <t>Rice</t>
        </is>
      </c>
      <c r="C4" t="inlineStr">
        <is>
          <t>Folate</t>
        </is>
      </c>
      <c r="D4" t="inlineStr">
        <is>
          <t>All (assumed same)</t>
        </is>
      </c>
      <c r="E4" t="inlineStr">
        <is>
          <t>Vehicle fortification at baseline -- any</t>
        </is>
      </c>
      <c r="F4" t="inlineStr">
        <is>
          <t>percentage</t>
        </is>
      </c>
      <c r="G4" s="8" t="inlineStr">
        <is>
          <t>%</t>
        </is>
      </c>
      <c r="I4" t="inlineStr">
        <is>
          <t>Assumption</t>
        </is>
      </c>
      <c r="J4" s="7" t="n">
        <v>0</v>
      </c>
      <c r="L4" t="inlineStr">
        <is>
          <t>Jonathan Gorstein, 8/30</t>
        </is>
      </c>
    </row>
    <row r="5" ht="15" customHeight="1">
      <c r="A5" t="inlineStr">
        <is>
          <t>Nigeria</t>
        </is>
      </c>
      <c r="B5" t="inlineStr">
        <is>
          <t>Rice</t>
        </is>
      </c>
      <c r="C5" t="inlineStr">
        <is>
          <t>Folate</t>
        </is>
      </c>
      <c r="D5" t="inlineStr">
        <is>
          <t>All (assumed same)</t>
        </is>
      </c>
      <c r="E5" t="inlineStr">
        <is>
          <t>Vehicle fortification at baseline -- amount among fortified</t>
        </is>
      </c>
      <c r="F5" t="inlineStr">
        <is>
          <t>concentration</t>
        </is>
      </c>
      <c r="G5" s="8" t="inlineStr">
        <is>
          <t>mcg/g</t>
        </is>
      </c>
      <c r="I5" t="inlineStr">
        <is>
          <t>Assumption</t>
        </is>
      </c>
      <c r="J5" s="10" t="n">
        <v>0</v>
      </c>
      <c r="L5" t="inlineStr">
        <is>
          <t>Jonathan Gorstein, 8/30</t>
        </is>
      </c>
    </row>
    <row r="6" ht="15" customHeight="1">
      <c r="A6" t="inlineStr">
        <is>
          <t>Nigeria</t>
        </is>
      </c>
      <c r="B6" t="inlineStr">
        <is>
          <t>Rice</t>
        </is>
      </c>
      <c r="C6" t="inlineStr">
        <is>
          <t>Iron</t>
        </is>
      </c>
      <c r="D6" t="inlineStr">
        <is>
          <t>All (assumed same)</t>
        </is>
      </c>
      <c r="E6" t="inlineStr">
        <is>
          <t>Vehicle fortification at baseline -- any</t>
        </is>
      </c>
      <c r="F6" t="inlineStr">
        <is>
          <t>percentage</t>
        </is>
      </c>
      <c r="G6" s="8" t="inlineStr">
        <is>
          <t>%</t>
        </is>
      </c>
      <c r="I6" t="inlineStr">
        <is>
          <t>Assumption</t>
        </is>
      </c>
      <c r="J6" s="7" t="n">
        <v>0</v>
      </c>
      <c r="L6" t="inlineStr">
        <is>
          <t>Jonathan Gorstein, 8/30</t>
        </is>
      </c>
    </row>
    <row r="7" ht="15" customHeight="1">
      <c r="A7" t="inlineStr">
        <is>
          <t>Nigeria</t>
        </is>
      </c>
      <c r="B7" t="inlineStr">
        <is>
          <t>Rice</t>
        </is>
      </c>
      <c r="C7" t="inlineStr">
        <is>
          <t>Iron</t>
        </is>
      </c>
      <c r="D7" t="inlineStr">
        <is>
          <t>All (assumed same)</t>
        </is>
      </c>
      <c r="E7" t="inlineStr">
        <is>
          <t>Vehicle fortification at baseline -- amount among fortified</t>
        </is>
      </c>
      <c r="F7" t="inlineStr">
        <is>
          <t>concentration</t>
        </is>
      </c>
      <c r="G7" s="8" t="inlineStr">
        <is>
          <t>mcg/g</t>
        </is>
      </c>
      <c r="I7" t="inlineStr">
        <is>
          <t>Assumption</t>
        </is>
      </c>
      <c r="J7" s="10" t="n">
        <v>0</v>
      </c>
      <c r="L7" t="inlineStr">
        <is>
          <t>Jonathan Gorstein, 8/30</t>
        </is>
      </c>
    </row>
    <row r="8">
      <c r="A8" t="inlineStr">
        <is>
          <t>Nigeria</t>
        </is>
      </c>
      <c r="B8" t="inlineStr">
        <is>
          <t>Bouillon</t>
        </is>
      </c>
      <c r="C8" t="inlineStr">
        <is>
          <t>Iron</t>
        </is>
      </c>
      <c r="D8" t="inlineStr">
        <is>
          <t>Total</t>
        </is>
      </c>
      <c r="E8" t="inlineStr">
        <is>
          <t>Vehicle fortification at baseline -- any</t>
        </is>
      </c>
      <c r="F8" t="inlineStr">
        <is>
          <t>percentage</t>
        </is>
      </c>
      <c r="G8" s="8" t="inlineStr">
        <is>
          <t>%</t>
        </is>
      </c>
      <c r="I8" t="inlineStr">
        <is>
          <t>Assumption</t>
        </is>
      </c>
      <c r="J8" s="7" t="n">
        <v>0.618756371049949</v>
      </c>
      <c r="L8" s="9" t="inlineStr">
        <is>
          <t>Assumption: labeled as fortified = fortified (basically true for salt). Divided "consumed food labeled as fortified" by "consumed food".</t>
        </is>
      </c>
    </row>
    <row r="9">
      <c r="A9" t="inlineStr">
        <is>
          <t>Nigeria</t>
        </is>
      </c>
      <c r="B9" t="inlineStr">
        <is>
          <t>Bouillon</t>
        </is>
      </c>
      <c r="C9" t="inlineStr">
        <is>
          <t>Iron</t>
        </is>
      </c>
      <c r="D9" t="inlineStr">
        <is>
          <t>Lowest</t>
        </is>
      </c>
      <c r="E9" t="inlineStr">
        <is>
          <t>Vehicle fortification at baseline -- any</t>
        </is>
      </c>
      <c r="F9" t="inlineStr">
        <is>
          <t>percentage</t>
        </is>
      </c>
      <c r="G9" s="8" t="inlineStr">
        <is>
          <t>%</t>
        </is>
      </c>
      <c r="I9" t="inlineStr">
        <is>
          <t>Assumption</t>
        </is>
      </c>
      <c r="J9" s="7" t="n">
        <v>0.5192107995846313</v>
      </c>
      <c r="L9" s="9" t="n"/>
    </row>
    <row r="10">
      <c r="A10" t="inlineStr">
        <is>
          <t>Nigeria</t>
        </is>
      </c>
      <c r="B10" t="inlineStr">
        <is>
          <t>Bouillon</t>
        </is>
      </c>
      <c r="C10" t="inlineStr">
        <is>
          <t>Iron</t>
        </is>
      </c>
      <c r="D10" t="inlineStr">
        <is>
          <t>Second</t>
        </is>
      </c>
      <c r="E10" t="inlineStr">
        <is>
          <t>Vehicle fortification at baseline -- any</t>
        </is>
      </c>
      <c r="F10" t="inlineStr">
        <is>
          <t>percentage</t>
        </is>
      </c>
      <c r="G10" s="8" t="inlineStr">
        <is>
          <t>%</t>
        </is>
      </c>
      <c r="I10" t="inlineStr">
        <is>
          <t>Assumption</t>
        </is>
      </c>
      <c r="J10" s="7" t="n">
        <v>0.5840978593272171</v>
      </c>
      <c r="L10" s="9" t="n"/>
    </row>
    <row r="11">
      <c r="A11" t="inlineStr">
        <is>
          <t>Nigeria</t>
        </is>
      </c>
      <c r="B11" t="inlineStr">
        <is>
          <t>Bouillon</t>
        </is>
      </c>
      <c r="C11" t="inlineStr">
        <is>
          <t>Iron</t>
        </is>
      </c>
      <c r="D11" t="inlineStr">
        <is>
          <t>Middle</t>
        </is>
      </c>
      <c r="E11" t="inlineStr">
        <is>
          <t>Vehicle fortification at baseline -- any</t>
        </is>
      </c>
      <c r="F11" t="inlineStr">
        <is>
          <t>percentage</t>
        </is>
      </c>
      <c r="G11" s="8" t="inlineStr">
        <is>
          <t>%</t>
        </is>
      </c>
      <c r="I11" t="inlineStr">
        <is>
          <t>Assumption</t>
        </is>
      </c>
      <c r="J11" s="7" t="n">
        <v>0.6381048387096774</v>
      </c>
      <c r="L11" s="9" t="n"/>
    </row>
    <row r="12">
      <c r="A12" t="inlineStr">
        <is>
          <t>Nigeria</t>
        </is>
      </c>
      <c r="B12" t="inlineStr">
        <is>
          <t>Bouillon</t>
        </is>
      </c>
      <c r="C12" t="inlineStr">
        <is>
          <t>Iron</t>
        </is>
      </c>
      <c r="D12" t="inlineStr">
        <is>
          <t>Fourth</t>
        </is>
      </c>
      <c r="E12" t="inlineStr">
        <is>
          <t>Vehicle fortification at baseline -- any</t>
        </is>
      </c>
      <c r="F12" t="inlineStr">
        <is>
          <t>percentage</t>
        </is>
      </c>
      <c r="G12" s="8" t="inlineStr">
        <is>
          <t>%</t>
        </is>
      </c>
      <c r="I12" t="inlineStr">
        <is>
          <t>Assumption</t>
        </is>
      </c>
      <c r="J12" s="7" t="n">
        <v>0.6693711967545639</v>
      </c>
      <c r="L12" s="9" t="n"/>
    </row>
    <row r="13">
      <c r="A13" t="inlineStr">
        <is>
          <t>Nigeria</t>
        </is>
      </c>
      <c r="B13" t="inlineStr">
        <is>
          <t>Bouillon</t>
        </is>
      </c>
      <c r="C13" t="inlineStr">
        <is>
          <t>Iron</t>
        </is>
      </c>
      <c r="D13" t="inlineStr">
        <is>
          <t>Highest</t>
        </is>
      </c>
      <c r="E13" t="inlineStr">
        <is>
          <t>Vehicle fortification at baseline -- any</t>
        </is>
      </c>
      <c r="F13" t="inlineStr">
        <is>
          <t>percentage</t>
        </is>
      </c>
      <c r="G13" s="8" t="inlineStr">
        <is>
          <t>%</t>
        </is>
      </c>
      <c r="I13" t="inlineStr">
        <is>
          <t>Assumption</t>
        </is>
      </c>
      <c r="J13" s="7" t="n">
        <v>0.6997971602434078</v>
      </c>
      <c r="L13" s="9" t="n"/>
    </row>
    <row r="14" ht="101.45" customHeight="1">
      <c r="A14" t="inlineStr">
        <is>
          <t>Nigeria</t>
        </is>
      </c>
      <c r="B14" t="inlineStr">
        <is>
          <t>Bouillon</t>
        </is>
      </c>
      <c r="C14" t="inlineStr">
        <is>
          <t>Iron</t>
        </is>
      </c>
      <c r="D14" t="inlineStr">
        <is>
          <t>All (assumed same)</t>
        </is>
      </c>
      <c r="E14" t="inlineStr">
        <is>
          <t>Vehicle fortification at baseline -- amount among fortified</t>
        </is>
      </c>
      <c r="F14" t="inlineStr">
        <is>
          <t>concentration</t>
        </is>
      </c>
      <c r="G14" s="8" t="inlineStr">
        <is>
          <t>mcg/g</t>
        </is>
      </c>
      <c r="I14" t="inlineStr">
        <is>
          <t>Assumption</t>
        </is>
      </c>
      <c r="J14" s="10" t="n">
        <v>420</v>
      </c>
      <c r="L14" s="32" t="inlineStr">
        <is>
          <t>Maggi cubes (most popular brand and format) claim to have 15% NRV per serving (https://www.nestle-cwa.com/en/ask-nestle/products-brands/what-is-in-the-maggi-cube), but according to Jonathan Gorstein email on July 27th it is actually 12%; https://www.wolframalpha.com/input?i=12%25+of+14mg+per+4+grams+in+mcg%2Fg</t>
        </is>
      </c>
    </row>
    <row r="15">
      <c r="A15" t="inlineStr">
        <is>
          <t>Nigeria</t>
        </is>
      </c>
      <c r="B15" t="inlineStr">
        <is>
          <t>Bouillon</t>
        </is>
      </c>
      <c r="C15" t="inlineStr">
        <is>
          <t>Folate</t>
        </is>
      </c>
      <c r="D15" t="inlineStr">
        <is>
          <t>All (assumed same)</t>
        </is>
      </c>
      <c r="E15" t="inlineStr">
        <is>
          <t>Vehicle fortification at baseline -- any</t>
        </is>
      </c>
      <c r="F15" t="inlineStr">
        <is>
          <t>percentage</t>
        </is>
      </c>
      <c r="G15" s="8" t="inlineStr">
        <is>
          <t>%</t>
        </is>
      </c>
      <c r="I15" t="inlineStr">
        <is>
          <t>Assumption</t>
        </is>
      </c>
      <c r="J15" s="7" t="n">
        <v>0</v>
      </c>
      <c r="L15" s="9" t="inlineStr">
        <is>
      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      </is>
      </c>
    </row>
    <row r="16">
      <c r="A16" t="inlineStr">
        <is>
          <t>Nigeria</t>
        </is>
      </c>
      <c r="B16" t="inlineStr">
        <is>
          <t>Bouillon</t>
        </is>
      </c>
      <c r="C16" t="inlineStr">
        <is>
          <t>Folate</t>
        </is>
      </c>
      <c r="D16" t="inlineStr">
        <is>
          <t>All (assumed same)</t>
        </is>
      </c>
      <c r="E16" t="inlineStr">
        <is>
          <t>Vehicle fortification at baseline -- amount among fortified</t>
        </is>
      </c>
      <c r="F16" t="inlineStr">
        <is>
          <t>concentration</t>
        </is>
      </c>
      <c r="G16" s="8" t="inlineStr">
        <is>
          <t>mcg/g</t>
        </is>
      </c>
      <c r="I16" t="inlineStr">
        <is>
          <t>Assumption</t>
        </is>
      </c>
      <c r="J16" s="10" t="n">
        <v>0</v>
      </c>
      <c r="L16" s="9" t="n"/>
    </row>
    <row r="17" ht="43.5" customHeight="1">
      <c r="A17" t="inlineStr">
        <is>
          <t>India</t>
        </is>
      </c>
      <c r="B17" t="inlineStr">
        <is>
          <t>Rice</t>
        </is>
      </c>
      <c r="C17" t="inlineStr">
        <is>
          <t>Iron</t>
        </is>
      </c>
      <c r="D17" t="inlineStr">
        <is>
          <t>All (assumed same)</t>
        </is>
      </c>
      <c r="E17" t="inlineStr">
        <is>
          <t>Vehicle fortification at baseline -- amount among fortified</t>
        </is>
      </c>
      <c r="F17" t="inlineStr">
        <is>
          <t>concentration</t>
        </is>
      </c>
      <c r="G17" t="inlineStr">
        <is>
          <t>mcg/g</t>
        </is>
      </c>
      <c r="I17" t="inlineStr">
        <is>
          <t xml:space="preserve">slide deck JG shared to ADF, credited to 
Helena.Pachon@emory.edu
</t>
        </is>
      </c>
      <c r="J17" t="n">
        <v>42.5</v>
      </c>
      <c r="L17" s="5" t="inlineStr">
        <is>
          <t>Originally in mg/100g; https://www.wolframalpha.com/input?i=4.25+mg+per+100+grams+in+micrograms+per+gram</t>
        </is>
      </c>
    </row>
    <row r="18" ht="43.5" customHeight="1">
      <c r="A18" t="inlineStr">
        <is>
          <t>India</t>
        </is>
      </c>
      <c r="B18" t="inlineStr">
        <is>
          <t>Rice</t>
        </is>
      </c>
      <c r="C18" t="inlineStr">
        <is>
          <t>Folate</t>
        </is>
      </c>
      <c r="D18" t="inlineStr">
        <is>
          <t>All (assumed same)</t>
        </is>
      </c>
      <c r="E18" t="inlineStr">
        <is>
          <t>Vehicle fortification at baseline -- amount among fortified</t>
        </is>
      </c>
      <c r="F18" t="inlineStr">
        <is>
          <t>concentration</t>
        </is>
      </c>
      <c r="G18" t="inlineStr">
        <is>
          <t>mcg/g</t>
        </is>
      </c>
      <c r="I18" t="inlineStr">
        <is>
          <t xml:space="preserve">slide deck JG shared to ADF, credited to 
Helena.Pachon@emory.edu
</t>
        </is>
      </c>
      <c r="J18" t="n">
        <v>0.125</v>
      </c>
      <c r="L18" s="32" t="inlineStr">
        <is>
          <t>Originally in mcg/100g; https://www.wolframalpha.com/input?i=12.5+mcg+per+100+grams+in+micrograms+per+gram</t>
        </is>
      </c>
    </row>
    <row r="19">
      <c r="A19" t="inlineStr">
        <is>
          <t>Nigeria</t>
        </is>
      </c>
      <c r="B19" t="inlineStr">
        <is>
          <t>Bouillon</t>
        </is>
      </c>
      <c r="C19" t="inlineStr">
        <is>
          <t>Iron</t>
        </is>
      </c>
      <c r="D19" t="inlineStr">
        <is>
          <t>All (assumed same)</t>
        </is>
      </c>
      <c r="E19" t="inlineStr">
        <is>
          <t>Baseline effective % of fortified</t>
        </is>
      </c>
      <c r="F19" t="inlineStr">
        <is>
          <t>percentage</t>
        </is>
      </c>
      <c r="G19" s="8" t="inlineStr">
        <is>
          <t>%</t>
        </is>
      </c>
      <c r="I19" t="inlineStr">
        <is>
          <t>Assumption</t>
        </is>
      </c>
      <c r="J19" s="20" t="n">
        <v>0</v>
      </c>
      <c r="L19" t="inlineStr">
        <is>
          <t>Jonathan Gorstein, 8/15</t>
        </is>
      </c>
    </row>
    <row r="20">
      <c r="A20" t="inlineStr">
        <is>
          <t>Nigeria</t>
        </is>
      </c>
      <c r="B20" t="inlineStr">
        <is>
          <t>Bouillon</t>
        </is>
      </c>
      <c r="C20" t="inlineStr">
        <is>
          <t>Folate</t>
        </is>
      </c>
      <c r="D20" t="inlineStr">
        <is>
          <t>All (assumed same)</t>
        </is>
      </c>
      <c r="E20" t="inlineStr">
        <is>
          <t>Baseline effective % of fortified</t>
        </is>
      </c>
      <c r="F20" t="inlineStr">
        <is>
          <t>percentage</t>
        </is>
      </c>
      <c r="G20" s="8" t="inlineStr">
        <is>
          <t>%</t>
        </is>
      </c>
      <c r="I20" t="inlineStr">
        <is>
          <t>Assumption</t>
        </is>
      </c>
      <c r="J20" s="20" t="n">
        <v>0</v>
      </c>
      <c r="L20" t="inlineStr">
        <is>
          <t>Jonathan Gorstein, 8/15</t>
        </is>
      </c>
    </row>
    <row r="21">
      <c r="A21" t="inlineStr">
        <is>
          <t>India</t>
        </is>
      </c>
      <c r="B21" t="inlineStr">
        <is>
          <t>Rice</t>
        </is>
      </c>
      <c r="C21" t="inlineStr">
        <is>
          <t>Iron</t>
        </is>
      </c>
      <c r="D21" t="inlineStr">
        <is>
          <t>All (assumed same)</t>
        </is>
      </c>
      <c r="E21" t="inlineStr">
        <is>
          <t>Baseline effective % of fortified</t>
        </is>
      </c>
      <c r="F21" t="inlineStr">
        <is>
          <t>percentage</t>
        </is>
      </c>
      <c r="G21" s="8" t="inlineStr">
        <is>
          <t>%</t>
        </is>
      </c>
      <c r="J21" s="7" t="n">
        <v>0.8</v>
      </c>
      <c r="L21" t="inlineStr">
        <is>
          <t>Same as intervention, for now</t>
        </is>
      </c>
    </row>
    <row r="22">
      <c r="A22" t="inlineStr">
        <is>
          <t>India</t>
        </is>
      </c>
      <c r="B22" t="inlineStr">
        <is>
          <t>Rice</t>
        </is>
      </c>
      <c r="C22" t="inlineStr">
        <is>
          <t>Folate</t>
        </is>
      </c>
      <c r="D22" t="inlineStr">
        <is>
          <t>All (assumed same)</t>
        </is>
      </c>
      <c r="E22" t="inlineStr">
        <is>
          <t>Baseline effective % of fortified</t>
        </is>
      </c>
      <c r="F22" t="inlineStr">
        <is>
          <t>percentage</t>
        </is>
      </c>
      <c r="G22" s="8" t="inlineStr">
        <is>
          <t>%</t>
        </is>
      </c>
      <c r="J22" s="7" t="n">
        <v>0.8</v>
      </c>
      <c r="L22" t="inlineStr">
        <is>
          <t>Same as intervention, for now</t>
        </is>
      </c>
    </row>
    <row r="23">
      <c r="A23" t="inlineStr">
        <is>
          <t>Ethiopia</t>
        </is>
      </c>
      <c r="B23" t="inlineStr">
        <is>
          <t>Salt</t>
        </is>
      </c>
      <c r="C23" t="inlineStr">
        <is>
          <t>Folate</t>
        </is>
      </c>
      <c r="D23" t="inlineStr">
        <is>
          <t>All (assumed same)</t>
        </is>
      </c>
      <c r="E23" t="inlineStr">
        <is>
          <t>Baseline effective % of fortified</t>
        </is>
      </c>
      <c r="F23" t="inlineStr">
        <is>
          <t>percentage</t>
        </is>
      </c>
      <c r="G23" s="8" t="inlineStr">
        <is>
          <t>%</t>
        </is>
      </c>
      <c r="J23" s="7" t="n">
        <v>0.8</v>
      </c>
      <c r="L23" t="inlineStr">
        <is>
          <t>Does not matter, no baseline fortification</t>
        </is>
      </c>
    </row>
    <row r="24" ht="15" customHeight="1">
      <c r="A24" t="inlineStr">
        <is>
          <t>Nigeria</t>
        </is>
      </c>
      <c r="B24" t="inlineStr">
        <is>
          <t>Rice</t>
        </is>
      </c>
      <c r="C24" t="inlineStr">
        <is>
          <t>Folate</t>
        </is>
      </c>
      <c r="D24" t="inlineStr">
        <is>
          <t>All (assumed same)</t>
        </is>
      </c>
      <c r="E24" t="inlineStr">
        <is>
          <t>Baseline effective % of fortified</t>
        </is>
      </c>
      <c r="F24" t="inlineStr">
        <is>
          <t>percentage</t>
        </is>
      </c>
      <c r="G24" s="8" t="inlineStr">
        <is>
          <t>%</t>
        </is>
      </c>
      <c r="J24" s="7" t="n">
        <v>0.8</v>
      </c>
      <c r="L24" t="inlineStr">
        <is>
          <t>Does not matter, no baseline fortification</t>
        </is>
      </c>
    </row>
    <row r="25" ht="15" customHeight="1">
      <c r="A25" t="inlineStr">
        <is>
          <t>Nigeria</t>
        </is>
      </c>
      <c r="B25" t="inlineStr">
        <is>
          <t>Rice</t>
        </is>
      </c>
      <c r="C25" t="inlineStr">
        <is>
          <t>Iron</t>
        </is>
      </c>
      <c r="D25" t="inlineStr">
        <is>
          <t>All (assumed same)</t>
        </is>
      </c>
      <c r="E25" t="inlineStr">
        <is>
          <t>Baseline effective % of fortified</t>
        </is>
      </c>
      <c r="F25" t="inlineStr">
        <is>
          <t>percentage</t>
        </is>
      </c>
      <c r="G25" s="8" t="inlineStr">
        <is>
          <t>%</t>
        </is>
      </c>
      <c r="J25" s="7" t="n">
        <v>0.8</v>
      </c>
      <c r="L25" t="inlineStr">
        <is>
          <t>Does not matter, no baseline fortification</t>
        </is>
      </c>
    </row>
    <row r="26">
      <c r="A26" t="inlineStr">
        <is>
          <t>Nigeria</t>
        </is>
      </c>
      <c r="B26" t="inlineStr">
        <is>
          <t>Salt</t>
        </is>
      </c>
      <c r="C26" t="inlineStr">
        <is>
          <t>Folate</t>
        </is>
      </c>
      <c r="D26" t="inlineStr">
        <is>
          <t>All (assumed same)</t>
        </is>
      </c>
      <c r="E26" t="inlineStr">
        <is>
          <t>Vehicle fortification at baseline -- any</t>
        </is>
      </c>
      <c r="F26" t="inlineStr">
        <is>
          <t>percentage</t>
        </is>
      </c>
      <c r="G26" t="inlineStr">
        <is>
          <t>%</t>
        </is>
      </c>
      <c r="I26" t="inlineStr">
        <is>
          <t>Assumption</t>
        </is>
      </c>
      <c r="J26" t="n">
        <v>0</v>
      </c>
      <c r="L26" t="inlineStr">
        <is>
          <t>Nigeria mandates salt iodization, not folic acid; zero baseline FA recorded as data per the checklist.</t>
        </is>
      </c>
    </row>
    <row r="27">
      <c r="A27" t="inlineStr">
        <is>
          <t>Nigeria</t>
        </is>
      </c>
      <c r="B27" t="inlineStr">
        <is>
          <t>Salt</t>
        </is>
      </c>
      <c r="C27" t="inlineStr">
        <is>
          <t>Folate</t>
        </is>
      </c>
      <c r="D27" t="inlineStr">
        <is>
          <t>All (assumed same)</t>
        </is>
      </c>
      <c r="E27" t="inlineStr">
        <is>
          <t>Vehicle fortification at baseline -- amount among fortified</t>
        </is>
      </c>
      <c r="F27" t="inlineStr">
        <is>
          <t>concentration</t>
        </is>
      </c>
      <c r="G27" t="inlineStr">
        <is>
          <t>mcg/g</t>
        </is>
      </c>
      <c r="I27" t="inlineStr">
        <is>
          <t>Assumption</t>
        </is>
      </c>
      <c r="J27" t="n">
        <v>0</v>
      </c>
    </row>
    <row r="28">
      <c r="A28" t="inlineStr">
        <is>
          <t>Nigeria</t>
        </is>
      </c>
      <c r="B28" t="inlineStr">
        <is>
          <t>Salt</t>
        </is>
      </c>
      <c r="C28" t="inlineStr">
        <is>
          <t>Folate</t>
        </is>
      </c>
      <c r="D28" t="inlineStr">
        <is>
          <t>All (assumed same)</t>
        </is>
      </c>
      <c r="E28" t="inlineStr">
        <is>
          <t>Baseline effective % of fortified</t>
        </is>
      </c>
      <c r="F28" t="inlineStr">
        <is>
          <t>percentage</t>
        </is>
      </c>
      <c r="G28" t="inlineStr">
        <is>
          <t>%</t>
        </is>
      </c>
      <c r="J28" t="n">
        <v>0.8</v>
      </c>
      <c r="L28" t="inlineStr">
        <is>
          <t>Does not matter, no baseline fortification</t>
        </is>
      </c>
    </row>
    <row r="29" ht="15" customHeight="1">
      <c r="A29" t="inlineStr">
        <is>
          <t>Nigeria</t>
        </is>
      </c>
      <c r="B29" t="inlineStr">
        <is>
          <t>Wheat</t>
        </is>
      </c>
      <c r="C29" t="inlineStr">
        <is>
          <t>Iron</t>
        </is>
      </c>
      <c r="D29" t="inlineStr">
        <is>
          <t>All (assumed same)</t>
        </is>
      </c>
      <c r="E29" t="inlineStr">
        <is>
          <t>Vehicle fortification at baseline -- any</t>
        </is>
      </c>
      <c r="F29" t="inlineStr">
        <is>
          <t>percentage</t>
        </is>
      </c>
      <c s="8" r="G29" t="inlineStr">
        <is>
          <t>%</t>
        </is>
      </c>
      <c r="I29" t="inlineStr">
        <is>
          <t>DUMMY (MIC-7549)</t>
        </is>
      </c>
      <c s="7" r="J29" t="n">
        <v>0</v>
      </c>
      <c r="L29" t="inlineStr">
        <is>
          <t>DUMMY PLACEHOLDER (MIC-7549): value copied from the corresponding Rice row. Replace with real wheat data.</t>
        </is>
      </c>
    </row>
    <row r="30" ht="15" customHeight="1">
      <c r="A30" t="inlineStr">
        <is>
          <t>Nigeria</t>
        </is>
      </c>
      <c r="B30" t="inlineStr">
        <is>
          <t>Wheat</t>
        </is>
      </c>
      <c r="C30" t="inlineStr">
        <is>
          <t>Iron</t>
        </is>
      </c>
      <c r="D30" t="inlineStr">
        <is>
          <t>All (assumed same)</t>
        </is>
      </c>
      <c r="E30" t="inlineStr">
        <is>
          <t>Vehicle fortification at baseline -- amount among fortified</t>
        </is>
      </c>
      <c r="F30" t="inlineStr">
        <is>
          <t>concentration</t>
        </is>
      </c>
      <c s="8" r="G30" t="inlineStr">
        <is>
          <t>mcg/g</t>
        </is>
      </c>
      <c r="I30" t="inlineStr">
        <is>
          <t>DUMMY (MIC-7549)</t>
        </is>
      </c>
      <c s="10" r="J30" t="n">
        <v>0</v>
      </c>
      <c r="L30" t="inlineStr">
        <is>
          <t>DUMMY PLACEHOLDER (MIC-7549): value copied from the corresponding Rice row. Replace with real wheat data.</t>
        </is>
      </c>
    </row>
    <row r="31" ht="15" customHeight="1">
      <c r="A31" t="inlineStr">
        <is>
          <t>Nigeria</t>
        </is>
      </c>
      <c r="B31" t="inlineStr">
        <is>
          <t>Wheat</t>
        </is>
      </c>
      <c r="C31" t="inlineStr">
        <is>
          <t>Iron</t>
        </is>
      </c>
      <c r="D31" t="inlineStr">
        <is>
          <t>All (assumed same)</t>
        </is>
      </c>
      <c r="E31" t="inlineStr">
        <is>
          <t>Baseline effective % of fortified</t>
        </is>
      </c>
      <c r="F31" t="inlineStr">
        <is>
          <t>percentage</t>
        </is>
      </c>
      <c s="8" r="G31" t="inlineStr">
        <is>
          <t>%</t>
        </is>
      </c>
      <c r="I31" t="inlineStr">
        <is>
          <t>DUMMY (MIC-7549)</t>
        </is>
      </c>
      <c s="7" r="J31" t="n">
        <v>0.8</v>
      </c>
      <c r="L31" t="inlineStr">
        <is>
          <t>DUMMY PLACEHOLDER (MIC-7549): value copied from the corresponding Rice row. Replace with real wheat data.</t>
        </is>
      </c>
    </row>
  </sheetData>
  <dataValidations count="5">
    <dataValidation sqref="A1:B1" showDropDown="0" showInputMessage="1" showErrorMessage="1" allowBlank="1"/>
    <dataValidation sqref="B2:B1048576" showDropDown="0" showInputMessage="1" showErrorMessage="1" allowBlank="1" type="list">
      <formula1>"Bouillon,Salt,Rice"</formula1>
    </dataValidation>
    <dataValidation sqref="C2:C1048576" showDropDown="0" showInputMessage="1" showErrorMessage="1" allowBlank="1" type="list">
      <formula1>"Iron,Folate"</formula1>
    </dataValidation>
    <dataValidation sqref="A2:A1048576" showDropDown="0" showInputMessage="1" showErrorMessage="1" allowBlank="1" type="list">
      <formula1>"Nigeria,Ethiopia,India"</formula1>
    </dataValidation>
    <dataValidation sqref="D1:D1048576" showDropDown="0" showInputMessage="1" showErrorMessage="1" allowBlank="1" type="list">
      <formula1>"All (assumed same),Total,Lowest,Second,Middle,Fourth,Highest"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E12" sqref="E12"/>
    </sheetView>
  </sheetViews>
  <sheetFormatPr baseColWidth="8" defaultRowHeight="14.45"/>
  <cols>
    <col width="52.42578125" bestFit="1" customWidth="1" min="1" max="1"/>
    <col width="12.42578125" bestFit="1" customWidth="1" min="2" max="2"/>
    <col width="12.28515625" customWidth="1" min="3" max="3"/>
    <col width="9.7109375" bestFit="1" customWidth="1" min="4" max="4"/>
    <col width="29" customWidth="1" min="8" max="8"/>
  </cols>
  <sheetData>
    <row r="1">
      <c r="A1" s="3" t="inlineStr">
        <is>
          <t>Country</t>
        </is>
      </c>
      <c r="B1" s="34" t="inlineStr">
        <is>
          <t>Ethiopia</t>
        </is>
      </c>
      <c r="D1" s="34" t="inlineStr">
        <is>
          <t>Nigeria</t>
        </is>
      </c>
      <c r="F1" s="35" t="inlineStr">
        <is>
          <t>India</t>
        </is>
      </c>
      <c r="H1" s="1" t="inlineStr">
        <is>
          <t>Notes</t>
        </is>
      </c>
    </row>
    <row r="2">
      <c r="A2" s="3" t="inlineStr">
        <is>
          <t>Wealth</t>
        </is>
      </c>
      <c r="B2" s="2" t="inlineStr">
        <is>
          <t>Overall</t>
        </is>
      </c>
      <c r="C2" s="1" t="inlineStr">
        <is>
          <t>Quintile</t>
        </is>
      </c>
      <c r="D2" s="2" t="inlineStr">
        <is>
          <t>Overall</t>
        </is>
      </c>
      <c r="E2" s="1" t="inlineStr">
        <is>
          <t>Quintile</t>
        </is>
      </c>
      <c r="F2" s="2" t="inlineStr">
        <is>
          <t>Overall</t>
        </is>
      </c>
      <c r="G2" s="1" t="inlineStr">
        <is>
          <t>Quintile</t>
        </is>
      </c>
    </row>
    <row r="3">
      <c r="A3" s="1" t="inlineStr">
        <is>
          <t>Data need</t>
        </is>
      </c>
      <c r="B3" s="1" t="n"/>
      <c r="D3" s="1" t="n"/>
      <c r="E3" s="1" t="n"/>
    </row>
    <row r="4">
      <c r="A4" s="4" t="inlineStr">
        <is>
          <t>Pregnant people hemoglobin levels at baseline</t>
        </is>
      </c>
      <c r="B4" t="inlineStr">
        <is>
          <t>Not modeled</t>
        </is>
      </c>
      <c r="C4" t="inlineStr">
        <is>
          <t>Not modeled</t>
        </is>
      </c>
      <c r="D4" t="inlineStr">
        <is>
          <t>GBD</t>
        </is>
      </c>
      <c r="E4" t="inlineStr">
        <is>
          <t>DHS 2018</t>
        </is>
      </c>
      <c r="F4" t="inlineStr">
        <is>
          <t>GBD</t>
        </is>
      </c>
      <c r="G4" t="inlineStr">
        <is>
          <t>DHS 2016</t>
        </is>
      </c>
    </row>
    <row r="5">
      <c r="A5" t="inlineStr">
        <is>
          <t>Serum/plasma folate levels at baseline</t>
        </is>
      </c>
      <c r="B5" t="str">
        <f>IF(COUNTIFS('Country Extraction'!$A$2:$A$980, B$1,  'Country Extraction'!$B$2:$B$980, "All",  'Country Extraction'!$C$2:$C$980, $A5) = 0, "Missing", "Complete")</f>
        <v>Missing</v>
      </c>
      <c r="C5" t="str">
        <f>IF(COUNTIFS('Country Extraction'!$A$1:$A$995, D$1, 'Country Extraction'!$B$1:$B$995, "&lt;&gt;All", 'Country Extraction'!$C$1:$C$995, $A5, 'Country Extraction'!$H$1:$H$995, "&lt;&gt;") &lt; 5, "Missing", "Complete")</f>
        <v>Missing</v>
      </c>
      <c r="D5" t="str">
        <f>IF(COUNTIFS('Country Extraction'!$A$2:$A$980, D$1,  'Country Extraction'!$B$2:$B$980, "All",  'Country Extraction'!$C$2:$C$980, $A5) = 0, "Missing", "Complete")</f>
        <v>Missing</v>
      </c>
      <c r="E5" t="str">
        <f>IF(COUNTIFS('Country Extraction'!$A$1:$A$995, F$1, 'Country Extraction'!$B$1:$B$995, "&lt;&gt;All", 'Country Extraction'!$C$1:$C$995, $A5, 'Country Extraction'!$H$1:$H$995, "&lt;&gt;") &lt; 5, "Missing", "Complete")</f>
        <v>Missing</v>
      </c>
      <c r="F5" t="str">
        <f>IF(COUNTIFS('Country Extraction'!$A$2:$A$980, F$1,  'Country Extraction'!$B$2:$B$980, "All",  'Country Extraction'!$C$2:$C$980, $A5) = 0, "Missing", "Complete")</f>
        <v>Missing</v>
      </c>
      <c r="G5" t="str">
        <f>IF(COUNTIFS('Country Extraction'!$A$1:$A$995, H$1, 'Country Extraction'!$B$1:$B$995, "&lt;&gt;All", 'Country Extraction'!$C$1:$C$995, $A5, 'Country Extraction'!$H$1:$H$995, "&lt;&gt;") &lt; 5, "Missing", "Complete")</f>
        <v>Missing</v>
      </c>
    </row>
    <row r="6">
      <c r="A6" t="inlineStr">
        <is>
          <t>RBC folate levels at baseline</t>
        </is>
      </c>
      <c r="B6" t="str">
        <f>IF(COUNTIFS('Country Extraction'!$A$2:$A$980, B$1,  'Country Extraction'!$B$2:$B$980, "All",  'Country Extraction'!$C$2:$C$980, $A6) = 0, "Missing", "Complete")</f>
        <v>Missing</v>
      </c>
      <c r="C6" t="str">
        <f>IF(COUNTIFS('Country Extraction'!$A$1:$A$995, D$1, 'Country Extraction'!$B$1:$B$995, "&lt;&gt;All", 'Country Extraction'!$C$1:$C$995, $A6, 'Country Extraction'!$H$1:$H$995, "&lt;&gt;") &lt; 5, "Missing", "Complete")</f>
        <v>Missing</v>
      </c>
      <c r="D6" t="str">
        <f>IF(COUNTIFS('Country Extraction'!$A$2:$A$980, D$1,  'Country Extraction'!$B$2:$B$980, "All",  'Country Extraction'!$C$2:$C$980, $A6) = 0, "Missing", "Complete")</f>
        <v>Missing</v>
      </c>
      <c r="E6" t="str">
        <f>IF(COUNTIFS('Country Extraction'!$A$1:$A$995, F$1, 'Country Extraction'!$B$1:$B$995, "&lt;&gt;All", 'Country Extraction'!$C$1:$C$995, $A6, 'Country Extraction'!$H$1:$H$995, "&lt;&gt;") &lt; 5, "Missing", "Complete")</f>
        <v>Missing</v>
      </c>
      <c r="F6" t="str">
        <f>IF(COUNTIFS('Country Extraction'!$A$2:$A$980, F$1,  'Country Extraction'!$B$2:$B$980, "All",  'Country Extraction'!$C$2:$C$980, $A6) = 0, "Missing", "Complete")</f>
        <v>Missing</v>
      </c>
      <c r="G6" t="str">
        <f>IF(COUNTIFS('Country Extraction'!$A$1:$A$995, H$1, 'Country Extraction'!$B$1:$B$995, "&lt;&gt;All", 'Country Extraction'!$C$1:$C$995, $A6, 'Country Extraction'!$H$1:$H$995, "&lt;&gt;") &lt; 5, "Missing", "Complete")</f>
        <v>Missing</v>
      </c>
    </row>
    <row r="7">
      <c r="A7" t="inlineStr">
        <is>
          <t>LBWSG prevalence</t>
        </is>
      </c>
      <c r="B7" t="inlineStr">
        <is>
          <t>Not modeled</t>
        </is>
      </c>
      <c r="C7" t="inlineStr">
        <is>
          <t>Not modeled</t>
        </is>
      </c>
      <c r="D7" t="inlineStr">
        <is>
          <t>GBD</t>
        </is>
      </c>
      <c r="E7" t="inlineStr">
        <is>
          <t>DHS 2018</t>
        </is>
      </c>
      <c r="F7" t="inlineStr">
        <is>
          <t>GBD</t>
        </is>
      </c>
      <c r="G7" t="inlineStr">
        <is>
          <t>DHS 2016</t>
        </is>
      </c>
    </row>
    <row r="8">
      <c r="A8" t="inlineStr">
        <is>
          <t>CGF prevalence</t>
        </is>
      </c>
      <c r="B8" t="inlineStr">
        <is>
          <t>Not modeled</t>
        </is>
      </c>
      <c r="C8" t="inlineStr">
        <is>
          <t>Not modeled</t>
        </is>
      </c>
      <c r="D8" t="inlineStr">
        <is>
          <t>GBD</t>
        </is>
      </c>
      <c r="E8" t="inlineStr">
        <is>
          <t>DHS 2018</t>
        </is>
      </c>
      <c r="F8" t="inlineStr">
        <is>
          <t>GBD</t>
        </is>
      </c>
      <c r="G8" t="inlineStr">
        <is>
          <t>DHS 2016</t>
        </is>
      </c>
    </row>
    <row r="9">
      <c r="A9" t="inlineStr">
        <is>
          <t>Measles prevalence</t>
        </is>
      </c>
      <c r="B9" t="inlineStr">
        <is>
          <t>Not modeled</t>
        </is>
      </c>
      <c r="C9" t="inlineStr">
        <is>
          <t>Not modeled</t>
        </is>
      </c>
      <c r="D9" t="inlineStr">
        <is>
          <t>GBD</t>
        </is>
      </c>
      <c r="E9" t="inlineStr">
        <is>
          <t>DHS 2018</t>
        </is>
      </c>
      <c r="F9" t="inlineStr">
        <is>
          <t>GBD</t>
        </is>
      </c>
      <c r="G9" t="inlineStr">
        <is>
          <t>DHS 2016</t>
        </is>
      </c>
      <c r="H9" t="inlineStr">
        <is>
          <t>We have microdata on whether child has received Measles 1 vaccination.</t>
        </is>
      </c>
    </row>
    <row r="10">
      <c r="A10" t="inlineStr">
        <is>
          <t>LRI prevalence</t>
        </is>
      </c>
      <c r="B10" t="inlineStr">
        <is>
          <t>Not modeled</t>
        </is>
      </c>
      <c r="C10" t="inlineStr">
        <is>
          <t>Not modeled</t>
        </is>
      </c>
      <c r="D10" t="inlineStr">
        <is>
          <t>GBD</t>
        </is>
      </c>
      <c r="E10" t="str">
        <f>IF(COUNTIFS('Country Extraction'!$A$1:$A$995, F$1, 'Country Extraction'!$B$1:$B$995, "&lt;&gt;All", 'Country Extraction'!$C$1:$C$995, $A10, 'Country Extraction'!$H$1:$H$995, "&lt;&gt;") &lt; 5, "Missing", "Complete")</f>
        <v>Missing</v>
      </c>
      <c r="F10" t="inlineStr">
        <is>
          <t>GBD</t>
        </is>
      </c>
      <c r="G10" t="str">
        <f>IF(COUNTIFS('Country Extraction'!$A$1:$A$995, H$1, 'Country Extraction'!$B$1:$B$995, "&lt;&gt;All", 'Country Extraction'!$C$1:$C$995, $A10, 'Country Extraction'!$H$1:$H$995, "&lt;&gt;") &lt; 5, "Missing", "Complete")</f>
        <v>Missing</v>
      </c>
      <c r="H10" s="4" t="inlineStr">
        <is>
          <t>We have microdata on whether child has had cough in the last two weeks, or ARI prevalence in DHS final reports.</t>
        </is>
      </c>
    </row>
    <row r="11">
      <c r="A11" t="inlineStr">
        <is>
          <t>Malaria prevalence</t>
        </is>
      </c>
      <c r="B11" t="inlineStr">
        <is>
          <t>Not modeled</t>
        </is>
      </c>
      <c r="C11" t="inlineStr">
        <is>
          <t>Not modeled</t>
        </is>
      </c>
      <c r="D11" t="inlineStr">
        <is>
          <t>GBD</t>
        </is>
      </c>
      <c r="E11" t="str">
        <f>IF(COUNTIFS('Country Extraction'!$A$1:$A$995, F$1, 'Country Extraction'!$B$1:$B$995, "&lt;&gt;All", 'Country Extraction'!$C$1:$C$995, $A11, 'Country Extraction'!$H$1:$H$995, "&lt;&gt;") &lt; 5, "Missing", "Complete")</f>
        <v>Missing</v>
      </c>
      <c r="F11" t="inlineStr">
        <is>
          <t>GBD</t>
        </is>
      </c>
      <c r="G11" t="inlineStr">
        <is>
          <t>DHS 2016</t>
        </is>
      </c>
      <c r="H11" t="inlineStr">
        <is>
          <t>For India, we might have to use the DHS microdata for whether child has had fever in the last two weeks as a proxy for malaria.</t>
        </is>
      </c>
    </row>
    <row r="12">
      <c r="A12" t="inlineStr">
        <is>
          <t>U5 hemoglobin levels at baseline</t>
        </is>
      </c>
      <c r="B12" t="inlineStr">
        <is>
          <t>Not modeled</t>
        </is>
      </c>
      <c r="C12" t="inlineStr">
        <is>
          <t>Not modeled</t>
        </is>
      </c>
      <c r="D12" t="inlineStr">
        <is>
          <t>GBD</t>
        </is>
      </c>
      <c r="E12" t="inlineStr">
        <is>
          <t>DHS 2018</t>
        </is>
      </c>
      <c r="F12" t="inlineStr">
        <is>
          <t>GBD</t>
        </is>
      </c>
      <c r="G12" t="inlineStr">
        <is>
          <t>DHS 2016</t>
        </is>
      </c>
    </row>
    <row r="13">
      <c r="A13" t="inlineStr">
        <is>
          <t>Maternal disorders incidence</t>
        </is>
      </c>
      <c r="B13" t="inlineStr">
        <is>
          <t>Not modeled</t>
        </is>
      </c>
      <c r="C13" t="inlineStr">
        <is>
          <t>Not modeled</t>
        </is>
      </c>
      <c r="D13" t="inlineStr">
        <is>
          <t>GBD</t>
        </is>
      </c>
      <c r="E13" t="inlineStr">
        <is>
          <t>DHS 2018</t>
        </is>
      </c>
      <c r="F13" t="inlineStr">
        <is>
          <t>GBD</t>
        </is>
      </c>
      <c r="G13" t="inlineStr">
        <is>
          <t>DHS 2016</t>
        </is>
      </c>
      <c r="H13" t="inlineStr">
        <is>
          <t>Using DHS' maternal mortality ratio as a proxy for maternal disorders</t>
        </is>
      </c>
    </row>
    <row r="14">
      <c r="A14" t="inlineStr">
        <is>
          <t>Maternal hemorrhage incidence</t>
        </is>
      </c>
      <c r="B14" t="inlineStr">
        <is>
          <t>Not modeled</t>
        </is>
      </c>
      <c r="C14" t="inlineStr">
        <is>
          <t>Not modeled</t>
        </is>
      </c>
      <c r="D14" t="inlineStr">
        <is>
          <t>GBD</t>
        </is>
      </c>
      <c r="E14" t="inlineStr">
        <is>
          <t>DHS 2018</t>
        </is>
      </c>
      <c r="F14" t="inlineStr">
        <is>
          <t>GBD</t>
        </is>
      </c>
      <c r="G14" t="inlineStr">
        <is>
          <t>DHS 2016</t>
        </is>
      </c>
      <c r="H14" t="inlineStr">
        <is>
          <t>Using DHS' maternal mortality ratio as a proxy for maternal hemorrhage</t>
        </is>
      </c>
    </row>
    <row r="15">
      <c r="A15" t="inlineStr">
        <is>
          <t>Neural tube defect deaths</t>
        </is>
      </c>
      <c r="B15" t="inlineStr">
        <is>
          <t>GBD</t>
        </is>
      </c>
      <c r="C15" t="str">
        <f>IF(COUNTIFS('Country Extraction'!$A$1:$A$995, D$1, 'Country Extraction'!$B$1:$B$995, "&lt;&gt;All", 'Country Extraction'!$C$1:$C$995, $A15, 'Country Extraction'!$H$1:$H$995, "&lt;&gt;") &lt; 5, "Missing", "Complete")</f>
        <v>Missing</v>
      </c>
      <c r="D15" t="inlineStr">
        <is>
          <t>GBD</t>
        </is>
      </c>
      <c r="E15" t="str">
        <f>IF(COUNTIFS('Country Extraction'!$A$1:$A$995, F$1, 'Country Extraction'!$B$1:$B$995, "&lt;&gt;All", 'Country Extraction'!$C$1:$C$995, $A15, 'Country Extraction'!$H$1:$H$995, "&lt;&gt;") &lt; 5, "Missing", "Complete")</f>
        <v>Missing</v>
      </c>
      <c r="F15" t="inlineStr">
        <is>
          <t>GBD</t>
        </is>
      </c>
      <c r="G15" t="str">
        <f>IF(COUNTIFS('Country Extraction'!$A$1:$A$995, H$1, 'Country Extraction'!$B$1:$B$995, "&lt;&gt;All", 'Country Extraction'!$C$1:$C$995, $A15, 'Country Extraction'!$H$1:$H$995, "&lt;&gt;") &lt; 5, "Missing", "Complete")</f>
        <v>Missing</v>
      </c>
    </row>
  </sheetData>
  <mergeCells count="3">
    <mergeCell ref="B1:C1"/>
    <mergeCell ref="F1:G1"/>
    <mergeCell ref="D1:E1"/>
  </mergeCells>
  <conditionalFormatting sqref="B4:G15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pane ySplit="1" topLeftCell="E45" activePane="bottomLeft" state="frozen"/>
      <selection pane="bottomLeft" activeCell="E45" sqref="E45"/>
    </sheetView>
  </sheetViews>
  <sheetFormatPr baseColWidth="8" defaultRowHeight="14.45"/>
  <cols>
    <col width="8" bestFit="1" customWidth="1" min="1" max="1"/>
    <col width="40.42578125" customWidth="1" min="3" max="3"/>
    <col width="19" customWidth="1" min="4" max="4"/>
    <col width="34.140625" customWidth="1" min="7" max="7"/>
    <col width="50.42578125" customWidth="1" min="10" max="10"/>
  </cols>
  <sheetData>
    <row r="1">
      <c r="A1" s="1" t="inlineStr">
        <is>
          <t>Country</t>
        </is>
      </c>
      <c r="B1" s="1" t="inlineStr">
        <is>
          <t>Quintile</t>
        </is>
      </c>
      <c r="C1" s="1" t="inlineStr">
        <is>
          <t>Data need</t>
        </is>
      </c>
      <c r="D1" s="1" t="inlineStr">
        <is>
          <t>Data point name</t>
        </is>
      </c>
      <c r="E1" s="1" t="inlineStr">
        <is>
          <t>Units</t>
        </is>
      </c>
      <c r="F1" s="1" t="inlineStr">
        <is>
          <t>Year</t>
        </is>
      </c>
      <c r="G1" s="1" t="inlineStr">
        <is>
          <t>Data source</t>
        </is>
      </c>
      <c r="H1" s="1" t="inlineStr">
        <is>
          <t>Value</t>
        </is>
      </c>
      <c r="I1" s="1" t="inlineStr">
        <is>
          <t>CI</t>
        </is>
      </c>
      <c r="J1" s="1" t="inlineStr">
        <is>
          <t>Notes</t>
        </is>
      </c>
    </row>
    <row r="2" ht="15.95" customHeight="1">
      <c r="A2" t="inlineStr">
        <is>
          <t>Ethiopia</t>
        </is>
      </c>
      <c r="B2" t="inlineStr">
        <is>
          <t>All</t>
        </is>
      </c>
      <c r="C2" s="9" t="inlineStr">
        <is>
          <t xml:space="preserve">Serum folate levels at baseline </t>
        </is>
      </c>
      <c r="E2" t="inlineStr">
        <is>
          <t>?</t>
        </is>
      </c>
      <c r="G2" t="inlineStr">
        <is>
          <t>?</t>
        </is>
      </c>
      <c r="J2" s="11" t="inlineStr">
        <is>
          <t xml:space="preserve">potential data gap!  </t>
        </is>
      </c>
    </row>
    <row r="3" ht="32.25" customHeight="1">
      <c r="A3" t="inlineStr">
        <is>
          <t>Ethiopia</t>
        </is>
      </c>
      <c r="B3" t="inlineStr">
        <is>
          <t>Lowest</t>
        </is>
      </c>
      <c r="C3" s="9" t="inlineStr">
        <is>
          <t xml:space="preserve">Serum folate levels at baseline </t>
        </is>
      </c>
      <c r="E3" t="inlineStr">
        <is>
          <t>?</t>
        </is>
      </c>
      <c r="G3" t="inlineStr">
        <is>
          <t>?</t>
        </is>
      </c>
      <c r="J3" s="13" t="inlineStr">
        <is>
          <t>Back-calculate from GBD NTDs? (and DHS NTDs for wealth quintiles?)</t>
        </is>
      </c>
    </row>
    <row r="4">
      <c r="A4" t="inlineStr">
        <is>
          <t>Ethiopia</t>
        </is>
      </c>
      <c r="B4" t="inlineStr">
        <is>
          <t>Second</t>
        </is>
      </c>
      <c r="C4" s="9" t="inlineStr">
        <is>
          <t xml:space="preserve">Serum folate levels at baseline </t>
        </is>
      </c>
      <c r="E4" t="inlineStr">
        <is>
          <t>?</t>
        </is>
      </c>
      <c r="G4" t="inlineStr">
        <is>
          <t>?</t>
        </is>
      </c>
    </row>
    <row r="5">
      <c r="A5" t="inlineStr">
        <is>
          <t>Ethiopia</t>
        </is>
      </c>
      <c r="B5" t="inlineStr">
        <is>
          <t>Middle</t>
        </is>
      </c>
      <c r="C5" s="9" t="inlineStr">
        <is>
          <t xml:space="preserve">Serum folate levels at baseline </t>
        </is>
      </c>
      <c r="E5" t="inlineStr">
        <is>
          <t>?</t>
        </is>
      </c>
      <c r="G5" t="inlineStr">
        <is>
          <t>?</t>
        </is>
      </c>
    </row>
    <row r="6">
      <c r="A6" t="inlineStr">
        <is>
          <t>Ethiopia</t>
        </is>
      </c>
      <c r="B6" t="inlineStr">
        <is>
          <t>Fourth</t>
        </is>
      </c>
      <c r="C6" s="9" t="inlineStr">
        <is>
          <t xml:space="preserve">Serum folate levels at baseline </t>
        </is>
      </c>
      <c r="E6" t="inlineStr">
        <is>
          <t>?</t>
        </is>
      </c>
      <c r="G6" t="inlineStr">
        <is>
          <t>?</t>
        </is>
      </c>
    </row>
    <row r="7">
      <c r="A7" t="inlineStr">
        <is>
          <t>Ethiopia</t>
        </is>
      </c>
      <c r="B7" t="inlineStr">
        <is>
          <t>Highest</t>
        </is>
      </c>
      <c r="C7" s="9" t="inlineStr">
        <is>
          <t xml:space="preserve">Serum folate levels at baseline </t>
        </is>
      </c>
      <c r="E7" t="inlineStr">
        <is>
          <t>?</t>
        </is>
      </c>
      <c r="G7" t="inlineStr">
        <is>
          <t>?</t>
        </is>
      </c>
    </row>
    <row r="8">
      <c r="A8" t="inlineStr">
        <is>
          <t xml:space="preserve">Nigeria </t>
        </is>
      </c>
      <c r="B8" t="inlineStr">
        <is>
          <t>All</t>
        </is>
      </c>
      <c r="C8" s="9" t="inlineStr">
        <is>
          <t xml:space="preserve">Serum folate levels at baseline </t>
        </is>
      </c>
      <c r="E8" t="inlineStr">
        <is>
          <t>?</t>
        </is>
      </c>
      <c r="G8" t="inlineStr">
        <is>
          <t>?</t>
        </is>
      </c>
    </row>
    <row r="9">
      <c r="A9" t="inlineStr">
        <is>
          <t xml:space="preserve">Nigeria </t>
        </is>
      </c>
      <c r="B9" t="inlineStr">
        <is>
          <t>Lowest</t>
        </is>
      </c>
      <c r="C9" s="9" t="inlineStr">
        <is>
          <t xml:space="preserve">Serum folate levels at baseline </t>
        </is>
      </c>
      <c r="E9" t="inlineStr">
        <is>
          <t>?</t>
        </is>
      </c>
      <c r="G9" t="inlineStr">
        <is>
          <t>?</t>
        </is>
      </c>
    </row>
    <row r="10">
      <c r="A10" t="inlineStr">
        <is>
          <t xml:space="preserve">Nigeria </t>
        </is>
      </c>
      <c r="B10" t="inlineStr">
        <is>
          <t>Second</t>
        </is>
      </c>
      <c r="C10" s="9" t="inlineStr">
        <is>
          <t xml:space="preserve">Serum folate levels at baseline </t>
        </is>
      </c>
      <c r="E10" t="inlineStr">
        <is>
          <t>?</t>
        </is>
      </c>
      <c r="G10" t="inlineStr">
        <is>
          <t>?</t>
        </is>
      </c>
    </row>
    <row r="11">
      <c r="A11" t="inlineStr">
        <is>
          <t xml:space="preserve">Nigeria </t>
        </is>
      </c>
      <c r="B11" t="inlineStr">
        <is>
          <t>Middle</t>
        </is>
      </c>
      <c r="C11" s="9" t="inlineStr">
        <is>
          <t xml:space="preserve">Serum folate levels at baseline </t>
        </is>
      </c>
      <c r="E11" t="inlineStr">
        <is>
          <t>?</t>
        </is>
      </c>
      <c r="G11" t="inlineStr">
        <is>
          <t>?</t>
        </is>
      </c>
    </row>
    <row r="12">
      <c r="A12" t="inlineStr">
        <is>
          <t xml:space="preserve">Nigeria </t>
        </is>
      </c>
      <c r="B12" t="inlineStr">
        <is>
          <t>Fourth</t>
        </is>
      </c>
      <c r="C12" s="9" t="inlineStr">
        <is>
          <t xml:space="preserve">Serum folate levels at baseline </t>
        </is>
      </c>
      <c r="E12" t="inlineStr">
        <is>
          <t>?</t>
        </is>
      </c>
      <c r="G12" t="inlineStr">
        <is>
          <t>?</t>
        </is>
      </c>
    </row>
    <row r="13">
      <c r="A13" t="inlineStr">
        <is>
          <t xml:space="preserve">Nigeria </t>
        </is>
      </c>
      <c r="B13" t="inlineStr">
        <is>
          <t>Highest</t>
        </is>
      </c>
      <c r="C13" s="9" t="inlineStr">
        <is>
          <t xml:space="preserve">Serum folate levels at baseline </t>
        </is>
      </c>
      <c r="E13" t="inlineStr">
        <is>
          <t>?</t>
        </is>
      </c>
      <c r="G13" t="inlineStr">
        <is>
          <t>?</t>
        </is>
      </c>
    </row>
    <row r="14">
      <c r="A14" t="inlineStr">
        <is>
          <t>India</t>
        </is>
      </c>
      <c r="B14" t="inlineStr">
        <is>
          <t>All</t>
        </is>
      </c>
      <c r="C14" s="9" t="inlineStr">
        <is>
          <t xml:space="preserve">Serum folate levels at baseline </t>
        </is>
      </c>
      <c r="E14" t="inlineStr">
        <is>
          <t>?</t>
        </is>
      </c>
      <c r="G14" t="inlineStr">
        <is>
          <t>?</t>
        </is>
      </c>
    </row>
    <row r="15">
      <c r="A15" t="inlineStr">
        <is>
          <t>India</t>
        </is>
      </c>
      <c r="B15" t="inlineStr">
        <is>
          <t>Lowest</t>
        </is>
      </c>
      <c r="C15" s="9" t="inlineStr">
        <is>
          <t xml:space="preserve">Serum folate levels at baseline </t>
        </is>
      </c>
      <c r="E15" t="inlineStr">
        <is>
          <t>?</t>
        </is>
      </c>
      <c r="G15" t="inlineStr">
        <is>
          <t>?</t>
        </is>
      </c>
    </row>
    <row r="16">
      <c r="A16" t="inlineStr">
        <is>
          <t>India</t>
        </is>
      </c>
      <c r="B16" t="inlineStr">
        <is>
          <t>Second</t>
        </is>
      </c>
      <c r="C16" s="9" t="inlineStr">
        <is>
          <t xml:space="preserve">Serum folate levels at baseline </t>
        </is>
      </c>
      <c r="E16" t="inlineStr">
        <is>
          <t>?</t>
        </is>
      </c>
      <c r="G16" t="inlineStr">
        <is>
          <t>?</t>
        </is>
      </c>
    </row>
    <row r="17">
      <c r="A17" t="inlineStr">
        <is>
          <t>India</t>
        </is>
      </c>
      <c r="B17" t="inlineStr">
        <is>
          <t>Middle</t>
        </is>
      </c>
      <c r="C17" s="9" t="inlineStr">
        <is>
          <t xml:space="preserve">Serum folate levels at baseline </t>
        </is>
      </c>
      <c r="E17" t="inlineStr">
        <is>
          <t>?</t>
        </is>
      </c>
      <c r="G17" t="inlineStr">
        <is>
          <t>?</t>
        </is>
      </c>
    </row>
    <row r="18">
      <c r="A18" t="inlineStr">
        <is>
          <t>India</t>
        </is>
      </c>
      <c r="B18" t="inlineStr">
        <is>
          <t>Fourth</t>
        </is>
      </c>
      <c r="C18" s="9" t="inlineStr">
        <is>
          <t xml:space="preserve">Serum folate levels at baseline </t>
        </is>
      </c>
      <c r="E18" t="inlineStr">
        <is>
          <t>?</t>
        </is>
      </c>
      <c r="G18" t="inlineStr">
        <is>
          <t>?</t>
        </is>
      </c>
    </row>
    <row r="19">
      <c r="A19" t="inlineStr">
        <is>
          <t>India</t>
        </is>
      </c>
      <c r="B19" t="inlineStr">
        <is>
          <t>Highest</t>
        </is>
      </c>
      <c r="C19" s="9" t="inlineStr">
        <is>
          <t xml:space="preserve">Serum folate levels at baseline </t>
        </is>
      </c>
      <c r="E19" t="inlineStr">
        <is>
          <t>?</t>
        </is>
      </c>
      <c r="G19" t="inlineStr">
        <is>
          <t>?</t>
        </is>
      </c>
    </row>
    <row r="20" ht="15.95" customHeight="1">
      <c r="A20" t="inlineStr">
        <is>
          <t>Ethiopia</t>
        </is>
      </c>
      <c r="B20" t="inlineStr">
        <is>
          <t>All</t>
        </is>
      </c>
      <c r="C20" s="9" t="inlineStr">
        <is>
          <t xml:space="preserve">Red blood cell folate levels at baseline -- Also called “whole blood lysate”? </t>
        </is>
      </c>
      <c r="E20" s="8" t="inlineStr">
        <is>
          <t>nmol/L?</t>
        </is>
      </c>
      <c r="G20" t="inlineStr">
        <is>
          <t>?</t>
        </is>
      </c>
      <c r="J20" s="11" t="inlineStr">
        <is>
          <t xml:space="preserve">potential data gap! </t>
        </is>
      </c>
    </row>
    <row r="21">
      <c r="A21" t="inlineStr">
        <is>
          <t>Ethiopia</t>
        </is>
      </c>
      <c r="B21" t="inlineStr">
        <is>
          <t>Lowest</t>
        </is>
      </c>
      <c r="C21" s="9" t="inlineStr">
        <is>
          <t xml:space="preserve">Red blood cell folate levels at baseline -- Also called “whole blood lysate”? </t>
        </is>
      </c>
      <c r="E21" s="8" t="inlineStr">
        <is>
          <t>nmol/L?</t>
        </is>
      </c>
      <c r="G21" t="inlineStr">
        <is>
          <t>?</t>
        </is>
      </c>
      <c r="J21" s="8" t="inlineStr">
        <is>
          <t>Back-calculate from GBD NTDs? (and DHS NTDs for wealth quintiles?)</t>
        </is>
      </c>
    </row>
    <row r="22">
      <c r="A22" t="inlineStr">
        <is>
          <t>Ethiopia</t>
        </is>
      </c>
      <c r="B22" t="inlineStr">
        <is>
          <t>Second</t>
        </is>
      </c>
      <c r="C22" s="9" t="inlineStr">
        <is>
          <t xml:space="preserve">Red blood cell folate levels at baseline -- Also called “whole blood lysate”? </t>
        </is>
      </c>
      <c r="E22" s="8" t="inlineStr">
        <is>
          <t>nmol/L?</t>
        </is>
      </c>
      <c r="G22" t="inlineStr">
        <is>
          <t>?</t>
        </is>
      </c>
    </row>
    <row r="23">
      <c r="A23" t="inlineStr">
        <is>
          <t>Ethiopia</t>
        </is>
      </c>
      <c r="B23" t="inlineStr">
        <is>
          <t>Middle</t>
        </is>
      </c>
      <c r="C23" s="9" t="inlineStr">
        <is>
          <t xml:space="preserve">Red blood cell folate levels at baseline -- Also called “whole blood lysate”? </t>
        </is>
      </c>
      <c r="E23" s="8" t="inlineStr">
        <is>
          <t>nmol/L?</t>
        </is>
      </c>
      <c r="G23" t="inlineStr">
        <is>
          <t>?</t>
        </is>
      </c>
    </row>
    <row r="24">
      <c r="A24" t="inlineStr">
        <is>
          <t>Ethiopia</t>
        </is>
      </c>
      <c r="B24" t="inlineStr">
        <is>
          <t>Fourth</t>
        </is>
      </c>
      <c r="C24" s="9" t="inlineStr">
        <is>
          <t xml:space="preserve">Red blood cell folate levels at baseline -- Also called “whole blood lysate”? </t>
        </is>
      </c>
      <c r="E24" s="8" t="inlineStr">
        <is>
          <t>nmol/L?</t>
        </is>
      </c>
      <c r="G24" t="inlineStr">
        <is>
          <t>?</t>
        </is>
      </c>
    </row>
    <row r="25">
      <c r="A25" t="inlineStr">
        <is>
          <t>Ethiopia</t>
        </is>
      </c>
      <c r="B25" t="inlineStr">
        <is>
          <t>Highest</t>
        </is>
      </c>
      <c r="C25" s="9" t="inlineStr">
        <is>
          <t xml:space="preserve">Red blood cell folate levels at baseline -- Also called “whole blood lysate”? </t>
        </is>
      </c>
      <c r="E25" s="8" t="inlineStr">
        <is>
          <t>nmol/L?</t>
        </is>
      </c>
      <c r="G25" t="inlineStr">
        <is>
          <t>?</t>
        </is>
      </c>
    </row>
    <row r="26">
      <c r="A26" t="inlineStr">
        <is>
          <t xml:space="preserve">Nigeria </t>
        </is>
      </c>
      <c r="B26" t="inlineStr">
        <is>
          <t>All</t>
        </is>
      </c>
      <c r="C26" s="9" t="inlineStr">
        <is>
          <t xml:space="preserve">Red blood cell folate levels at baseline -- Also called “whole blood lysate”? </t>
        </is>
      </c>
      <c r="E26" s="8" t="inlineStr">
        <is>
          <t>nmol/L?</t>
        </is>
      </c>
      <c r="G26" t="inlineStr">
        <is>
          <t>?</t>
        </is>
      </c>
    </row>
    <row r="27">
      <c r="A27" t="inlineStr">
        <is>
          <t xml:space="preserve">Nigeria </t>
        </is>
      </c>
      <c r="B27" t="inlineStr">
        <is>
          <t>Lowest</t>
        </is>
      </c>
      <c r="C27" s="9" t="inlineStr">
        <is>
          <t xml:space="preserve">Red blood cell folate levels at baseline -- Also called “whole blood lysate”? </t>
        </is>
      </c>
      <c r="E27" s="8" t="inlineStr">
        <is>
          <t>nmol/L?</t>
        </is>
      </c>
      <c r="G27" t="inlineStr">
        <is>
          <t>?</t>
        </is>
      </c>
    </row>
    <row r="28">
      <c r="A28" t="inlineStr">
        <is>
          <t xml:space="preserve">Nigeria </t>
        </is>
      </c>
      <c r="B28" t="inlineStr">
        <is>
          <t>Second</t>
        </is>
      </c>
      <c r="C28" s="9" t="inlineStr">
        <is>
          <t xml:space="preserve">Red blood cell folate levels at baseline -- Also called “whole blood lysate”? </t>
        </is>
      </c>
      <c r="E28" s="8" t="inlineStr">
        <is>
          <t>nmol/L?</t>
        </is>
      </c>
      <c r="G28" t="inlineStr">
        <is>
          <t>?</t>
        </is>
      </c>
    </row>
    <row r="29">
      <c r="A29" t="inlineStr">
        <is>
          <t xml:space="preserve">Nigeria </t>
        </is>
      </c>
      <c r="B29" t="inlineStr">
        <is>
          <t>Middle</t>
        </is>
      </c>
      <c r="C29" s="9" t="inlineStr">
        <is>
          <t xml:space="preserve">Red blood cell folate levels at baseline -- Also called “whole blood lysate”? </t>
        </is>
      </c>
      <c r="E29" s="8" t="inlineStr">
        <is>
          <t>nmol/L?</t>
        </is>
      </c>
      <c r="G29" t="inlineStr">
        <is>
          <t>?</t>
        </is>
      </c>
    </row>
    <row r="30">
      <c r="A30" t="inlineStr">
        <is>
          <t xml:space="preserve">Nigeria </t>
        </is>
      </c>
      <c r="B30" t="inlineStr">
        <is>
          <t>Fourth</t>
        </is>
      </c>
      <c r="C30" s="9" t="inlineStr">
        <is>
          <t xml:space="preserve">Red blood cell folate levels at baseline -- Also called “whole blood lysate”? </t>
        </is>
      </c>
      <c r="E30" s="8" t="inlineStr">
        <is>
          <t>nmol/L?</t>
        </is>
      </c>
      <c r="G30" t="inlineStr">
        <is>
          <t>?</t>
        </is>
      </c>
    </row>
    <row r="31">
      <c r="A31" t="inlineStr">
        <is>
          <t xml:space="preserve">Nigeria </t>
        </is>
      </c>
      <c r="B31" t="inlineStr">
        <is>
          <t>Highest</t>
        </is>
      </c>
      <c r="C31" s="9" t="inlineStr">
        <is>
          <t xml:space="preserve">Red blood cell folate levels at baseline -- Also called “whole blood lysate”? </t>
        </is>
      </c>
      <c r="E31" s="8" t="inlineStr">
        <is>
          <t>nmol/L?</t>
        </is>
      </c>
      <c r="G31" t="inlineStr">
        <is>
          <t>?</t>
        </is>
      </c>
    </row>
    <row r="32">
      <c r="A32" t="inlineStr">
        <is>
          <t>India</t>
        </is>
      </c>
      <c r="B32" t="inlineStr">
        <is>
          <t>All</t>
        </is>
      </c>
      <c r="C32" s="9" t="inlineStr">
        <is>
          <t xml:space="preserve">Red blood cell folate levels at baseline -- Also called “whole blood lysate”? </t>
        </is>
      </c>
      <c r="E32" s="8" t="inlineStr">
        <is>
          <t>nmol/L?</t>
        </is>
      </c>
      <c r="G32" t="inlineStr">
        <is>
          <t>?</t>
        </is>
      </c>
    </row>
    <row r="33">
      <c r="A33" t="inlineStr">
        <is>
          <t>India</t>
        </is>
      </c>
      <c r="B33" t="inlineStr">
        <is>
          <t>Lowest</t>
        </is>
      </c>
      <c r="C33" s="9" t="inlineStr">
        <is>
          <t xml:space="preserve">Red blood cell folate levels at baseline -- Also called “whole blood lysate”? </t>
        </is>
      </c>
      <c r="E33" s="8" t="inlineStr">
        <is>
          <t>nmol/L?</t>
        </is>
      </c>
      <c r="G33" t="inlineStr">
        <is>
          <t>?</t>
        </is>
      </c>
    </row>
    <row r="34">
      <c r="A34" t="inlineStr">
        <is>
          <t>India</t>
        </is>
      </c>
      <c r="B34" t="inlineStr">
        <is>
          <t>Second</t>
        </is>
      </c>
      <c r="C34" s="9" t="inlineStr">
        <is>
          <t xml:space="preserve">Red blood cell folate levels at baseline -- Also called “whole blood lysate”? </t>
        </is>
      </c>
      <c r="E34" s="8" t="inlineStr">
        <is>
          <t>nmol/L?</t>
        </is>
      </c>
      <c r="G34" t="inlineStr">
        <is>
          <t>?</t>
        </is>
      </c>
    </row>
    <row r="35">
      <c r="A35" t="inlineStr">
        <is>
          <t>India</t>
        </is>
      </c>
      <c r="B35" t="inlineStr">
        <is>
          <t>Middle</t>
        </is>
      </c>
      <c r="C35" s="9" t="inlineStr">
        <is>
          <t xml:space="preserve">Red blood cell folate levels at baseline -- Also called “whole blood lysate”? </t>
        </is>
      </c>
      <c r="E35" s="8" t="inlineStr">
        <is>
          <t>nmol/L?</t>
        </is>
      </c>
      <c r="G35" t="inlineStr">
        <is>
          <t>?</t>
        </is>
      </c>
    </row>
    <row r="36">
      <c r="A36" t="inlineStr">
        <is>
          <t>India</t>
        </is>
      </c>
      <c r="B36" t="inlineStr">
        <is>
          <t>Fourth</t>
        </is>
      </c>
      <c r="C36" s="9" t="inlineStr">
        <is>
          <t xml:space="preserve">Red blood cell folate levels at baseline -- Also called “whole blood lysate”? </t>
        </is>
      </c>
      <c r="E36" s="8" t="inlineStr">
        <is>
          <t>nmol/L?</t>
        </is>
      </c>
      <c r="G36" t="inlineStr">
        <is>
          <t>?</t>
        </is>
      </c>
    </row>
    <row r="37">
      <c r="A37" t="inlineStr">
        <is>
          <t>India</t>
        </is>
      </c>
      <c r="B37" t="inlineStr">
        <is>
          <t>Highest</t>
        </is>
      </c>
      <c r="C37" s="9" t="inlineStr">
        <is>
          <t xml:space="preserve">Red blood cell folate levels at baseline -- Also called “whole blood lysate”? </t>
        </is>
      </c>
      <c r="E37" s="8" t="inlineStr">
        <is>
          <t>nmol/L?</t>
        </is>
      </c>
      <c r="G37" t="inlineStr">
        <is>
          <t>?</t>
        </is>
      </c>
    </row>
    <row r="38">
      <c r="A38" t="inlineStr">
        <is>
          <t>Ethiopia</t>
        </is>
      </c>
      <c r="B38" t="inlineStr">
        <is>
          <t>All</t>
        </is>
      </c>
      <c r="C38" s="9" t="inlineStr">
        <is>
          <t xml:space="preserve">Pregnancies longer than 7 months </t>
        </is>
      </c>
      <c r="G38" s="9" t="inlineStr">
        <is>
          <t>Most recent DHS for Ethiopia</t>
        </is>
      </c>
    </row>
    <row r="39">
      <c r="A39" t="inlineStr">
        <is>
          <t>Ethiopia</t>
        </is>
      </c>
      <c r="B39" t="inlineStr">
        <is>
          <t>Lowest</t>
        </is>
      </c>
      <c r="C39" s="9" t="inlineStr">
        <is>
          <t xml:space="preserve">Pregnancies longer than 7 months </t>
        </is>
      </c>
      <c r="G39" s="6" t="inlineStr">
        <is>
          <t xml:space="preserve">Ethiopia DHS survey report Table 8.4 </t>
        </is>
      </c>
    </row>
    <row r="40">
      <c r="A40" t="inlineStr">
        <is>
          <t>Ethiopia</t>
        </is>
      </c>
      <c r="B40" t="inlineStr">
        <is>
          <t>Second</t>
        </is>
      </c>
      <c r="C40" s="9" t="inlineStr">
        <is>
          <t xml:space="preserve">Pregnancies longer than 7 months </t>
        </is>
      </c>
      <c r="G40" s="6" t="inlineStr">
        <is>
          <t xml:space="preserve">Ethiopia DHS survey report Table 8.4 </t>
        </is>
      </c>
    </row>
    <row r="41">
      <c r="A41" t="inlineStr">
        <is>
          <t>Ethiopia</t>
        </is>
      </c>
      <c r="B41" t="inlineStr">
        <is>
          <t>Middle</t>
        </is>
      </c>
      <c r="C41" s="9" t="inlineStr">
        <is>
          <t xml:space="preserve">Pregnancies longer than 7 months </t>
        </is>
      </c>
      <c r="G41" s="6" t="inlineStr">
        <is>
          <t xml:space="preserve">Ethiopia DHS survey report Table 8.4 </t>
        </is>
      </c>
    </row>
    <row r="42">
      <c r="A42" t="inlineStr">
        <is>
          <t>Ethiopia</t>
        </is>
      </c>
      <c r="B42" t="inlineStr">
        <is>
          <t>Fourth</t>
        </is>
      </c>
      <c r="C42" s="9" t="inlineStr">
        <is>
          <t xml:space="preserve">Pregnancies longer than 7 months </t>
        </is>
      </c>
      <c r="G42" s="6" t="inlineStr">
        <is>
          <t xml:space="preserve">Ethiopia DHS survey report Table 8.4 </t>
        </is>
      </c>
    </row>
    <row r="43">
      <c r="A43" t="inlineStr">
        <is>
          <t>Ethiopia</t>
        </is>
      </c>
      <c r="B43" t="inlineStr">
        <is>
          <t>Highest</t>
        </is>
      </c>
      <c r="C43" s="9" t="inlineStr">
        <is>
          <t xml:space="preserve">Pregnancies longer than 7 months </t>
        </is>
      </c>
      <c r="G43" s="6" t="inlineStr">
        <is>
          <t xml:space="preserve">Ethiopia DHS survey report Table 8.4 </t>
        </is>
      </c>
    </row>
    <row r="44">
      <c r="A44" t="inlineStr">
        <is>
          <t xml:space="preserve">Nigeria </t>
        </is>
      </c>
      <c r="B44" t="inlineStr">
        <is>
          <t>All</t>
        </is>
      </c>
      <c r="C44" s="9" t="inlineStr">
        <is>
          <t xml:space="preserve">Pregnancies longer than 7 months </t>
        </is>
      </c>
      <c r="G44" s="9" t="inlineStr">
        <is>
          <t>Most recent DHS for Nigeria</t>
        </is>
      </c>
    </row>
    <row r="45">
      <c r="A45" t="inlineStr">
        <is>
          <t xml:space="preserve">Nigeria </t>
        </is>
      </c>
      <c r="B45" t="inlineStr">
        <is>
          <t>Lowest</t>
        </is>
      </c>
      <c r="C45" s="9" t="inlineStr">
        <is>
          <t xml:space="preserve">Pregnancies longer than 7 months </t>
        </is>
      </c>
      <c r="G45" s="14" t="inlineStr">
        <is>
          <t xml:space="preserve">Nigeria DHS survey report -  Table 8.4 </t>
        </is>
      </c>
    </row>
    <row r="46">
      <c r="A46" t="inlineStr">
        <is>
          <t xml:space="preserve">Nigeria </t>
        </is>
      </c>
      <c r="B46" t="inlineStr">
        <is>
          <t>Second</t>
        </is>
      </c>
      <c r="C46" s="9" t="inlineStr">
        <is>
          <t xml:space="preserve">Pregnancies longer than 7 months </t>
        </is>
      </c>
      <c r="G46" s="14" t="inlineStr">
        <is>
          <t xml:space="preserve">Nigeria DHS survey report -  Table 8.4 </t>
        </is>
      </c>
    </row>
    <row r="47">
      <c r="A47" t="inlineStr">
        <is>
          <t xml:space="preserve">Nigeria </t>
        </is>
      </c>
      <c r="B47" t="inlineStr">
        <is>
          <t>Middle</t>
        </is>
      </c>
      <c r="C47" s="9" t="inlineStr">
        <is>
          <t xml:space="preserve">Pregnancies longer than 7 months </t>
        </is>
      </c>
      <c r="G47" s="14" t="inlineStr">
        <is>
          <t xml:space="preserve">Nigeria DHS survey report -  Table 8.4 </t>
        </is>
      </c>
    </row>
    <row r="48">
      <c r="A48" t="inlineStr">
        <is>
          <t xml:space="preserve">Nigeria </t>
        </is>
      </c>
      <c r="B48" t="inlineStr">
        <is>
          <t>Fourth</t>
        </is>
      </c>
      <c r="C48" s="9" t="inlineStr">
        <is>
          <t xml:space="preserve">Pregnancies longer than 7 months </t>
        </is>
      </c>
      <c r="G48" s="14" t="inlineStr">
        <is>
          <t xml:space="preserve">Nigeria DHS survey report -  Table 8.4 </t>
        </is>
      </c>
    </row>
    <row r="49">
      <c r="A49" t="inlineStr">
        <is>
          <t xml:space="preserve">Nigeria </t>
        </is>
      </c>
      <c r="B49" t="inlineStr">
        <is>
          <t>Highest</t>
        </is>
      </c>
      <c r="C49" s="9" t="inlineStr">
        <is>
          <t xml:space="preserve">Pregnancies longer than 7 months </t>
        </is>
      </c>
      <c r="G49" s="14" t="inlineStr">
        <is>
          <t xml:space="preserve">Nigeria DHS survey report -  Table 8.4 </t>
        </is>
      </c>
    </row>
    <row r="50">
      <c r="A50" t="inlineStr">
        <is>
          <t>India</t>
        </is>
      </c>
      <c r="B50" t="inlineStr">
        <is>
          <t>All</t>
        </is>
      </c>
      <c r="C50" s="9" t="inlineStr">
        <is>
          <t xml:space="preserve">Pregnancies longer than 7 months </t>
        </is>
      </c>
      <c r="G50" s="9" t="inlineStr">
        <is>
          <t xml:space="preserve">Most recent DHS for India </t>
        </is>
      </c>
    </row>
    <row r="51">
      <c r="A51" t="inlineStr">
        <is>
          <t>India</t>
        </is>
      </c>
      <c r="B51" t="inlineStr">
        <is>
          <t>Lowest</t>
        </is>
      </c>
      <c r="C51" s="9" t="inlineStr">
        <is>
          <t xml:space="preserve">Pregnancies longer than 7 months </t>
        </is>
      </c>
      <c r="G51" t="inlineStr">
        <is>
          <t>?</t>
        </is>
      </c>
    </row>
    <row r="52">
      <c r="A52" t="inlineStr">
        <is>
          <t>India</t>
        </is>
      </c>
      <c r="B52" t="inlineStr">
        <is>
          <t>Second</t>
        </is>
      </c>
      <c r="C52" s="9" t="inlineStr">
        <is>
          <t xml:space="preserve">Pregnancies longer than 7 months </t>
        </is>
      </c>
      <c r="G52" t="inlineStr">
        <is>
          <t>?</t>
        </is>
      </c>
    </row>
    <row r="53">
      <c r="A53" t="inlineStr">
        <is>
          <t>India</t>
        </is>
      </c>
      <c r="B53" t="inlineStr">
        <is>
          <t>Middle</t>
        </is>
      </c>
      <c r="C53" s="9" t="inlineStr">
        <is>
          <t xml:space="preserve">Pregnancies longer than 7 months </t>
        </is>
      </c>
      <c r="G53" t="inlineStr">
        <is>
          <t>?</t>
        </is>
      </c>
    </row>
    <row r="54">
      <c r="A54" t="inlineStr">
        <is>
          <t>India</t>
        </is>
      </c>
      <c r="B54" t="inlineStr">
        <is>
          <t>Fourth</t>
        </is>
      </c>
      <c r="C54" s="9" t="inlineStr">
        <is>
          <t xml:space="preserve">Pregnancies longer than 7 months </t>
        </is>
      </c>
      <c r="G54" t="inlineStr">
        <is>
          <t>?</t>
        </is>
      </c>
    </row>
    <row r="55">
      <c r="A55" t="inlineStr">
        <is>
          <t>India</t>
        </is>
      </c>
      <c r="B55" t="inlineStr">
        <is>
          <t>Highest</t>
        </is>
      </c>
      <c r="C55" s="9" t="inlineStr">
        <is>
          <t xml:space="preserve">Pregnancies longer than 7 months </t>
        </is>
      </c>
      <c r="G55" t="inlineStr">
        <is>
          <t>?</t>
        </is>
      </c>
    </row>
    <row r="56">
      <c r="A56" t="inlineStr">
        <is>
          <t>Ethiopia</t>
        </is>
      </c>
      <c r="B56" t="inlineStr">
        <is>
          <t>All</t>
        </is>
      </c>
      <c r="C56" t="inlineStr">
        <is>
          <t xml:space="preserve">Neural Tube Defect deaths </t>
        </is>
      </c>
      <c r="G56" t="inlineStr">
        <is>
          <t>GBD</t>
        </is>
      </c>
    </row>
    <row r="57" ht="43.5" customHeight="1">
      <c r="A57" t="inlineStr">
        <is>
          <t>Ethiopia</t>
        </is>
      </c>
      <c r="B57" t="inlineStr">
        <is>
          <t>Lowest</t>
        </is>
      </c>
      <c r="C57" t="inlineStr">
        <is>
          <t xml:space="preserve">Neural Tube Defect deaths </t>
        </is>
      </c>
      <c r="J57" s="13" t="inlineStr">
        <is>
          <t xml:space="preserve">From RBC folate levels? Or from differential folate intake? Or assume none, since they are all pretty similar in Nigeria NFCMS. </t>
        </is>
      </c>
    </row>
    <row r="58" ht="15.95" customHeight="1">
      <c r="A58" t="inlineStr">
        <is>
          <t>Ethiopia</t>
        </is>
      </c>
      <c r="B58" t="inlineStr">
        <is>
          <t>Second</t>
        </is>
      </c>
      <c r="C58" t="inlineStr">
        <is>
          <t xml:space="preserve">Neural Tube Defect deaths </t>
        </is>
      </c>
      <c r="J58" s="12" t="inlineStr">
        <is>
          <t> </t>
        </is>
      </c>
    </row>
    <row r="59" ht="15.95" customHeight="1">
      <c r="A59" t="inlineStr">
        <is>
          <t>Ethiopia</t>
        </is>
      </c>
      <c r="B59" t="inlineStr">
        <is>
          <t>Middle</t>
        </is>
      </c>
      <c r="C59" t="inlineStr">
        <is>
          <t xml:space="preserve">Neural Tube Defect deaths </t>
        </is>
      </c>
      <c r="J59" s="12" t="n"/>
    </row>
    <row r="60">
      <c r="A60" t="inlineStr">
        <is>
          <t>Ethiopia</t>
        </is>
      </c>
      <c r="B60" t="inlineStr">
        <is>
          <t>Fourth</t>
        </is>
      </c>
      <c r="C60" t="inlineStr">
        <is>
          <t xml:space="preserve">Neural Tube Defect deaths </t>
        </is>
      </c>
    </row>
    <row r="61">
      <c r="A61" t="inlineStr">
        <is>
          <t>Ethiopia</t>
        </is>
      </c>
      <c r="B61" t="inlineStr">
        <is>
          <t>Highest</t>
        </is>
      </c>
      <c r="C61" t="inlineStr">
        <is>
          <t xml:space="preserve">Neural Tube Defect deaths </t>
        </is>
      </c>
    </row>
    <row r="62">
      <c r="A62" t="inlineStr">
        <is>
          <t xml:space="preserve">Nigeria </t>
        </is>
      </c>
      <c r="B62" t="inlineStr">
        <is>
          <t>All</t>
        </is>
      </c>
      <c r="C62" t="inlineStr">
        <is>
          <t xml:space="preserve">Neural Tube Defect deaths </t>
        </is>
      </c>
      <c r="G62" t="inlineStr">
        <is>
          <t>GBD</t>
        </is>
      </c>
    </row>
    <row r="63">
      <c r="A63" t="inlineStr">
        <is>
          <t xml:space="preserve">Nigeria </t>
        </is>
      </c>
      <c r="B63" t="inlineStr">
        <is>
          <t>Lowest</t>
        </is>
      </c>
      <c r="C63" t="inlineStr">
        <is>
          <t xml:space="preserve">Neural Tube Defect deaths </t>
        </is>
      </c>
    </row>
    <row r="64">
      <c r="A64" t="inlineStr">
        <is>
          <t xml:space="preserve">Nigeria </t>
        </is>
      </c>
      <c r="B64" t="inlineStr">
        <is>
          <t>Second</t>
        </is>
      </c>
      <c r="C64" t="inlineStr">
        <is>
          <t xml:space="preserve">Neural Tube Defect deaths </t>
        </is>
      </c>
    </row>
    <row r="65">
      <c r="A65" t="inlineStr">
        <is>
          <t xml:space="preserve">Nigeria </t>
        </is>
      </c>
      <c r="B65" t="inlineStr">
        <is>
          <t>Middle</t>
        </is>
      </c>
      <c r="C65" t="inlineStr">
        <is>
          <t xml:space="preserve">Neural Tube Defect deaths </t>
        </is>
      </c>
    </row>
    <row r="66">
      <c r="A66" t="inlineStr">
        <is>
          <t xml:space="preserve">Nigeria </t>
        </is>
      </c>
      <c r="B66" t="inlineStr">
        <is>
          <t>Fourth</t>
        </is>
      </c>
      <c r="C66" t="inlineStr">
        <is>
          <t xml:space="preserve">Neural Tube Defect deaths </t>
        </is>
      </c>
    </row>
    <row r="67">
      <c r="A67" t="inlineStr">
        <is>
          <t xml:space="preserve">Nigeria </t>
        </is>
      </c>
      <c r="B67" t="inlineStr">
        <is>
          <t>Highest</t>
        </is>
      </c>
      <c r="C67" t="inlineStr">
        <is>
          <t xml:space="preserve">Neural Tube Defect deaths </t>
        </is>
      </c>
    </row>
    <row r="68">
      <c r="A68" t="inlineStr">
        <is>
          <t>India</t>
        </is>
      </c>
      <c r="B68" t="inlineStr">
        <is>
          <t>All</t>
        </is>
      </c>
      <c r="C68" t="inlineStr">
        <is>
          <t xml:space="preserve">Neural Tube Defect deaths </t>
        </is>
      </c>
      <c r="G68" s="15" t="inlineStr">
        <is>
          <t>GBD</t>
        </is>
      </c>
    </row>
    <row r="69">
      <c r="A69" t="inlineStr">
        <is>
          <t>India</t>
        </is>
      </c>
      <c r="B69" t="inlineStr">
        <is>
          <t>Lowest</t>
        </is>
      </c>
      <c r="C69" t="inlineStr">
        <is>
          <t xml:space="preserve">Neural Tube Defect deaths </t>
        </is>
      </c>
    </row>
    <row r="70">
      <c r="A70" t="inlineStr">
        <is>
          <t>India</t>
        </is>
      </c>
      <c r="B70" t="inlineStr">
        <is>
          <t>Second</t>
        </is>
      </c>
      <c r="C70" t="inlineStr">
        <is>
          <t xml:space="preserve">Neural Tube Defect deaths </t>
        </is>
      </c>
    </row>
    <row r="71">
      <c r="A71" t="inlineStr">
        <is>
          <t>India</t>
        </is>
      </c>
      <c r="B71" t="inlineStr">
        <is>
          <t>Middle</t>
        </is>
      </c>
      <c r="C71" t="inlineStr">
        <is>
          <t xml:space="preserve">Neural Tube Defect deaths </t>
        </is>
      </c>
    </row>
    <row r="72">
      <c r="A72" t="inlineStr">
        <is>
          <t>India</t>
        </is>
      </c>
      <c r="B72" t="inlineStr">
        <is>
          <t>Fourth</t>
        </is>
      </c>
      <c r="C72" t="inlineStr">
        <is>
          <t xml:space="preserve">Neural Tube Defect deaths </t>
        </is>
      </c>
    </row>
    <row r="73">
      <c r="A73" t="inlineStr">
        <is>
          <t>India</t>
        </is>
      </c>
      <c r="B73" t="inlineStr">
        <is>
          <t>Highest</t>
        </is>
      </c>
      <c r="C73" t="inlineStr">
        <is>
          <t xml:space="preserve">Neural Tube Defect deaths </t>
        </is>
      </c>
    </row>
    <row r="74" ht="29.45" customHeight="1">
      <c r="A74" t="inlineStr">
        <is>
          <t>Ethiopia</t>
        </is>
      </c>
      <c r="B74" t="inlineStr">
        <is>
          <t>All</t>
        </is>
      </c>
      <c r="C74" t="inlineStr">
        <is>
          <t xml:space="preserve">NTD stillbirth to death ratio </t>
        </is>
      </c>
      <c r="D74" t="inlineStr">
        <is>
          <t>Ratio</t>
        </is>
      </c>
      <c r="G74" s="12" t="inlineStr">
        <is>
          <t xml:space="preserve">From CHAMPS? </t>
        </is>
      </c>
      <c r="J74" s="14" t="inlineStr">
        <is>
          <t>There is also some data on stillbirth-to-livebirth ratio among NTDs in the literature, see Blencowe et al 2018.</t>
        </is>
      </c>
    </row>
    <row r="75">
      <c r="A75" t="inlineStr">
        <is>
          <t xml:space="preserve">Nigeria </t>
        </is>
      </c>
      <c r="B75" t="inlineStr">
        <is>
          <t>All</t>
        </is>
      </c>
      <c r="C75" t="inlineStr">
        <is>
          <t xml:space="preserve">NTD stillbirth to death ratio </t>
        </is>
      </c>
      <c r="D75" t="inlineStr">
        <is>
          <t>Ratio</t>
        </is>
      </c>
      <c r="J75" t="inlineStr">
        <is>
          <t>Assumed no variation between quintiles</t>
        </is>
      </c>
    </row>
    <row r="76">
      <c r="A76" t="inlineStr">
        <is>
          <t>India</t>
        </is>
      </c>
      <c r="B76" t="inlineStr">
        <is>
          <t>All</t>
        </is>
      </c>
      <c r="C76" t="inlineStr">
        <is>
          <t xml:space="preserve">NTD stillbirth to death ratio </t>
        </is>
      </c>
      <c r="D76" t="inlineStr">
        <is>
          <t>Ratio</t>
        </is>
      </c>
    </row>
  </sheetData>
  <dataValidations count="3">
    <dataValidation sqref="A1" showDropDown="0" showInputMessage="1" showErrorMessage="1" allowBlank="1"/>
    <dataValidation sqref="A2:A1048576" showDropDown="0" showInputMessage="1" showErrorMessage="1" allowBlank="1" type="list">
      <formula1>"Nigeria,Ethiopia,India"</formula1>
    </dataValidation>
    <dataValidation sqref="B1:B1048576" showDropDown="0" showInputMessage="1" showErrorMessage="1" allowBlank="1" type="list">
      <formula1>"All (assumed same),Total,Lowest,Second,Middle,Fourth,Highest"</formula1>
    </dataValidation>
  </dataValidations>
  <hyperlinks>
    <hyperlink xmlns:r="http://schemas.openxmlformats.org/officeDocument/2006/relationships" ref="G39" r:id="rId1"/>
    <hyperlink xmlns:r="http://schemas.openxmlformats.org/officeDocument/2006/relationships" ref="G40" r:id="rId2"/>
    <hyperlink xmlns:r="http://schemas.openxmlformats.org/officeDocument/2006/relationships" ref="G41" r:id="rId3"/>
    <hyperlink xmlns:r="http://schemas.openxmlformats.org/officeDocument/2006/relationships" ref="G42" r:id="rId4"/>
    <hyperlink xmlns:r="http://schemas.openxmlformats.org/officeDocument/2006/relationships" ref="G43" r:id="rId5"/>
    <hyperlink xmlns:r="http://schemas.openxmlformats.org/officeDocument/2006/relationships" ref="G45" display="Nigeria DHS survey report " r:id="rId6"/>
    <hyperlink xmlns:r="http://schemas.openxmlformats.org/officeDocument/2006/relationships" ref="G46" display="Nigeria DHS survey report " r:id="rId7"/>
    <hyperlink xmlns:r="http://schemas.openxmlformats.org/officeDocument/2006/relationships" ref="G47" display="Nigeria DHS survey report " r:id="rId8"/>
    <hyperlink xmlns:r="http://schemas.openxmlformats.org/officeDocument/2006/relationships" ref="G48" display="Nigeria DHS survey report " r:id="rId9"/>
    <hyperlink xmlns:r="http://schemas.openxmlformats.org/officeDocument/2006/relationships" ref="G49" display="Nigeria DHS survey report " r:id="rId10"/>
    <hyperlink xmlns:r="http://schemas.openxmlformats.org/officeDocument/2006/relationships" ref="J74" display="There is also some data on stillbirth-to-livebirth ratio among NTDs in the literature, see Blencowe et al 2018. " r:id="rId11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5" sqref="A5"/>
    </sheetView>
  </sheetViews>
  <sheetFormatPr baseColWidth="8" defaultRowHeight="14.45"/>
  <cols>
    <col width="52.42578125" bestFit="1" customWidth="1" min="1" max="1"/>
    <col width="12.42578125" bestFit="1" customWidth="1" min="2" max="2"/>
    <col width="9.7109375" bestFit="1" customWidth="1" min="3" max="3"/>
    <col width="29" customWidth="1" min="5" max="5"/>
  </cols>
  <sheetData>
    <row r="1">
      <c r="A1" s="3" t="inlineStr">
        <is>
          <t>Vehicle</t>
        </is>
      </c>
      <c r="B1" s="34" t="inlineStr">
        <is>
          <t>Salt</t>
        </is>
      </c>
      <c r="C1" s="34" t="inlineStr">
        <is>
          <t>Bouillon</t>
        </is>
      </c>
      <c r="D1" s="35" t="inlineStr">
        <is>
          <t>Rice</t>
        </is>
      </c>
      <c r="E1" s="1" t="inlineStr">
        <is>
          <t>Notes</t>
        </is>
      </c>
    </row>
    <row r="2">
      <c r="A2" s="1" t="inlineStr">
        <is>
          <t>Data need</t>
        </is>
      </c>
      <c r="B2" s="1" t="n"/>
      <c r="C2" s="1" t="n"/>
    </row>
    <row r="3">
      <c r="A3" s="4" t="inlineStr">
        <is>
          <t>Iron fortification/consumption effect on hemoglobin</t>
        </is>
      </c>
      <c r="B3" t="inlineStr">
        <is>
          <t>Not modeled</t>
        </is>
      </c>
      <c r="C3" t="str">
        <f>IF(COUNTIFS('Vehicle Extraction'!$A$2:$A$904, C$1,  'Vehicle Extraction'!$B$2:$B$904, $A3) = 0, "Missing", "Complete")</f>
        <v>Complete</v>
      </c>
      <c r="D3" t="str">
        <f>IF(COUNTIFS('Vehicle Extraction'!$A$2:$A$904, D$1,  'Vehicle Extraction'!$B$2:$B$904, $A3) = 0, "Missing", "Complete")</f>
        <v>Complete</v>
      </c>
    </row>
    <row r="4">
      <c r="A4" s="26" t="inlineStr">
        <is>
          <t>Iron fortification/consumption effect on birthweight</t>
        </is>
      </c>
      <c r="B4" t="inlineStr">
        <is>
          <t>Not modeled</t>
        </is>
      </c>
      <c r="C4" t="str">
        <f>IF(COUNTIFS('Vehicle Extraction'!$A$2:$A$904, C$1,  'Vehicle Extraction'!$B$2:$B$904, $A4) = 0, "Missing", "Complete")</f>
        <v>Complete</v>
      </c>
      <c r="D4" t="str">
        <f>IF(COUNTIFS('Vehicle Extraction'!$A$2:$A$904, D$1,  'Vehicle Extraction'!$B$2:$B$904, $A4) = 0, "Missing", "Complete")</f>
        <v>Complete</v>
      </c>
    </row>
  </sheetData>
  <conditionalFormatting sqref="B3:D4">
    <cfRule type="cellIs" priority="2" operator="equal" dxfId="0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G5" sqref="G5"/>
    </sheetView>
  </sheetViews>
  <sheetFormatPr baseColWidth="8" defaultRowHeight="14.45"/>
  <cols>
    <col width="8" bestFit="1" customWidth="1" min="1" max="1"/>
    <col width="46.42578125" bestFit="1" customWidth="1" min="2" max="2"/>
    <col width="19" customWidth="1" min="3" max="3"/>
    <col width="18.28515625" customWidth="1" min="4" max="4"/>
    <col width="34.140625" customWidth="1" min="6" max="6"/>
    <col width="13.140625" bestFit="1" customWidth="1" min="8" max="8"/>
    <col width="50.42578125" customWidth="1" min="9" max="9"/>
  </cols>
  <sheetData>
    <row r="1">
      <c r="A1" s="1" t="inlineStr">
        <is>
          <t>Vehicle</t>
        </is>
      </c>
      <c r="B1" s="1" t="inlineStr">
        <is>
          <t>Data need</t>
        </is>
      </c>
      <c r="C1" s="1" t="inlineStr">
        <is>
          <t>Data point name</t>
        </is>
      </c>
      <c r="D1" s="1" t="inlineStr">
        <is>
          <t>Units</t>
        </is>
      </c>
      <c r="E1" s="1" t="inlineStr">
        <is>
          <t>Year</t>
        </is>
      </c>
      <c r="F1" s="1" t="inlineStr">
        <is>
          <t>Data source</t>
        </is>
      </c>
      <c r="G1" s="1" t="inlineStr">
        <is>
          <t>Value</t>
        </is>
      </c>
      <c r="H1" s="1" t="inlineStr">
        <is>
          <t>CI</t>
        </is>
      </c>
      <c r="I1" s="1" t="inlineStr">
        <is>
          <t>Notes</t>
        </is>
      </c>
    </row>
    <row r="2" ht="115.5" customHeight="1">
      <c r="A2" t="inlineStr">
        <is>
          <t>Rice</t>
        </is>
      </c>
      <c r="B2" t="inlineStr">
        <is>
          <t>Iron fortification/consumption effect on hemoglobin</t>
        </is>
      </c>
      <c r="C2" t="inlineStr">
        <is>
          <t>Mean difference</t>
        </is>
      </c>
      <c r="D2" t="inlineStr">
        <is>
          <t>g/L</t>
        </is>
      </c>
      <c r="E2" t="inlineStr">
        <is>
          <t>Unpublished</t>
        </is>
      </c>
      <c r="F2" s="5" t="inlineStr">
        <is>
          <t>Dorbu et al. Nutritional anemia reductions due to food fortification among women of childbearing age: a systematic review and Bayesian meta-analysis. Unpublished data.</t>
        </is>
      </c>
      <c r="G2" s="26" t="n">
        <v>3.25</v>
      </c>
      <c r="H2" s="26" t="inlineStr">
        <is>
          <t>0.9-5.71</t>
        </is>
      </c>
      <c r="I2" s="5" t="inlineStr">
        <is>
          <t>"This comes from a slide deck that Jonathan send to Abie.  It is credited to  Helena.Pachon@emory.edu".
There are also https://doi.org/10.1080/09637486.2020.1855126 and https://iris.who.int/bitstream/handle/10665/272535/9789241550291-eng.pdf?ua=1 which report similar-ish numbers but this is the one we got from Gates.</t>
        </is>
      </c>
    </row>
    <row r="3">
      <c r="A3" t="inlineStr">
        <is>
          <t>Salt</t>
        </is>
      </c>
      <c r="B3" t="inlineStr">
        <is>
          <t>Iron fortification/consumption effect on hemoglobin</t>
        </is>
      </c>
      <c r="C3" t="inlineStr">
        <is>
          <t>Mean difference</t>
        </is>
      </c>
      <c r="D3" t="inlineStr">
        <is>
          <t>g/L</t>
        </is>
      </c>
      <c r="E3" t="n">
        <v>2021</v>
      </c>
      <c r="F3" t="inlineStr">
        <is>
          <t>Can Double Fortification of Salt with Iron and Iodine Reduce Anemia, Iron Deficiency Anemia, Iron Deficiency, Iodine Deficiency, and Functional Outcomes? Evidence of Efficacy, Effectiveness, and Safety</t>
        </is>
      </c>
      <c r="G3" t="n">
        <v>4.4</v>
      </c>
      <c r="H3" t="inlineStr">
        <is>
          <t>2.3-6.4</t>
        </is>
      </c>
      <c r="I3" s="6" t="inlineStr">
        <is>
          <t>https://www.ncbi.nlm.nih.gov/pmc/articles/PMC7882357/; meta-analysis of 22 studies</t>
        </is>
      </c>
    </row>
    <row r="4" ht="57.75" customHeight="1">
      <c r="A4" t="inlineStr">
        <is>
          <t>Bouillon</t>
        </is>
      </c>
      <c r="B4" t="inlineStr">
        <is>
          <t>Iron fortification/consumption effect on hemoglobin</t>
        </is>
      </c>
      <c r="C4" t="inlineStr">
        <is>
          <t>Mean difference</t>
        </is>
      </c>
      <c r="D4" t="inlineStr">
        <is>
          <t>g/L</t>
        </is>
      </c>
      <c r="E4" t="n">
        <v>2012</v>
      </c>
      <c r="F4" s="5" t="inlineStr">
        <is>
          <t>Effect of iron-fortified foods on hematologic and biological outcomes: systematic review of randomized controlled trials</t>
        </is>
      </c>
      <c r="G4" t="n">
        <v>4.2</v>
      </c>
      <c r="H4" t="inlineStr">
        <is>
          <t>2.8-5.6</t>
        </is>
      </c>
      <c r="I4" s="6" t="inlineStr">
        <is>
          <t>https://www.sciencedirect.com/science/article/pii/S0002916523028915; could not find anything bouillon-specific</t>
        </is>
      </c>
    </row>
    <row r="5" ht="43.5" customHeight="1">
      <c r="A5" t="inlineStr">
        <is>
          <t>Rice</t>
        </is>
      </c>
      <c r="B5" t="inlineStr">
        <is>
          <t>Iron fortification/consumption effect on birthweight</t>
        </is>
      </c>
      <c r="C5" t="inlineStr">
        <is>
          <t>Mean difference</t>
        </is>
      </c>
      <c r="D5" t="inlineStr">
        <is>
          <t>g/(mg/person-day)</t>
        </is>
      </c>
      <c r="E5" t="n">
        <v>2013</v>
      </c>
      <c r="F5" s="5" t="inlineStr">
        <is>
          <t>Anaemia, prenatal iron use, and risk of adverse pregnancy outcomes: systematic review and meta-analysis</t>
        </is>
      </c>
      <c r="G5" t="n">
        <v>1.67</v>
      </c>
      <c r="H5" t="inlineStr">
        <is>
          <t>0.729 to 2.611</t>
        </is>
      </c>
      <c r="I5" s="6" t="inlineStr">
        <is>
          <t>https://www.bmj.com/content/346/bmj.f3443; study of supplementation at higher doses than fortification; selected the effect among trials &lt;66mg/day as all fortification would fall in this range</t>
        </is>
      </c>
    </row>
    <row r="6">
      <c r="A6" t="inlineStr">
        <is>
          <t>Bouillon</t>
        </is>
      </c>
      <c r="B6" t="inlineStr">
        <is>
          <t>Iron fortification/consumption effect on birthweight</t>
        </is>
      </c>
      <c r="C6" t="inlineStr">
        <is>
          <t>Mean difference</t>
        </is>
      </c>
      <c r="D6" t="inlineStr">
        <is>
          <t>g/(mg/person-day)</t>
        </is>
      </c>
      <c r="E6" t="n">
        <v>2013</v>
      </c>
      <c r="F6" t="inlineStr">
        <is>
          <t>Anaemia, prenatal iron use, and risk of adverse pregnancy outcomes: systematic review and meta-analysis</t>
        </is>
      </c>
      <c r="G6" t="n">
        <v>1.67</v>
      </c>
      <c r="H6" t="inlineStr">
        <is>
          <t>0.729 to 2.611</t>
        </is>
      </c>
      <c r="I6" s="6" t="inlineStr">
        <is>
          <t>https://www.bmj.com/content/346/bmj.f3443; study of supplementation at higher doses than fortification; selected the effect among trials &lt;66mg/day as all fortification would fall in this range</t>
        </is>
      </c>
    </row>
    <row r="7" ht="115.5" customHeight="1">
      <c r="A7" t="inlineStr">
        <is>
          <t>Wheat</t>
        </is>
      </c>
      <c r="B7" t="inlineStr">
        <is>
          <t>Iron fortification/consumption effect on hemoglobin</t>
        </is>
      </c>
      <c r="C7" t="inlineStr">
        <is>
          <t>Mean difference</t>
        </is>
      </c>
      <c r="D7" t="inlineStr">
        <is>
          <t>g/L</t>
        </is>
      </c>
      <c s="5" r="F7" t="inlineStr">
        <is>
          <t>DUMMY (MIC-7549)</t>
        </is>
      </c>
      <c s="26" r="G7" t="n">
        <v>3.25</v>
      </c>
      <c s="5" r="I7" t="inlineStr">
        <is>
          <t>DUMMY PLACEHOLDER (MIC-7549): value copied from the corresponding Rice row. Replace with real wheat data.</t>
        </is>
      </c>
    </row>
    <row r="8" ht="43.5" customHeight="1">
      <c r="A8" t="inlineStr">
        <is>
          <t>Wheat</t>
        </is>
      </c>
      <c r="B8" t="inlineStr">
        <is>
          <t>Iron fortification/consumption effect on birthweight</t>
        </is>
      </c>
      <c r="C8" t="inlineStr">
        <is>
          <t>Mean difference</t>
        </is>
      </c>
      <c r="D8" t="inlineStr">
        <is>
          <t>g/(mg/person-day)</t>
        </is>
      </c>
      <c s="5" r="F8" t="inlineStr">
        <is>
          <t>DUMMY (MIC-7549)</t>
        </is>
      </c>
      <c r="G8" t="n">
        <v>1.67</v>
      </c>
      <c s="6" r="I8" t="inlineStr">
        <is>
          <t>DUMMY PLACEHOLDER (MIC-7549): value copied from the corresponding Rice row. Replace with real wheat data.</t>
        </is>
      </c>
    </row>
  </sheetData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display="https://www.bmj.com/content/346/bmj.f3443; study of supplementation at higher doses than fortification; selected the effect among trials &lt;66mg/day as all fortification would fall in this range" r:id="rId4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H8" sqref="H8"/>
    </sheetView>
  </sheetViews>
  <sheetFormatPr baseColWidth="8" defaultRowHeight="14.45"/>
  <cols>
    <col width="56.42578125" bestFit="1" customWidth="1" min="1" max="1"/>
    <col width="32.28515625" bestFit="1" customWidth="1" min="2" max="2"/>
    <col width="12.42578125" bestFit="1" customWidth="1" min="4" max="4"/>
    <col width="150" bestFit="1" customWidth="1" min="5" max="5"/>
    <col width="36.5703125" bestFit="1" customWidth="1" min="6" max="6"/>
  </cols>
  <sheetData>
    <row r="1">
      <c r="A1" s="2" t="inlineStr">
        <is>
          <t>Data need</t>
        </is>
      </c>
      <c r="B1" s="2" t="inlineStr">
        <is>
          <t>Data point name</t>
        </is>
      </c>
      <c r="C1" s="2" t="inlineStr">
        <is>
          <t>Units</t>
        </is>
      </c>
      <c r="D1" s="2" t="inlineStr">
        <is>
          <t>Year</t>
        </is>
      </c>
      <c r="E1" s="2" t="inlineStr">
        <is>
          <t>Data source</t>
        </is>
      </c>
      <c r="F1" s="2" t="inlineStr">
        <is>
          <t>Value</t>
        </is>
      </c>
      <c r="G1" s="2" t="inlineStr">
        <is>
          <t>CI</t>
        </is>
      </c>
      <c r="H1" s="22" t="inlineStr">
        <is>
          <t>Notes</t>
        </is>
      </c>
      <c r="I1" s="23" t="n"/>
    </row>
    <row r="2">
      <c r="A2" s="26" t="inlineStr">
        <is>
          <t>Folate fortification/consumption effect on serum/plasma folate</t>
        </is>
      </c>
      <c r="B2" s="26" t="n"/>
      <c r="C2" s="26" t="n"/>
      <c r="D2" s="26" t="n"/>
      <c r="E2" s="26" t="n"/>
      <c r="F2" s="26" t="n"/>
      <c r="G2" s="26" t="n"/>
      <c r="H2" s="23" t="n"/>
      <c r="I2" s="23" t="n"/>
    </row>
    <row r="3">
      <c r="A3" s="26" t="inlineStr">
        <is>
          <t xml:space="preserve">    Rice</t>
        </is>
      </c>
      <c r="B3" s="26" t="inlineStr">
        <is>
          <t>Risk Difference</t>
        </is>
      </c>
      <c r="C3" s="26" t="inlineStr">
        <is>
          <t>nmol/L</t>
        </is>
      </c>
      <c r="D3" s="26" t="n">
        <v>2018</v>
      </c>
      <c r="E3" s="26" t="inlineStr">
        <is>
          <t>WHO 2018 systematic review</t>
        </is>
      </c>
      <c r="F3" s="26" t="n">
        <v>4.3</v>
      </c>
      <c r="G3" s="26" t="inlineStr">
        <is>
          <t>2.00-6.60</t>
        </is>
      </c>
      <c r="H3" s="24" t="inlineStr">
        <is>
          <t>https://iris.who.int/bitstream/handle/10665/272535/9789241550291-eng.pdf?ua=1 found a single study</t>
        </is>
      </c>
      <c r="I3" s="23" t="n"/>
    </row>
    <row r="4">
      <c r="A4" s="26" t="inlineStr">
        <is>
          <t>Folate fortification/consumption effect on RBC folate</t>
        </is>
      </c>
      <c r="B4" s="26" t="inlineStr">
        <is>
          <t>Relative Risk (linear dose-response)</t>
        </is>
      </c>
      <c r="C4" s="26" t="inlineStr">
        <is>
          <t>percent RBC increase per 10% increase in folate intake</t>
        </is>
      </c>
      <c r="D4" s="26" t="n">
        <v>2015</v>
      </c>
      <c r="E4" s="25" t="inlineStr">
        <is>
          <t>Marchetta et al, 2015</t>
        </is>
      </c>
      <c r="F4" s="26" t="n">
        <v>6</v>
      </c>
      <c r="G4" s="27" t="inlineStr">
        <is>
          <t>4-9</t>
        </is>
      </c>
      <c r="H4" s="23" t="n"/>
      <c r="I4" s="23" t="n"/>
    </row>
    <row r="5">
      <c r="A5" s="26" t="inlineStr">
        <is>
          <t>Serum/plasma folate effect on RBC folate</t>
        </is>
      </c>
      <c r="B5" s="26" t="n"/>
      <c r="C5" s="26" t="n"/>
      <c r="D5" s="26" t="n"/>
      <c r="E5" s="26" t="n"/>
      <c r="F5" s="26" t="n"/>
      <c r="G5" s="26" t="n"/>
      <c r="H5" s="23" t="n"/>
      <c r="I5" s="23" t="n"/>
    </row>
    <row r="6">
      <c r="A6" s="26" t="inlineStr">
        <is>
          <t>RBC folate effect on NTD incidence</t>
        </is>
      </c>
      <c r="B6" s="26" t="inlineStr">
        <is>
          <t>non-linear relationship</t>
        </is>
      </c>
      <c r="C6" s="26" t="n"/>
      <c r="D6" s="26" t="n"/>
      <c r="E6" s="26" t="inlineStr">
        <is>
          <t>(Daly et al, 1995)</t>
        </is>
      </c>
      <c r="F6" s="26" t="inlineStr">
        <is>
          <t xml:space="preserve">ln (odds of NTD risk) = 1.6563 − 1.2193 × ln (RBC) </t>
        </is>
      </c>
      <c r="G6" s="26" t="n"/>
      <c r="H6" s="23" t="n"/>
      <c r="I6" s="23" t="n"/>
    </row>
    <row r="7" ht="29.25" customHeight="1">
      <c r="A7" s="26" t="inlineStr">
        <is>
          <t>RBC folate effect on NTD incidence</t>
        </is>
      </c>
      <c r="B7" s="26" t="inlineStr">
        <is>
          <t>non-linear relationship</t>
        </is>
      </c>
      <c r="C7" s="26" t="n"/>
      <c r="D7" s="26" t="n"/>
      <c r="E7" s="26" t="inlineStr">
        <is>
          <t>(Crider et al, 2014)</t>
        </is>
      </c>
      <c r="F7" s="33" t="inlineStr">
        <is>
          <t>ln (odds of NTD risk) = 4.57 − 1.70 × ln (RBC)</t>
        </is>
      </c>
      <c r="G7" s="26" t="n"/>
      <c r="H7" s="23" t="n"/>
      <c r="I7" s="23" t="n"/>
    </row>
    <row r="8">
      <c r="A8" s="26" t="inlineStr">
        <is>
          <t>NTD stillbirth-to-death ratio</t>
        </is>
      </c>
      <c r="B8" s="26" t="inlineStr">
        <is>
          <t>Ratio</t>
        </is>
      </c>
      <c r="C8" s="26" t="n"/>
      <c r="D8" s="26" t="n"/>
      <c r="E8" s="26" t="inlineStr">
        <is>
          <t>NTD Stillbirths paper in Lancet Global Health based on CHAMPS MITS data</t>
        </is>
      </c>
      <c r="F8" s="26" t="inlineStr">
        <is>
          <t>51/18</t>
        </is>
      </c>
      <c r="G8" s="26" t="n"/>
      <c r="H8" s="23" t="inlineStr">
        <is>
          <t>There might be more data available since this paper was published</t>
        </is>
      </c>
      <c r="I8" s="23" t="n"/>
    </row>
    <row r="9">
      <c r="A9" s="23" t="n"/>
      <c r="B9" s="23" t="n"/>
      <c r="C9" s="23" t="n"/>
      <c r="D9" s="23" t="n"/>
      <c r="E9" s="23" t="n"/>
      <c r="F9" s="23" t="n"/>
      <c r="G9" s="23" t="n"/>
      <c r="H9" s="23" t="n"/>
      <c r="I9" s="23" t="n"/>
    </row>
    <row r="10">
      <c r="A10" s="23" t="n"/>
      <c r="B10" s="23" t="n"/>
      <c r="C10" s="23" t="n"/>
      <c r="D10" s="23" t="n"/>
      <c r="E10" s="23" t="n"/>
      <c r="F10" s="23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23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23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</row>
  </sheetData>
  <hyperlinks>
    <hyperlink xmlns:r="http://schemas.openxmlformats.org/officeDocument/2006/relationships" ref="H3" r:id="rId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G7" sqref="G7:G8"/>
    </sheetView>
  </sheetViews>
  <sheetFormatPr baseColWidth="8" defaultRowHeight="14.45"/>
  <cols>
    <col width="52.42578125" bestFit="1" customWidth="1" min="1" max="1"/>
    <col width="21" bestFit="1" customWidth="1" min="2" max="2"/>
    <col width="22.28515625" bestFit="1" customWidth="1" min="3" max="3"/>
    <col width="11.42578125" bestFit="1" customWidth="1" min="4" max="5"/>
    <col width="11.42578125" customWidth="1" min="6" max="7"/>
    <col width="11.42578125" bestFit="1" customWidth="1" min="8" max="9"/>
  </cols>
  <sheetData>
    <row r="1" ht="15" customHeight="1">
      <c r="A1" s="3" t="inlineStr">
        <is>
          <t>Country</t>
        </is>
      </c>
      <c r="B1" s="36" t="inlineStr">
        <is>
          <t>Ethiopia</t>
        </is>
      </c>
      <c r="E1" s="37" t="inlineStr">
        <is>
          <t>Nigeria</t>
        </is>
      </c>
      <c r="I1" s="37" t="inlineStr">
        <is>
          <t>India</t>
        </is>
      </c>
    </row>
    <row r="2" ht="15" customHeight="1">
      <c r="A2" s="3" t="inlineStr">
        <is>
          <t>Vehicle</t>
        </is>
      </c>
      <c r="B2" s="36" t="inlineStr">
        <is>
          <t>Salt</t>
        </is>
      </c>
      <c r="E2" s="37" t="inlineStr">
        <is>
          <t>Bouillon</t>
        </is>
      </c>
      <c r="G2" s="37" t="inlineStr">
        <is>
          <t>Rice</t>
        </is>
      </c>
      <c r="I2" s="37" t="inlineStr">
        <is>
          <t>Rice</t>
        </is>
      </c>
    </row>
    <row r="3" ht="15" customHeight="1">
      <c r="A3" s="3" t="inlineStr">
        <is>
          <t>Fortificant</t>
        </is>
      </c>
      <c r="B3" s="36" t="inlineStr">
        <is>
          <t>Folate</t>
        </is>
      </c>
      <c r="E3" s="36" t="inlineStr">
        <is>
          <t>Folate</t>
        </is>
      </c>
      <c r="F3" s="36" t="inlineStr">
        <is>
          <t>Iron</t>
        </is>
      </c>
      <c r="G3" s="36" t="inlineStr">
        <is>
          <t>Folate</t>
        </is>
      </c>
      <c r="H3" s="36" t="inlineStr">
        <is>
          <t>Iron</t>
        </is>
      </c>
      <c r="I3" s="36" t="inlineStr">
        <is>
          <t>Folate</t>
        </is>
      </c>
      <c r="J3" s="37" t="inlineStr">
        <is>
          <t>Iron</t>
        </is>
      </c>
    </row>
    <row r="4" ht="15" customHeight="1">
      <c r="A4" s="38" t="inlineStr">
        <is>
          <t>Scenario</t>
        </is>
      </c>
      <c r="B4" s="39" t="inlineStr">
        <is>
          <t>Intervention - 25% NRV</t>
        </is>
      </c>
      <c r="C4" s="39" t="inlineStr">
        <is>
          <t>Intervention - 100% NRV</t>
        </is>
      </c>
      <c r="D4" s="40" t="inlineStr">
        <is>
          <t>Intervention - 45 ppm</t>
        </is>
      </c>
      <c r="E4" s="39" t="inlineStr">
        <is>
          <t>Intervention</t>
        </is>
      </c>
      <c r="F4" s="39" t="inlineStr">
        <is>
          <t>Intervention</t>
        </is>
      </c>
      <c r="G4" s="39" t="inlineStr">
        <is>
          <t>Intervention</t>
        </is>
      </c>
      <c r="H4" s="39" t="inlineStr">
        <is>
          <t>Intervention</t>
        </is>
      </c>
      <c r="I4" s="39" t="inlineStr">
        <is>
          <t>Intervention</t>
        </is>
      </c>
      <c r="J4" s="4" t="inlineStr">
        <is>
          <t>Intervention</t>
        </is>
      </c>
    </row>
    <row r="5" ht="15" customHeight="1">
      <c r="A5" s="1" t="inlineStr">
        <is>
          <t>Data need</t>
        </is>
      </c>
      <c r="B5" s="1" t="n"/>
      <c r="C5" s="1" t="n"/>
      <c r="E5" s="1" t="n"/>
      <c r="I5" s="1" t="n"/>
    </row>
    <row r="6" ht="15" customHeight="1">
      <c r="A6" t="inlineStr">
        <is>
          <t>Vehicle fortification in intervention -- amount among fortified</t>
        </is>
      </c>
      <c r="B6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$A6) = 0, "Missing", "Complete")</f>
        <v>Complete</v>
      </c>
      <c r="C6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$A6) = 0, "Missing", "Complete")</f>
        <v>Complete</v>
      </c>
      <c r="D6" t="inlineStr">
        <is>
          <t>Complete</t>
        </is>
      </c>
      <c r="E6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$A6) = 0, "Missing", "Complete")</f>
        <v>Complete</v>
      </c>
      <c r="F6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$A6) = 0, "Missing", "Complete")</f>
        <v>Complete</v>
      </c>
      <c r="G6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$A6) = 0, "Missing", "Complete")</f>
        <v>Complete</v>
      </c>
      <c r="H6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$A6) = 0, "Missing", "Complete")</f>
        <v>Complete</v>
      </c>
      <c r="I6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$A6) = 0, "Missing", "Complete")</f>
        <v>Complete</v>
      </c>
      <c r="J6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$A6) = 0, "Missing", "Complete")</f>
        <v>Complete</v>
      </c>
    </row>
    <row r="7" ht="15" customHeight="1">
      <c r="A7" t="inlineStr">
        <is>
          <t>Intervention coverage % of fortifiable</t>
        </is>
      </c>
      <c r="B7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$A7) = 0, "Missing", "Complete")</f>
        <v>Complete</v>
      </c>
      <c r="C7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$A7) = 0, "Missing", "Complete")</f>
        <v>Complete</v>
      </c>
      <c r="D7" t="inlineStr">
        <is>
          <t>Complete</t>
        </is>
      </c>
      <c r="E7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$A7) = 0, "Missing", "Complete")</f>
        <v>Complete</v>
      </c>
      <c r="F7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$A7) = 0, "Missing", "Complete")</f>
        <v>Complete</v>
      </c>
      <c r="G7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$A7) = 0, "Missing", "Complete")</f>
        <v>Complete</v>
      </c>
      <c r="H7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$A7) = 0, "Missing", "Complete")</f>
        <v>Complete</v>
      </c>
      <c r="I7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$A7) = 0, "Missing", "Complete")</f>
        <v>Complete</v>
      </c>
      <c r="J7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$A7) = 0, "Missing", "Complete")</f>
        <v>Complete</v>
      </c>
    </row>
    <row r="8" ht="15" customHeight="1">
      <c r="A8" t="inlineStr">
        <is>
          <t>Intervention effective % of fortified</t>
        </is>
      </c>
      <c r="B8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$A8) = 0, "Missing", "Complete")</f>
        <v>Complete</v>
      </c>
      <c r="C8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$A8) = 0, "Missing", "Complete")</f>
        <v>Complete</v>
      </c>
      <c r="D8" t="inlineStr">
        <is>
          <t>Complete</t>
        </is>
      </c>
      <c r="E8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$A8) = 0, "Missing", "Complete")</f>
        <v>Complete</v>
      </c>
      <c r="F8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$A8) = 0, "Missing", "Complete")</f>
        <v>Complete</v>
      </c>
      <c r="G8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$A8) = 0, "Missing", "Complete")</f>
        <v>Complete</v>
      </c>
      <c r="H8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$A8) = 0, "Missing", "Complete")</f>
        <v>Complete</v>
      </c>
      <c r="I8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$A8) = 0, "Missing", "Complete")</f>
        <v>Complete</v>
      </c>
      <c r="J8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$A8) = 0, "Missing", "Complete")</f>
        <v>Complete</v>
      </c>
    </row>
  </sheetData>
  <mergeCells count="8">
    <mergeCell ref="B3:D3"/>
    <mergeCell ref="G2:H2"/>
    <mergeCell ref="E2:F2"/>
    <mergeCell ref="B1:D1"/>
    <mergeCell ref="I2:J2"/>
    <mergeCell ref="B2:D2"/>
    <mergeCell ref="E1:H1"/>
    <mergeCell ref="I1:J1"/>
  </mergeCells>
  <conditionalFormatting sqref="B6:I8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pane ySplit="1" topLeftCell="A2" activePane="bottomLeft" state="frozen"/>
      <selection pane="bottomLeft" activeCell="J20" sqref="J20"/>
    </sheetView>
  </sheetViews>
  <sheetFormatPr baseColWidth="8" defaultRowHeight="14.45"/>
  <cols>
    <col width="8" bestFit="1" customWidth="1" min="1" max="1"/>
    <col width="10.28515625" bestFit="1" customWidth="1" min="3" max="3"/>
    <col width="26.7109375" customWidth="1" min="4" max="4"/>
    <col width="52.7109375" bestFit="1" customWidth="1" min="5" max="5"/>
    <col width="19" customWidth="1" min="6" max="6"/>
    <col width="25.85546875" bestFit="1" customWidth="1" min="8" max="8"/>
    <col width="50.42578125" customWidth="1" min="10" max="10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Fortificant</t>
        </is>
      </c>
      <c r="D1" s="1" t="inlineStr">
        <is>
          <t>Scenario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Data source</t>
        </is>
      </c>
      <c r="I1" s="1" t="inlineStr">
        <is>
          <t>Value</t>
        </is>
      </c>
      <c r="J1" s="1" t="inlineStr">
        <is>
          <t>Notes</t>
        </is>
      </c>
    </row>
    <row r="2">
      <c r="A2" t="inlineStr">
        <is>
          <t>Nigeria</t>
        </is>
      </c>
      <c r="B2" t="inlineStr">
        <is>
          <t>Bouillon</t>
        </is>
      </c>
      <c r="C2" t="inlineStr">
        <is>
          <t>Iron</t>
        </is>
      </c>
      <c r="D2" t="inlineStr">
        <is>
          <t>Intervention</t>
        </is>
      </c>
      <c r="E2" t="inlineStr">
        <is>
          <t>Intervention coverage % of fortifiable</t>
        </is>
      </c>
      <c r="F2" t="inlineStr">
        <is>
          <t>percentage</t>
        </is>
      </c>
      <c r="G2" t="inlineStr">
        <is>
          <t>%</t>
        </is>
      </c>
      <c r="H2" t="inlineStr">
        <is>
          <t>GF Apr-2026 workbook 'Vehicles - WRA' BI10/BL10 (2035 compliance 50%); Kathy Banke email 9/9/2026: use 2035 targets</t>
        </is>
      </c>
      <c r="I2" s="41" t="n">
        <v>0.715</v>
      </c>
      <c r="J2" t="inlineStr">
        <is>
          <t>coverage = effectiveness = 0.715 equal split: sqrt(0.50) ~ 0.7071 rounded up because coverage x fortifiability must exceed baseline iron-labeled bouillon coverage (0.6998 in Q5 -&gt; coverage &gt;= 0.7113, asserted in the coverage notebook); product 0.5112 vs 2035 compliance target 0.50; pending GF country-team confirmation (KB email 9/9/2026)</t>
        </is>
      </c>
    </row>
    <row r="3">
      <c r="A3" t="inlineStr">
        <is>
          <t>Nigeria</t>
        </is>
      </c>
      <c r="B3" t="inlineStr">
        <is>
          <t>Bouillon</t>
        </is>
      </c>
      <c r="C3" t="inlineStr">
        <is>
          <t>Folate</t>
        </is>
      </c>
      <c r="D3" t="inlineStr">
        <is>
          <t>Intervention</t>
        </is>
      </c>
      <c r="E3" t="inlineStr">
        <is>
          <t>Intervention coverage % of fortifiable</t>
        </is>
      </c>
      <c r="F3" t="inlineStr">
        <is>
          <t>percentage</t>
        </is>
      </c>
      <c r="G3" t="inlineStr">
        <is>
          <t>%</t>
        </is>
      </c>
      <c r="H3" t="inlineStr">
        <is>
          <t>GF Apr-2026 workbook 'Vehicles - WRA' BI10/BL10 (2035 compliance 50%); Kathy Banke email 9/9/2026: use 2035 targets</t>
        </is>
      </c>
      <c r="I3" s="41" t="n">
        <v>0.715</v>
      </c>
      <c r="J3" t="inlineStr">
        <is>
          <t>coverage = effectiveness = 0.715 equal split: sqrt(0.50) ~ 0.7071 rounded up because coverage x fortifiability must exceed baseline iron-labeled bouillon coverage (0.6998 in Q5 -&gt; coverage &gt;= 0.7113, asserted in the coverage notebook); product 0.5112 vs 2035 compliance target 0.50; pending GF country-team confirmation (KB email 9/9/2026)</t>
        </is>
      </c>
    </row>
    <row r="4" ht="15" customHeight="1">
      <c r="A4" t="inlineStr">
        <is>
          <t>Nigeria</t>
        </is>
      </c>
      <c r="B4" t="inlineStr">
        <is>
          <t>Rice</t>
        </is>
      </c>
      <c r="C4" t="inlineStr">
        <is>
          <t>Iron</t>
        </is>
      </c>
      <c r="D4" t="inlineStr">
        <is>
          <t>Intervention</t>
        </is>
      </c>
      <c r="E4" t="inlineStr">
        <is>
          <t>Intervention coverage % of fortifiable</t>
        </is>
      </c>
      <c r="F4" t="inlineStr">
        <is>
          <t>percentage</t>
        </is>
      </c>
      <c r="G4" t="inlineStr">
        <is>
          <t>%</t>
        </is>
      </c>
      <c r="H4" t="inlineStr">
        <is>
          <t>GF Apr-2026 workbook 'Vehicles - WRA' V10/Y10 (2035 compliance 90%); Kathy Banke email 9/9/2026: use 2035 targets</t>
        </is>
      </c>
      <c r="I4" s="41" t="n">
        <v>0.95</v>
      </c>
      <c r="J4" t="inlineStr">
        <is>
          <t>coverage = effectiveness = sqrt(0.90) ~ 0.95, product 0.9025 realizes the 2035 compliance target</t>
        </is>
      </c>
    </row>
    <row r="5">
      <c r="A5" t="inlineStr">
        <is>
          <t>Nigeria</t>
        </is>
      </c>
      <c r="B5" t="inlineStr">
        <is>
          <t>Rice</t>
        </is>
      </c>
      <c r="C5" t="inlineStr">
        <is>
          <t>Folate</t>
        </is>
      </c>
      <c r="D5" t="inlineStr">
        <is>
          <t>Intervention</t>
        </is>
      </c>
      <c r="E5" t="inlineStr">
        <is>
          <t>Intervention coverage % of fortifiable</t>
        </is>
      </c>
      <c r="F5" t="inlineStr">
        <is>
          <t>percentage</t>
        </is>
      </c>
      <c r="G5" t="inlineStr">
        <is>
          <t>%</t>
        </is>
      </c>
      <c r="H5" t="inlineStr">
        <is>
          <t>GF Apr-2026 workbook 'Vehicles - WRA' V10/Y10 (2035 compliance 90%); Kathy Banke email 9/9/2026: use 2035 targets</t>
        </is>
      </c>
      <c r="I5" s="41" t="n">
        <v>0.95</v>
      </c>
      <c r="J5" t="inlineStr">
        <is>
          <t>coverage = effectiveness = sqrt(0.90) ~ 0.95, product 0.9025 realizes the 2035 compliance target</t>
        </is>
      </c>
    </row>
    <row r="6">
      <c r="A6" t="inlineStr">
        <is>
          <t>Ethiopia</t>
        </is>
      </c>
      <c r="B6" t="inlineStr">
        <is>
          <t>Salt</t>
        </is>
      </c>
      <c r="C6" t="inlineStr">
        <is>
          <t>Folate</t>
        </is>
      </c>
      <c r="D6" t="inlineStr">
        <is>
          <t>Intervention - 25% NRV</t>
        </is>
      </c>
      <c r="E6" t="inlineStr">
        <is>
          <t>Intervention coverage % of fortifiable</t>
        </is>
      </c>
      <c r="F6" t="inlineStr">
        <is>
          <t>percentage</t>
        </is>
      </c>
      <c r="G6" t="inlineStr">
        <is>
          <t>%</t>
        </is>
      </c>
      <c r="H6" t="inlineStr">
        <is>
          <t>GF Apr-2026 workbook 'Vehicles - WRA' AZ27 (2035 FA compliance 90%); Kathy Banke email 9/9/2026: use 2035 targets</t>
        </is>
      </c>
      <c r="I6" s="41" t="n">
        <v>0.95</v>
      </c>
      <c r="J6" t="inlineStr">
        <is>
          <t>coverage = effectiveness = sqrt(0.90) ~ 0.95, product 0.9025 realizes the 2035 compliance target; applies to all three Ethiopia arms</t>
        </is>
      </c>
    </row>
    <row r="7">
      <c r="A7" t="inlineStr">
        <is>
          <t>Ethiopia</t>
        </is>
      </c>
      <c r="B7" t="inlineStr">
        <is>
          <t>Salt</t>
        </is>
      </c>
      <c r="C7" t="inlineStr">
        <is>
          <t>Folate</t>
        </is>
      </c>
      <c r="D7" t="inlineStr">
        <is>
          <t>Intervention - 100% NRV</t>
        </is>
      </c>
      <c r="E7" t="inlineStr">
        <is>
          <t>Intervention coverage % of fortifiable</t>
        </is>
      </c>
      <c r="F7" t="inlineStr">
        <is>
          <t>percentage</t>
        </is>
      </c>
      <c r="G7" t="inlineStr">
        <is>
          <t>%</t>
        </is>
      </c>
      <c r="H7" t="inlineStr">
        <is>
          <t>GF Apr-2026 workbook 'Vehicles - WRA' AZ27 (2035 FA compliance 90%); Kathy Banke email 9/9/2026: use 2035 targets</t>
        </is>
      </c>
      <c r="I7" s="41" t="n">
        <v>0.95</v>
      </c>
      <c r="J7" t="inlineStr">
        <is>
          <t>coverage = effectiveness = sqrt(0.90) ~ 0.95, product 0.9025 realizes the 2035 compliance target; applies to all three Ethiopia arms</t>
        </is>
      </c>
    </row>
    <row r="8">
      <c r="A8" t="inlineStr">
        <is>
          <t>Ethiopia</t>
        </is>
      </c>
      <c r="B8" t="inlineStr">
        <is>
          <t>Salt</t>
        </is>
      </c>
      <c r="C8" t="inlineStr">
        <is>
          <t>Folate</t>
        </is>
      </c>
      <c r="D8" t="inlineStr">
        <is>
          <t>Intervention - 45 ppm</t>
        </is>
      </c>
      <c r="E8" t="inlineStr">
        <is>
          <t>Intervention coverage % of fortifiable</t>
        </is>
      </c>
      <c r="F8" t="inlineStr">
        <is>
          <t>percentage</t>
        </is>
      </c>
      <c r="G8" t="inlineStr">
        <is>
          <t>%</t>
        </is>
      </c>
      <c r="H8" t="inlineStr">
        <is>
          <t>GF Apr-2026 workbook 'Vehicles - WRA' AZ27 (2035 FA compliance 90%); Kathy Banke email 9/9/2026: use 2035 targets</t>
        </is>
      </c>
      <c r="I8" s="41" t="n">
        <v>0.95</v>
      </c>
      <c r="J8" t="inlineStr">
        <is>
          <t>Same program reach as the NRV scenarios (Andy Garcia 7/26); coverage = effectiveness = sqrt(0.90) ~ 0.95, product 0.9025 realizes the 2035 compliance target; applies to all three Ethiopia arms</t>
        </is>
      </c>
    </row>
    <row r="9">
      <c r="A9" t="inlineStr">
        <is>
          <t>India</t>
        </is>
      </c>
      <c r="B9" t="inlineStr">
        <is>
          <t>Rice</t>
        </is>
      </c>
      <c r="C9" t="inlineStr">
        <is>
          <t>Iron</t>
        </is>
      </c>
      <c r="D9" t="inlineStr">
        <is>
          <t>Intervention</t>
        </is>
      </c>
      <c r="E9" t="inlineStr">
        <is>
          <t>Intervention coverage % of fortifiable</t>
        </is>
      </c>
      <c r="F9" t="inlineStr">
        <is>
          <t>percentage</t>
        </is>
      </c>
      <c r="G9" t="inlineStr">
        <is>
          <t>%</t>
        </is>
      </c>
      <c r="H9" t="inlineStr">
        <is>
          <t>GF Apr-2026 workbook 'Vehicles - WRA' V55/Y55 (2035 compliance 85%); Kathy Banke email 9/9/2026: use 2035 targets</t>
        </is>
      </c>
      <c r="I9" s="41" t="n">
        <v>0.92</v>
      </c>
      <c r="J9" t="inlineStr">
        <is>
          <t>coverage = effectiveness = sqrt(0.85) ~ 0.92, product 0.8464 realizes the 2035 compliance target</t>
        </is>
      </c>
    </row>
    <row r="10">
      <c r="A10" t="inlineStr">
        <is>
          <t>India</t>
        </is>
      </c>
      <c r="B10" t="inlineStr">
        <is>
          <t>Rice</t>
        </is>
      </c>
      <c r="C10" t="inlineStr">
        <is>
          <t>Folate</t>
        </is>
      </c>
      <c r="D10" t="inlineStr">
        <is>
          <t>Intervention</t>
        </is>
      </c>
      <c r="E10" t="inlineStr">
        <is>
          <t>Intervention coverage % of fortifiable</t>
        </is>
      </c>
      <c r="F10" t="inlineStr">
        <is>
          <t>percentage</t>
        </is>
      </c>
      <c r="G10" t="inlineStr">
        <is>
          <t>%</t>
        </is>
      </c>
      <c r="H10" t="inlineStr">
        <is>
          <t>GF Apr-2026 workbook 'Vehicles - WRA' V55/Y55 (2035 compliance 85%); Kathy Banke email 9/9/2026: use 2035 targets</t>
        </is>
      </c>
      <c r="I10" s="41" t="n">
        <v>0.92</v>
      </c>
      <c r="J10" t="inlineStr">
        <is>
          <t>coverage = effectiveness = sqrt(0.85) ~ 0.92, product 0.8464 realizes the 2035 compliance target</t>
        </is>
      </c>
    </row>
    <row r="11">
      <c r="A11" t="inlineStr">
        <is>
          <t>Nigeria</t>
        </is>
      </c>
      <c r="B11" t="inlineStr">
        <is>
          <t>Bouillon</t>
        </is>
      </c>
      <c r="C11" t="inlineStr">
        <is>
          <t>Iron</t>
        </is>
      </c>
      <c r="D11" t="inlineStr">
        <is>
          <t>Intervention</t>
        </is>
      </c>
      <c r="E11" t="inlineStr">
        <is>
          <t>Intervention effective % of fortified</t>
        </is>
      </c>
      <c r="F11" t="inlineStr">
        <is>
          <t>percentage</t>
        </is>
      </c>
      <c r="G11" t="inlineStr">
        <is>
          <t>%</t>
        </is>
      </c>
      <c r="H11" t="inlineStr">
        <is>
          <t>GF Apr-2026 workbook 'Vehicles - WRA' BI10/BL10 (2035 compliance 50%); Kathy Banke email 9/9/2026: use 2035 targets</t>
        </is>
      </c>
      <c r="I11" s="41" t="n">
        <v>0.715</v>
      </c>
      <c r="J11" t="inlineStr">
        <is>
          <t>coverage = effectiveness = 0.715 equal split: sqrt(0.50) ~ 0.7071 rounded up because coverage x fortifiability must exceed baseline iron-labeled bouillon coverage (0.6998 in Q5 -&gt; coverage &gt;= 0.7113, asserted in the coverage notebook); product 0.5112 vs 2035 compliance target 0.50; pending GF country-team confirmation (KB email 9/9/2026)</t>
        </is>
      </c>
    </row>
    <row r="12">
      <c r="A12" t="inlineStr">
        <is>
          <t>Nigeria</t>
        </is>
      </c>
      <c r="B12" t="inlineStr">
        <is>
          <t>Bouillon</t>
        </is>
      </c>
      <c r="C12" t="inlineStr">
        <is>
          <t>Folate</t>
        </is>
      </c>
      <c r="D12" t="inlineStr">
        <is>
          <t>Intervention</t>
        </is>
      </c>
      <c r="E12" t="inlineStr">
        <is>
          <t>Intervention effective % of fortified</t>
        </is>
      </c>
      <c r="F12" t="inlineStr">
        <is>
          <t>percentage</t>
        </is>
      </c>
      <c r="G12" t="inlineStr">
        <is>
          <t>%</t>
        </is>
      </c>
      <c r="H12" t="inlineStr">
        <is>
          <t>GF Apr-2026 workbook 'Vehicles - WRA' BI10/BL10 (2035 compliance 50%); Kathy Banke email 9/9/2026: use 2035 targets</t>
        </is>
      </c>
      <c r="I12" s="41" t="n">
        <v>0.715</v>
      </c>
      <c r="J12" t="inlineStr">
        <is>
          <t>coverage = effectiveness = 0.715 equal split: sqrt(0.50) ~ 0.7071 rounded up because coverage x fortifiability must exceed baseline iron-labeled bouillon coverage (0.6998 in Q5 -&gt; coverage &gt;= 0.7113, asserted in the coverage notebook); product 0.5112 vs 2035 compliance target 0.50; pending GF country-team confirmation (KB email 9/9/2026)</t>
        </is>
      </c>
    </row>
    <row r="13" ht="15" customHeight="1">
      <c r="A13" t="inlineStr">
        <is>
          <t>Nigeria</t>
        </is>
      </c>
      <c r="B13" t="inlineStr">
        <is>
          <t>Rice</t>
        </is>
      </c>
      <c r="C13" t="inlineStr">
        <is>
          <t>Iron</t>
        </is>
      </c>
      <c r="D13" t="inlineStr">
        <is>
          <t>Intervention</t>
        </is>
      </c>
      <c r="E13" t="inlineStr">
        <is>
          <t>Intervention effective % of fortified</t>
        </is>
      </c>
      <c r="F13" t="inlineStr">
        <is>
          <t>percentage</t>
        </is>
      </c>
      <c r="G13" t="inlineStr">
        <is>
          <t>%</t>
        </is>
      </c>
      <c r="H13" t="inlineStr">
        <is>
          <t>GF Apr-2026 workbook 'Vehicles - WRA' V10/Y10 (2035 compliance 90%); Kathy Banke email 9/9/2026: use 2035 targets</t>
        </is>
      </c>
      <c r="I13" s="41" t="n">
        <v>0.95</v>
      </c>
      <c r="J13" t="inlineStr">
        <is>
          <t>coverage = effectiveness = sqrt(0.90) ~ 0.95, product 0.9025 realizes the 2035 compliance target</t>
        </is>
      </c>
    </row>
    <row r="14">
      <c r="A14" t="inlineStr">
        <is>
          <t>Nigeria</t>
        </is>
      </c>
      <c r="B14" t="inlineStr">
        <is>
          <t>Rice</t>
        </is>
      </c>
      <c r="C14" t="inlineStr">
        <is>
          <t>Folate</t>
        </is>
      </c>
      <c r="D14" t="inlineStr">
        <is>
          <t>Intervention</t>
        </is>
      </c>
      <c r="E14" t="inlineStr">
        <is>
          <t>Intervention effective % of fortified</t>
        </is>
      </c>
      <c r="F14" t="inlineStr">
        <is>
          <t>percentage</t>
        </is>
      </c>
      <c r="G14" t="inlineStr">
        <is>
          <t>%</t>
        </is>
      </c>
      <c r="H14" t="inlineStr">
        <is>
          <t>GF Apr-2026 workbook 'Vehicles - WRA' V10/Y10 (2035 compliance 90%); Kathy Banke email 9/9/2026: use 2035 targets</t>
        </is>
      </c>
      <c r="I14" s="41" t="n">
        <v>0.95</v>
      </c>
      <c r="J14" t="inlineStr">
        <is>
          <t>coverage = effectiveness = sqrt(0.90) ~ 0.95, product 0.9025 realizes the 2035 compliance target</t>
        </is>
      </c>
    </row>
    <row r="15">
      <c r="A15" t="inlineStr">
        <is>
          <t>Ethiopia</t>
        </is>
      </c>
      <c r="B15" t="inlineStr">
        <is>
          <t>Salt</t>
        </is>
      </c>
      <c r="C15" t="inlineStr">
        <is>
          <t>Folate</t>
        </is>
      </c>
      <c r="D15" t="inlineStr">
        <is>
          <t>Intervention - 25% NRV</t>
        </is>
      </c>
      <c r="E15" t="inlineStr">
        <is>
          <t>Intervention effective % of fortified</t>
        </is>
      </c>
      <c r="F15" t="inlineStr">
        <is>
          <t>percentage</t>
        </is>
      </c>
      <c r="G15" t="inlineStr">
        <is>
          <t>%</t>
        </is>
      </c>
      <c r="H15" t="inlineStr">
        <is>
          <t>GF Apr-2026 workbook 'Vehicles - WRA' AZ27 (2035 FA compliance 90%); Kathy Banke email 9/9/2026: use 2035 targets</t>
        </is>
      </c>
      <c r="I15" s="41" t="n">
        <v>0.95</v>
      </c>
      <c r="J15" t="inlineStr">
        <is>
          <t>coverage = effectiveness = sqrt(0.90) ~ 0.95, product 0.9025 realizes the 2035 compliance target; applies to all three Ethiopia arms</t>
        </is>
      </c>
    </row>
    <row r="16">
      <c r="A16" t="inlineStr">
        <is>
          <t>Ethiopia</t>
        </is>
      </c>
      <c r="B16" t="inlineStr">
        <is>
          <t>Salt</t>
        </is>
      </c>
      <c r="C16" t="inlineStr">
        <is>
          <t>Folate</t>
        </is>
      </c>
      <c r="D16" t="inlineStr">
        <is>
          <t>Intervention - 100% NRV</t>
        </is>
      </c>
      <c r="E16" t="inlineStr">
        <is>
          <t>Intervention effective % of fortified</t>
        </is>
      </c>
      <c r="F16" t="inlineStr">
        <is>
          <t>percentage</t>
        </is>
      </c>
      <c r="G16" t="inlineStr">
        <is>
          <t>%</t>
        </is>
      </c>
      <c r="H16" t="inlineStr">
        <is>
          <t>GF Apr-2026 workbook 'Vehicles - WRA' AZ27 (2035 FA compliance 90%); Kathy Banke email 9/9/2026: use 2035 targets</t>
        </is>
      </c>
      <c r="I16" s="41" t="n">
        <v>0.95</v>
      </c>
      <c r="J16" t="inlineStr">
        <is>
          <t>coverage = effectiveness = sqrt(0.90) ~ 0.95, product 0.9025 realizes the 2035 compliance target; applies to all three Ethiopia arms</t>
        </is>
      </c>
    </row>
    <row r="17">
      <c r="A17" t="inlineStr">
        <is>
          <t>Ethiopia</t>
        </is>
      </c>
      <c r="B17" t="inlineStr">
        <is>
          <t>Salt</t>
        </is>
      </c>
      <c r="C17" t="inlineStr">
        <is>
          <t>Folate</t>
        </is>
      </c>
      <c r="D17" t="inlineStr">
        <is>
          <t>Intervention - 45 ppm</t>
        </is>
      </c>
      <c r="E17" t="inlineStr">
        <is>
          <t>Intervention effective % of fortified</t>
        </is>
      </c>
      <c r="F17" t="inlineStr">
        <is>
          <t>percentage</t>
        </is>
      </c>
      <c r="G17" t="inlineStr">
        <is>
          <t>%</t>
        </is>
      </c>
      <c r="H17" t="inlineStr">
        <is>
          <t>GF Apr-2026 workbook 'Vehicles - WRA' AZ27 (2035 FA compliance 90%); Kathy Banke email 9/9/2026: use 2035 targets</t>
        </is>
      </c>
      <c r="I17" s="41" t="n">
        <v>0.95</v>
      </c>
      <c r="J17" t="inlineStr">
        <is>
          <t>coverage = effectiveness = sqrt(0.90) ~ 0.95, product 0.9025 realizes the 2035 compliance target; applies to all three Ethiopia arms</t>
        </is>
      </c>
    </row>
    <row r="18" ht="43.5" customHeight="1">
      <c r="A18" t="inlineStr">
        <is>
          <t>India</t>
        </is>
      </c>
      <c r="B18" t="inlineStr">
        <is>
          <t>Rice</t>
        </is>
      </c>
      <c r="C18" t="inlineStr">
        <is>
          <t>Iron</t>
        </is>
      </c>
      <c r="D18" t="inlineStr">
        <is>
          <t>Intervention</t>
        </is>
      </c>
      <c r="E18" t="inlineStr">
        <is>
          <t>Intervention effective % of fortified</t>
        </is>
      </c>
      <c r="F18" t="inlineStr">
        <is>
          <t>percentage</t>
        </is>
      </c>
      <c r="G18" t="inlineStr">
        <is>
          <t>%</t>
        </is>
      </c>
      <c r="H18" t="inlineStr">
        <is>
          <t>GF Apr-2026 workbook 'Vehicles - WRA' V55/Y55 (2035 compliance 85%); Kathy Banke email 9/9/2026: use 2035 targets</t>
        </is>
      </c>
      <c r="I18" s="41" t="n">
        <v>0.92</v>
      </c>
      <c r="J18" s="5" t="inlineStr">
        <is>
          <t>coverage = effectiveness = sqrt(0.85) ~ 0.92, product 0.8464 realizes the 2035 compliance target</t>
        </is>
      </c>
    </row>
    <row r="19" ht="43.5" customHeight="1">
      <c r="A19" t="inlineStr">
        <is>
          <t>India</t>
        </is>
      </c>
      <c r="B19" t="inlineStr">
        <is>
          <t>Rice</t>
        </is>
      </c>
      <c r="C19" t="inlineStr">
        <is>
          <t>Folate</t>
        </is>
      </c>
      <c r="D19" t="inlineStr">
        <is>
          <t>Intervention</t>
        </is>
      </c>
      <c r="E19" t="inlineStr">
        <is>
          <t>Intervention effective % of fortified</t>
        </is>
      </c>
      <c r="F19" t="inlineStr">
        <is>
          <t>percentage</t>
        </is>
      </c>
      <c r="G19" t="inlineStr">
        <is>
          <t>%</t>
        </is>
      </c>
      <c r="H19" t="inlineStr">
        <is>
          <t>GF Apr-2026 workbook 'Vehicles - WRA' V55/Y55 (2035 compliance 85%); Kathy Banke email 9/9/2026: use 2035 targets</t>
        </is>
      </c>
      <c r="I19" s="41" t="n">
        <v>0.92</v>
      </c>
      <c r="J19" s="5" t="inlineStr">
        <is>
          <t>coverage = effectiveness = sqrt(0.85) ~ 0.92, product 0.8464 realizes the 2035 compliance target</t>
        </is>
      </c>
    </row>
    <row r="20" ht="29.25" customHeight="1">
      <c r="A20" t="inlineStr">
        <is>
          <t>Nigeria</t>
        </is>
      </c>
      <c r="B20" t="inlineStr">
        <is>
          <t>Bouillon</t>
        </is>
      </c>
      <c r="C20" t="inlineStr">
        <is>
          <t>Iron</t>
        </is>
      </c>
      <c r="D20" t="inlineStr">
        <is>
          <t>Intervention</t>
        </is>
      </c>
      <c r="E20" t="inlineStr">
        <is>
          <t>Vehicle fortification in intervention -- amount among fortified</t>
        </is>
      </c>
      <c r="F20" t="inlineStr">
        <is>
          <t>concentration</t>
        </is>
      </c>
      <c r="G20" t="inlineStr">
        <is>
          <t>mcg/g</t>
        </is>
      </c>
      <c r="H20" t="inlineStr">
        <is>
          <t>Andy Garcia email 7/26</t>
        </is>
      </c>
      <c r="I20" t="n">
        <v>1320</v>
      </c>
      <c r="J20" s="42" t="inlineStr">
        <is>
          <t>15% Nigeria-specific NRV per 2.5 grams; https://www.wolframalpha.com/input?i=15%25+of+22mg+per+2.5+grams+in+mcg%2Fg</t>
        </is>
      </c>
    </row>
    <row r="21" ht="29.25" customHeight="1">
      <c r="A21" t="inlineStr">
        <is>
          <t>Nigeria</t>
        </is>
      </c>
      <c r="B21" t="inlineStr">
        <is>
          <t>Bouillon</t>
        </is>
      </c>
      <c r="C21" t="inlineStr">
        <is>
          <t>Folate</t>
        </is>
      </c>
      <c r="D21" t="inlineStr">
        <is>
          <t>Intervention</t>
        </is>
      </c>
      <c r="E21" t="inlineStr">
        <is>
          <t>Vehicle fortification in intervention -- amount among fortified</t>
        </is>
      </c>
      <c r="F21" t="inlineStr">
        <is>
          <t>concentration</t>
        </is>
      </c>
      <c r="G21" t="inlineStr">
        <is>
          <t>mcg/g</t>
        </is>
      </c>
      <c r="H21" t="inlineStr">
        <is>
          <t>Andy Garcia email 7/26</t>
        </is>
      </c>
      <c r="I21" t="n">
        <v>24</v>
      </c>
      <c r="J21" s="42" t="inlineStr">
        <is>
          <t>15% Codex (60mcg) per 2.5 grams; https://www.wolframalpha.com/input?i=15%25+of+400mcg+per+2.5+grams+in+mcg%2Fg</t>
        </is>
      </c>
    </row>
    <row r="22">
      <c r="A22" t="inlineStr">
        <is>
          <t>Nigeria</t>
        </is>
      </c>
      <c r="B22" t="inlineStr">
        <is>
          <t>Rice</t>
        </is>
      </c>
      <c r="C22" t="inlineStr">
        <is>
          <t>Iron</t>
        </is>
      </c>
      <c r="D22" t="inlineStr">
        <is>
          <t>Intervention</t>
        </is>
      </c>
      <c r="E22" t="inlineStr">
        <is>
          <t>Vehicle fortification in intervention -- amount among fortified</t>
        </is>
      </c>
      <c r="F22" t="inlineStr">
        <is>
          <t>concentration</t>
        </is>
      </c>
      <c r="G22" t="inlineStr">
        <is>
          <t>mcg/g</t>
        </is>
      </c>
      <c r="H22" t="inlineStr">
        <is>
          <t>Jonathan Gorstein email 8/30</t>
        </is>
      </c>
      <c r="I22" t="n">
        <v>40</v>
      </c>
      <c r="J22" s="43" t="inlineStr">
        <is>
          <t>https://www.wolframalpha.com/input?i=4+mg%2F100g+in+mcg%2Fg</t>
        </is>
      </c>
    </row>
    <row r="23">
      <c r="A23" t="inlineStr">
        <is>
          <t>Nigeria</t>
        </is>
      </c>
      <c r="B23" t="inlineStr">
        <is>
          <t>Rice</t>
        </is>
      </c>
      <c r="C23" t="inlineStr">
        <is>
          <t>Folate</t>
        </is>
      </c>
      <c r="D23" t="inlineStr">
        <is>
          <t>Intervention</t>
        </is>
      </c>
      <c r="E23" t="inlineStr">
        <is>
          <t>Vehicle fortification in intervention -- amount among fortified</t>
        </is>
      </c>
      <c r="F23" t="inlineStr">
        <is>
          <t>concentration</t>
        </is>
      </c>
      <c r="G23" t="inlineStr">
        <is>
          <t>mcg/g</t>
        </is>
      </c>
      <c r="H23" t="inlineStr">
        <is>
          <t>Jonathan Gorstein email 8/30</t>
        </is>
      </c>
      <c r="I23" t="n">
        <v>1.69</v>
      </c>
      <c r="J23" s="43" t="inlineStr">
        <is>
          <t>https://www.wolframalpha.com/input?i=0.169+mg%2F100g+in+mcg%2Fg</t>
        </is>
      </c>
    </row>
    <row r="24">
      <c r="A24" t="inlineStr">
        <is>
          <t>Ethiopia</t>
        </is>
      </c>
      <c r="B24" t="inlineStr">
        <is>
          <t>Salt</t>
        </is>
      </c>
      <c r="C24" t="inlineStr">
        <is>
          <t>Folate</t>
        </is>
      </c>
      <c r="D24" t="inlineStr">
        <is>
          <t>Intervention - 25% NRV</t>
        </is>
      </c>
      <c r="E24" t="inlineStr">
        <is>
          <t>Vehicle fortification in intervention -- amount among fortified</t>
        </is>
      </c>
      <c r="F24" t="inlineStr">
        <is>
          <t>concentration</t>
        </is>
      </c>
      <c r="G24" t="inlineStr">
        <is>
          <t>mcg/g</t>
        </is>
      </c>
      <c r="H24" t="inlineStr">
        <is>
          <t>Andy Garcia email 7/26</t>
        </is>
      </c>
      <c r="I24" t="n">
        <v>14.08450704225352</v>
      </c>
      <c r="J24" t="inlineStr">
        <is>
          <t>25% Codex (100mcg) per 7.1 grams</t>
        </is>
      </c>
    </row>
    <row r="25" ht="15" customHeight="1">
      <c r="A25" t="inlineStr">
        <is>
          <t>Ethiopia</t>
        </is>
      </c>
      <c r="B25" t="inlineStr">
        <is>
          <t>Salt</t>
        </is>
      </c>
      <c r="C25" t="inlineStr">
        <is>
          <t>Folate</t>
        </is>
      </c>
      <c r="D25" t="inlineStr">
        <is>
          <t>Intervention - 100% NRV</t>
        </is>
      </c>
      <c r="E25" t="inlineStr">
        <is>
          <t>Vehicle fortification in intervention -- amount among fortified</t>
        </is>
      </c>
      <c r="F25" t="inlineStr">
        <is>
          <t>concentration</t>
        </is>
      </c>
      <c r="G25" t="inlineStr">
        <is>
          <t>mcg/g</t>
        </is>
      </c>
      <c r="H25" s="44" t="inlineStr">
        <is>
          <t>Andy Garcia email 7/26</t>
        </is>
      </c>
      <c r="I25" t="n">
        <v>56.33802816901409</v>
      </c>
      <c r="J25" s="44" t="inlineStr">
        <is>
          <t>100% Codex (400mcg) per 7.1 grams</t>
        </is>
      </c>
    </row>
    <row r="26">
      <c r="A26" t="inlineStr">
        <is>
          <t>Ethiopia</t>
        </is>
      </c>
      <c r="B26" t="inlineStr">
        <is>
          <t>Salt</t>
        </is>
      </c>
      <c r="C26" t="inlineStr">
        <is>
          <t>Folate</t>
        </is>
      </c>
      <c r="D26" t="inlineStr">
        <is>
          <t>Intervention - 45 ppm</t>
        </is>
      </c>
      <c r="E26" t="inlineStr">
        <is>
          <t>Vehicle fortification in intervention -- amount among fortified</t>
        </is>
      </c>
      <c r="F26" t="inlineStr">
        <is>
          <t>concentration</t>
        </is>
      </c>
      <c r="G26" t="inlineStr">
        <is>
          <t>mcg/g</t>
        </is>
      </c>
      <c r="H26" t="inlineStr">
        <is>
          <t>20260416_Input data to IHME models.xlsx spreadsheet from Jonathan Gorstein, attached to Email 4/16/2026</t>
        </is>
      </c>
      <c r="I26" t="n">
        <v>45</v>
      </c>
      <c r="J26" t="inlineStr">
        <is>
          <t>45 ppm = 45 µg/g</t>
        </is>
      </c>
    </row>
    <row r="27">
      <c r="A27" t="inlineStr">
        <is>
          <t>India</t>
        </is>
      </c>
      <c r="B27" t="inlineStr">
        <is>
          <t>Rice</t>
        </is>
      </c>
      <c r="C27" t="inlineStr">
        <is>
          <t>Iron</t>
        </is>
      </c>
      <c r="D27" t="inlineStr">
        <is>
          <t>Intervention</t>
        </is>
      </c>
      <c r="E27" t="inlineStr">
        <is>
          <t>Vehicle fortification in intervention -- amount among fortified</t>
        </is>
      </c>
      <c r="F27" t="inlineStr">
        <is>
          <t>concentration</t>
        </is>
      </c>
      <c r="G27" t="inlineStr">
        <is>
          <t>mcg/g</t>
        </is>
      </c>
      <c r="H27" t="inlineStr">
        <is>
          <t>FSSAI</t>
        </is>
      </c>
      <c r="I27" t="n">
        <v>42.5</v>
      </c>
      <c r="J27" t="inlineStr">
        <is>
          <t>Same as baseline, PDS rice; see county-vehicle-fort extraction</t>
        </is>
      </c>
    </row>
    <row r="28">
      <c r="A28" t="inlineStr">
        <is>
          <t>India</t>
        </is>
      </c>
      <c r="B28" t="inlineStr">
        <is>
          <t>Rice</t>
        </is>
      </c>
      <c r="C28" t="inlineStr">
        <is>
          <t>Folate</t>
        </is>
      </c>
      <c r="D28" t="inlineStr">
        <is>
          <t>Intervention</t>
        </is>
      </c>
      <c r="E28" t="inlineStr">
        <is>
          <t>Vehicle fortification in intervention -- amount among fortified</t>
        </is>
      </c>
      <c r="F28" t="inlineStr">
        <is>
          <t>concentration</t>
        </is>
      </c>
      <c r="G28" t="inlineStr">
        <is>
          <t>mcg/g</t>
        </is>
      </c>
      <c r="H28" s="43" t="inlineStr">
        <is>
          <t>https://nyaspubs.onlinelibrary.wiley.com/doi/full/10.1111/nyas.12478</t>
        </is>
      </c>
      <c r="I28" t="n">
        <v>1.3</v>
      </c>
      <c r="J28" s="43" t="inlineStr">
        <is>
          <t>https://www.wolframalpha.com/input?i=0.13+mg%2F100g+in+mcg%2Fg</t>
        </is>
      </c>
    </row>
    <row r="29">
      <c r="A29" t="inlineStr">
        <is>
          <t>Nigeria</t>
        </is>
      </c>
      <c r="B29" t="inlineStr">
        <is>
          <t>Salt</t>
        </is>
      </c>
      <c r="C29" t="inlineStr">
        <is>
          <t>Folate</t>
        </is>
      </c>
      <c r="D29" t="inlineStr">
        <is>
          <t>Intervention - 25% NRV</t>
        </is>
      </c>
      <c r="E29" t="inlineStr">
        <is>
          <t>Intervention coverage % of fortifiable</t>
        </is>
      </c>
      <c r="F29" t="inlineStr">
        <is>
          <t>percentage</t>
        </is>
      </c>
      <c r="G29" t="inlineStr">
        <is>
          <t>%</t>
        </is>
      </c>
      <c r="H29" t="inlineStr">
        <is>
          <t>GAIN compliance targets (GF Apr-2026 workbook, 'Ref' tab): Nigeria salt new compliance 90%</t>
        </is>
      </c>
      <c r="I29" t="n">
        <v>0.95</v>
      </c>
      <c r="J29" t="inlineStr">
        <is>
          <t>GF Apr-2026 FA-compliance cells for Nigeria salt are blank on the current ('Updated 22 Jan 2026') vehicle tabs (iodine cells are xx); the GAIN compliance-targets tab (Nigeria salt: new compliance 90%) is the proxy, pending GF confirmation. Encoded as coverage = effectiveness = sqrt(0.90) ~ 0.95, product 0.9025 realizes the 90% target -- the 2035 equal-split convention adopted 2026-09-09, matching Ethiopia salt. Alternative pending the same confirmation: Alem's projections ('Notes for Discussion' tab) recommend Nigeria salt compliance 100% for both 2030 and 2035.</t>
        </is>
      </c>
    </row>
    <row r="30">
      <c r="A30" t="inlineStr">
        <is>
          <t>Nigeria</t>
        </is>
      </c>
      <c r="B30" t="inlineStr">
        <is>
          <t>Salt</t>
        </is>
      </c>
      <c r="C30" t="inlineStr">
        <is>
          <t>Folate</t>
        </is>
      </c>
      <c r="D30" t="inlineStr">
        <is>
          <t>Intervention - 25% NRV</t>
        </is>
      </c>
      <c r="E30" t="inlineStr">
        <is>
          <t>Intervention effective % of fortified</t>
        </is>
      </c>
      <c r="F30" t="inlineStr">
        <is>
          <t>percentage</t>
        </is>
      </c>
      <c r="G30" t="inlineStr">
        <is>
          <t>%</t>
        </is>
      </c>
      <c r="H30" t="inlineStr">
        <is>
          <t>GAIN compliance targets (GF Apr-2026 workbook, 'Ref' tab): Nigeria salt new compliance 90%</t>
        </is>
      </c>
      <c r="I30" t="n">
        <v>0.95</v>
      </c>
      <c r="J30" t="inlineStr">
        <is>
          <t>GF Apr-2026 FA-compliance cells for Nigeria salt are blank on the current ('Updated 22 Jan 2026') vehicle tabs (iodine cells are xx); the GAIN compliance-targets tab (Nigeria salt: new compliance 90%) is the proxy, pending GF confirmation. Encoded as coverage = effectiveness = sqrt(0.90) ~ 0.95, product 0.9025 realizes the 90% target -- the 2035 equal-split convention adopted 2026-09-09, matching Ethiopia salt. Alternative pending the same confirmation: Alem's projections ('Notes for Discussion' tab) recommend Nigeria salt compliance 100% for both 2030 and 2035.</t>
        </is>
      </c>
    </row>
    <row r="31">
      <c r="A31" t="inlineStr">
        <is>
          <t>Nigeria</t>
        </is>
      </c>
      <c r="B31" t="inlineStr">
        <is>
          <t>Salt</t>
        </is>
      </c>
      <c r="C31" t="inlineStr">
        <is>
          <t>Folate</t>
        </is>
      </c>
      <c r="D31" t="inlineStr">
        <is>
          <t>Intervention - 25% NRV</t>
        </is>
      </c>
      <c r="E31" t="inlineStr">
        <is>
          <t>Vehicle fortification in intervention -- amount among fortified</t>
        </is>
      </c>
      <c r="F31" t="inlineStr">
        <is>
          <t>concentration</t>
        </is>
      </c>
      <c r="G31" t="inlineStr">
        <is>
          <t>mcg/g</t>
        </is>
      </c>
      <c r="H31" t="inlineStr">
        <is>
          <t>Codex NRV; convention mirrors Ethiopia ('NRV per average intake')</t>
        </is>
      </c>
      <c r="I31" t="n">
        <v>25.64102564102564</v>
      </c>
      <c r="J31" t="inlineStr">
        <is>
          <t>25% of the Codex 400 mcg NRV per 3.9 g/day mean WRA salt intake. Convention pending GF confirmation of the Nigerian salt FA standard (scenario grid lists FA @ 25% and @ 100% NRV as net-new #5/#6).</t>
        </is>
      </c>
    </row>
    <row r="32">
      <c r="A32" t="inlineStr">
        <is>
          <t>Nigeria</t>
        </is>
      </c>
      <c r="B32" t="inlineStr">
        <is>
          <t>Salt</t>
        </is>
      </c>
      <c r="C32" t="inlineStr">
        <is>
          <t>Folate</t>
        </is>
      </c>
      <c r="D32" t="inlineStr">
        <is>
          <t>Intervention - 100% NRV</t>
        </is>
      </c>
      <c r="E32" t="inlineStr">
        <is>
          <t>Intervention coverage % of fortifiable</t>
        </is>
      </c>
      <c r="F32" t="inlineStr">
        <is>
          <t>percentage</t>
        </is>
      </c>
      <c r="G32" t="inlineStr">
        <is>
          <t>%</t>
        </is>
      </c>
      <c r="H32" t="inlineStr">
        <is>
          <t>GAIN compliance targets (GF Apr-2026 workbook, 'Ref' tab): Nigeria salt new compliance 90%</t>
        </is>
      </c>
      <c r="I32" t="n">
        <v>0.95</v>
      </c>
      <c r="J32" t="inlineStr">
        <is>
          <t>GF Apr-2026 FA-compliance cells for Nigeria salt are blank on the current ('Updated 22 Jan 2026') vehicle tabs (iodine cells are xx); the GAIN compliance-targets tab (Nigeria salt: new compliance 90%) is the proxy, pending GF confirmation. Encoded as coverage = effectiveness = sqrt(0.90) ~ 0.95, product 0.9025 realizes the 90% target -- the 2035 equal-split convention adopted 2026-09-09, matching Ethiopia salt. Alternative pending the same confirmation: Alem's projections ('Notes for Discussion' tab) recommend Nigeria salt compliance 100% for both 2030 and 2035.</t>
        </is>
      </c>
    </row>
    <row r="33">
      <c r="A33" t="inlineStr">
        <is>
          <t>Nigeria</t>
        </is>
      </c>
      <c r="B33" t="inlineStr">
        <is>
          <t>Salt</t>
        </is>
      </c>
      <c r="C33" t="inlineStr">
        <is>
          <t>Folate</t>
        </is>
      </c>
      <c r="D33" t="inlineStr">
        <is>
          <t>Intervention - 100% NRV</t>
        </is>
      </c>
      <c r="E33" t="inlineStr">
        <is>
          <t>Intervention effective % of fortified</t>
        </is>
      </c>
      <c r="F33" t="inlineStr">
        <is>
          <t>percentage</t>
        </is>
      </c>
      <c r="G33" t="inlineStr">
        <is>
          <t>%</t>
        </is>
      </c>
      <c r="H33" t="inlineStr">
        <is>
          <t>GAIN compliance targets (GF Apr-2026 workbook, 'Ref' tab): Nigeria salt new compliance 90%</t>
        </is>
      </c>
      <c r="I33" t="n">
        <v>0.95</v>
      </c>
      <c r="J33" t="inlineStr">
        <is>
          <t>GF Apr-2026 FA-compliance cells for Nigeria salt are blank on the current ('Updated 22 Jan 2026') vehicle tabs (iodine cells are xx); the GAIN compliance-targets tab (Nigeria salt: new compliance 90%) is the proxy, pending GF confirmation. Encoded as coverage = effectiveness = sqrt(0.90) ~ 0.95, product 0.9025 realizes the 90% target -- the 2035 equal-split convention adopted 2026-09-09, matching Ethiopia salt. Alternative pending the same confirmation: Alem's projections ('Notes for Discussion' tab) recommend Nigeria salt compliance 100% for both 2030 and 2035.</t>
        </is>
      </c>
    </row>
    <row r="34">
      <c r="A34" t="inlineStr">
        <is>
          <t>Nigeria</t>
        </is>
      </c>
      <c r="B34" t="inlineStr">
        <is>
          <t>Salt</t>
        </is>
      </c>
      <c r="C34" t="inlineStr">
        <is>
          <t>Folate</t>
        </is>
      </c>
      <c r="D34" t="inlineStr">
        <is>
          <t>Intervention - 100% NRV</t>
        </is>
      </c>
      <c r="E34" t="inlineStr">
        <is>
          <t>Vehicle fortification in intervention -- amount among fortified</t>
        </is>
      </c>
      <c r="F34" t="inlineStr">
        <is>
          <t>concentration</t>
        </is>
      </c>
      <c r="G34" t="inlineStr">
        <is>
          <t>mcg/g</t>
        </is>
      </c>
      <c r="H34" t="inlineStr">
        <is>
          <t>Codex NRV; convention mirrors Ethiopia ('NRV per average intake')</t>
        </is>
      </c>
      <c r="I34" t="n">
        <v>102.5641025641026</v>
      </c>
      <c r="J34" t="inlineStr">
        <is>
          <t>100% of the Codex 400 mcg NRV per 3.9 g/day mean WRA salt intake. Convention pending GF confirmation of the Nigerian salt FA standard (scenario grid lists FA @ 25% and @ 100% NRV as net-new #5/#6).</t>
        </is>
      </c>
    </row>
    <row r="35" ht="15" customHeight="1">
      <c r="A35" t="inlineStr">
        <is>
          <t>Nigeria</t>
        </is>
      </c>
      <c r="B35" t="inlineStr">
        <is>
          <t>Wheat</t>
        </is>
      </c>
      <c r="C35" t="inlineStr">
        <is>
          <t>Iron</t>
        </is>
      </c>
      <c r="D35" t="inlineStr">
        <is>
          <t>Intervention</t>
        </is>
      </c>
      <c r="E35" t="inlineStr">
        <is>
          <t>Intervention coverage % of fortifiable</t>
        </is>
      </c>
      <c r="F35" t="inlineStr">
        <is>
          <t>percentage</t>
        </is>
      </c>
      <c r="G35" t="inlineStr">
        <is>
          <t>%</t>
        </is>
      </c>
      <c r="H35" t="inlineStr">
        <is>
          <t>DUMMY (MIC-7549)</t>
        </is>
      </c>
      <c s="41" r="I35" t="n">
        <v>0.95</v>
      </c>
      <c r="J35" t="inlineStr">
        <is>
          <t>DUMMY PLACEHOLDER (MIC-7549): value copied from the corresponding Rice row. Replace with real wheat data.</t>
        </is>
      </c>
    </row>
    <row r="36" ht="15" customHeight="1">
      <c r="A36" t="inlineStr">
        <is>
          <t>Nigeria</t>
        </is>
      </c>
      <c r="B36" t="inlineStr">
        <is>
          <t>Wheat</t>
        </is>
      </c>
      <c r="C36" t="inlineStr">
        <is>
          <t>Iron</t>
        </is>
      </c>
      <c r="D36" t="inlineStr">
        <is>
          <t>Intervention</t>
        </is>
      </c>
      <c r="E36" t="inlineStr">
        <is>
          <t>Intervention effective % of fortified</t>
        </is>
      </c>
      <c r="F36" t="inlineStr">
        <is>
          <t>percentage</t>
        </is>
      </c>
      <c r="G36" t="inlineStr">
        <is>
          <t>%</t>
        </is>
      </c>
      <c r="H36" t="inlineStr">
        <is>
          <t>DUMMY (MIC-7549)</t>
        </is>
      </c>
      <c s="41" r="I36" t="n">
        <v>0.95</v>
      </c>
      <c r="J36" t="inlineStr">
        <is>
          <t>DUMMY PLACEHOLDER (MIC-7549): value copied from the corresponding Rice row. Replace with real wheat data.</t>
        </is>
      </c>
    </row>
    <row r="37">
      <c r="A37" t="inlineStr">
        <is>
          <t>Nigeria</t>
        </is>
      </c>
      <c r="B37" t="inlineStr">
        <is>
          <t>Wheat</t>
        </is>
      </c>
      <c r="C37" t="inlineStr">
        <is>
          <t>Iron</t>
        </is>
      </c>
      <c r="D37" t="inlineStr">
        <is>
          <t>Intervention</t>
        </is>
      </c>
      <c r="E37" t="inlineStr">
        <is>
          <t>Vehicle fortification in intervention -- amount among fortified</t>
        </is>
      </c>
      <c r="F37" t="inlineStr">
        <is>
          <t>concentration</t>
        </is>
      </c>
      <c r="G37" t="inlineStr">
        <is>
          <t>mcg/g</t>
        </is>
      </c>
      <c r="H37" t="inlineStr">
        <is>
          <t>DUMMY (MIC-7549)</t>
        </is>
      </c>
      <c r="I37" t="n">
        <v>40</v>
      </c>
      <c s="43" r="J37" t="inlineStr">
        <is>
          <t>DUMMY PLACEHOLDER (MIC-7549): value copied from the corresponding Rice row. Replace with real wheat data.</t>
        </is>
      </c>
    </row>
  </sheetData>
  <dataValidations count="4">
    <dataValidation sqref="A1:B1" showDropDown="0" showInputMessage="1" showErrorMessage="1" allowBlank="1"/>
    <dataValidation sqref="A2:A1048576" showDropDown="0" showInputMessage="1" showErrorMessage="1" allowBlank="1" type="list">
      <formula1>"Nigeria,Ethiopia,India"</formula1>
    </dataValidation>
    <dataValidation sqref="C2:C1048576" showDropDown="0" showInputMessage="1" showErrorMessage="1" allowBlank="1" type="list">
      <formula1>"Iron,Folate"</formula1>
    </dataValidation>
    <dataValidation sqref="B2:B1048576" showDropDown="0" showInputMessage="1" showErrorMessage="1" allowBlank="1" type="list">
      <formula1>"Bouillon,Salt,Rice"</formula1>
    </dataValidation>
  </dataValidations>
  <hyperlinks>
    <hyperlink xmlns:r="http://schemas.openxmlformats.org/officeDocument/2006/relationships" ref="J20" r:id="rId1"/>
    <hyperlink xmlns:r="http://schemas.openxmlformats.org/officeDocument/2006/relationships" ref="J21" r:id="rId2"/>
    <hyperlink xmlns:r="http://schemas.openxmlformats.org/officeDocument/2006/relationships" ref="H25" r:id="rId3"/>
    <hyperlink xmlns:r="http://schemas.openxmlformats.org/officeDocument/2006/relationships" ref="J25" r:id="rId4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B2" sqref="B2"/>
    </sheetView>
  </sheetViews>
  <sheetFormatPr baseColWidth="8" defaultRowHeight="14.45"/>
  <cols>
    <col width="40.5703125" bestFit="1" customWidth="1" min="2" max="2"/>
    <col width="10.42578125" bestFit="1" customWidth="1" min="5" max="5"/>
    <col width="14.140625" bestFit="1" customWidth="1" min="6" max="6"/>
  </cols>
  <sheetData>
    <row r="1">
      <c r="A1" s="1" t="inlineStr">
        <is>
          <t>Name</t>
        </is>
      </c>
      <c r="B1" s="1" t="inlineStr">
        <is>
          <t>Full Title</t>
        </is>
      </c>
      <c r="C1" s="1" t="inlineStr">
        <is>
          <t>Link</t>
        </is>
      </c>
      <c r="D1" s="1" t="inlineStr">
        <is>
          <t>Authors</t>
        </is>
      </c>
      <c r="E1" s="1" t="inlineStr">
        <is>
          <t>Year</t>
        </is>
      </c>
      <c r="F1" s="1" t="inlineStr">
        <is>
          <t>In Sharepoint?</t>
        </is>
      </c>
    </row>
    <row r="2" ht="43.5" customHeight="1">
      <c r="A2" t="inlineStr">
        <is>
          <t>NFCMS</t>
        </is>
      </c>
      <c r="B2" s="5" t="inlineStr">
        <is>
          <t>National Food Consumption
and Micronutrient Survey
2021</t>
        </is>
      </c>
      <c r="C2" s="6" t="inlineStr">
        <is>
          <t>https://www.unicef.org/nigeria/media/9271/file/%20National%20Food%20Consumption%20and%20Micronutrient%20Survey%20(2021).pdf</t>
        </is>
      </c>
      <c r="D2" t="inlineStr">
        <is>
          <t>UNICEF</t>
        </is>
      </c>
      <c r="E2" t="n">
        <v>2021</v>
      </c>
    </row>
    <row r="3">
      <c r="A3" t="inlineStr">
        <is>
          <t>HCES</t>
        </is>
      </c>
      <c r="B3" t="inlineStr">
        <is>
          <t>Household Consumption Expenditure Survey</t>
        </is>
      </c>
    </row>
    <row r="4">
      <c r="A4" t="inlineStr">
        <is>
          <t>DHS</t>
        </is>
      </c>
      <c r="B4" t="inlineStr">
        <is>
          <t>Demographic and Health Surveys</t>
        </is>
      </c>
      <c r="C4" s="6" t="inlineStr">
        <is>
          <t>https://www.dhsprogram.com/pubs/pdf/DHSG4/Recode7_DHS_10Sep2018_DHSG4.pdf</t>
        </is>
      </c>
      <c r="D4" t="inlineStr">
        <is>
          <t>USAID</t>
        </is>
      </c>
      <c r="E4" s="16" t="inlineStr">
        <is>
          <t>2016; 2018</t>
        </is>
      </c>
      <c r="F4" t="inlineStr">
        <is>
          <t>J Drive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4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2024-07-16T18:29:07Z</dcterms:created>
  <dcterms:modified xsi:type="dcterms:W3CDTF">2026-09-23T17:02:39Z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0x010100447C4EFE3BCDC24F9D43FB479AF7E97A</vt:lpwstr>
  </property>
  <property name="MediaServiceImageTags" fmtid="{D5CDD505-2E9C-101B-9397-08002B2CF9AE}" pid="3">
    <vt:lpwstr/>
  </property>
</Properties>
</file>