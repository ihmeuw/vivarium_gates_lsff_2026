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3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/>
      </c>
      <c r="C5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/>
      </c>
      <c r="D5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/>
      </c>
      <c r="E5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/>
      </c>
      <c r="F5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/>
      </c>
      <c r="G5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/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/>
      </c>
      <c r="C6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/>
      </c>
      <c r="D6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/>
      </c>
      <c r="E6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/>
      </c>
      <c r="F6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/>
      </c>
      <c r="G6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/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/>
      </c>
      <c r="C7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/>
      </c>
      <c r="D7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/>
      </c>
      <c r="E7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/>
      </c>
      <c r="F7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/>
      </c>
      <c r="G7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/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/>
      </c>
      <c r="C8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/>
      </c>
      <c r="D8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/>
      </c>
      <c r="E8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/>
      </c>
      <c r="F8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/>
      </c>
      <c r="G8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/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/>
      </c>
      <c r="C9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/>
      </c>
      <c r="D9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/>
      </c>
      <c r="E9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/>
      </c>
      <c r="F9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/>
      </c>
      <c r="G9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/>
      </c>
      <c r="H9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/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tabSelected="1" workbookViewId="0">
      <pane ySplit="1" topLeftCell="A72" activePane="bottomLeft" state="frozen"/>
      <selection pane="bottomLeft" activeCell="J88" sqref="J88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2.2000000000000002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2.2000000000000002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0.98099999999999998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0.96299999999999997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0.98099999999999998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0.99199999999999999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0.98599999999999999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0.98599999999999999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4.9000000000000004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4.5999999999999996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3.0370370370370368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3.6296296296296298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3.1111111111111112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2.9629629629629624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2.4444444444444446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1.7037037037037035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0.98799999999999999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0.96299999999999997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0.98099999999999998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0.99199999999999999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0.98599999999999999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0.98599999999999999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4.0999999999999996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4.9000000000000004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4.5999999999999996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/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/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/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3.6296296296296298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3.1111111111111112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2.9629629629629624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2.4444444444444446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1.7037037037037035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0.96573208722741399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0.98084677419354838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0.98884381338742389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0.98377281947261663</v>
      </c>
    </row>
    <row r="65" ht="57.7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2026</v>
      </c>
      <c r="I65" t="inlineStr">
        <is>
          <t>GF 'Input data to IHME models' workbook (2026-04-16), Vehicles - WRA tab</t>
        </is>
      </c>
      <c r="J65" s="21" t="n">
        <v>0.513</v>
      </c>
      <c r="M65" s="5" t="inlineStr">
        <is>
          <t>Industry consolidation, applied to non-government-distributed rice in prep_extracted (government/PDS rice is fortifiable by assumption). History: JG sent 51.3% on 7/19 (M4N Database), but on 8/15 the team agreed to treat all open-market rice as unfortifiable (value 0, PDS-only reach). The GF Apr-2026 workbook now supplies 51.3% as an input to our models, superseding that agreement. NOTE: the workbook's preschool tab says 45% for the same quantity -- inconsistency flagged to GF; using the WRA-tab 51.3%.</t>
        </is>
      </c>
    </row>
    <row r="66" ht="15" customHeight="1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H66" t="n">
        <v>2026</v>
      </c>
      <c r="I66" t="inlineStr">
        <is>
          <t>GF 'Input data to IHME models' workbook (2026-04-16), Vehicles - WRA tab</t>
        </is>
      </c>
      <c r="J66" s="7" t="n">
        <v>0.74</v>
      </c>
      <c r="M66" s="5" t="inlineStr">
        <is>
          <t>Industry consolidation 74% (WRA and preschool tabs agree). Supersedes the 0.3 assumption from Jonathan Gorstein email 8/30.</t>
        </is>
      </c>
    </row>
    <row r="67" ht="43.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/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3.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/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3.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/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3.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/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3.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/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3.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/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2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0.53600000000000003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0.33600000000000002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0.44800000000000001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0.54600000000000004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0.63300000000000001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0.67600000000000005</v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/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/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/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/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/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/>
      </c>
    </row>
    <row r="85" ht="43.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/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3.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/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3.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/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11.491200000000001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23.475200000000001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33.142200000000003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46.652100000000004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53.742000000000004</v>
      </c>
    </row>
    <row r="93" ht="29.2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/>
      </c>
      <c r="M93" s="5" t="inlineStr">
        <is>
          <t>Very rough estimate using SD = IQR / 1.35 (normality assumption), IQR reported in table 173</t>
        </is>
      </c>
    </row>
    <row r="94" ht="29.2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/>
      </c>
      <c r="M94" s="5" t="inlineStr">
        <is>
          <t>Very rough estimate using SD = IQR / 1.35 (normality assumption), IQR reported in table 173</t>
        </is>
      </c>
    </row>
    <row r="95" ht="29.2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/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/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/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/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/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/>
      </c>
    </row>
    <row r="101" ht="29.2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0.53600000000000003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0.33600000000000002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0.44800000000000001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0.54600000000000004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0.63300000000000001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0.67600000000000005</v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/>
      </c>
      <c r="I6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/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/>
      </c>
      <c r="I7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/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/>
      </c>
      <c r="O7" t="inlineStr">
        <is>
          <t>N/A</t>
        </is>
      </c>
      <c r="P7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/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/>
      </c>
      <c r="I8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/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/>
      </c>
      <c r="O8" t="inlineStr">
        <is>
          <t>N/A</t>
        </is>
      </c>
      <c r="P8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/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L23" sqref="L23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0.61875637104994907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0.51921079958463134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0.58409785932721714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0.63810483870967738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0.66937119675456391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0.69979716024340777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>
        <f>IF(COUNTIFS('Country Extraction'!$A$2:$A$980, B$1,  'Country Extraction'!$B$2:$B$980, "All",  'Country Extraction'!$C$2:$C$980, $A5) = 0, "Missing", "Complete")</f>
        <v/>
      </c>
      <c r="C5">
        <f>IF(COUNTIFS('Country Extraction'!$A$1:$A$995, D$1, 'Country Extraction'!$B$1:$B$995, "&lt;&gt;All", 'Country Extraction'!$C$1:$C$995, $A5, 'Country Extraction'!$H$1:$H$995, "&lt;&gt;") &lt; 5, "Missing", "Complete")</f>
        <v/>
      </c>
      <c r="D5">
        <f>IF(COUNTIFS('Country Extraction'!$A$2:$A$980, D$1,  'Country Extraction'!$B$2:$B$980, "All",  'Country Extraction'!$C$2:$C$980, $A5) = 0, "Missing", "Complete")</f>
        <v/>
      </c>
      <c r="E5">
        <f>IF(COUNTIFS('Country Extraction'!$A$1:$A$995, F$1, 'Country Extraction'!$B$1:$B$995, "&lt;&gt;All", 'Country Extraction'!$C$1:$C$995, $A5, 'Country Extraction'!$H$1:$H$995, "&lt;&gt;") &lt; 5, "Missing", "Complete")</f>
        <v/>
      </c>
      <c r="F5">
        <f>IF(COUNTIFS('Country Extraction'!$A$2:$A$980, F$1,  'Country Extraction'!$B$2:$B$980, "All",  'Country Extraction'!$C$2:$C$980, $A5) = 0, "Missing", "Complete")</f>
        <v/>
      </c>
      <c r="G5">
        <f>IF(COUNTIFS('Country Extraction'!$A$1:$A$995, H$1, 'Country Extraction'!$B$1:$B$995, "&lt;&gt;All", 'Country Extraction'!$C$1:$C$995, $A5, 'Country Extraction'!$H$1:$H$995, "&lt;&gt;") &lt; 5, "Missing", "Complete")</f>
        <v/>
      </c>
    </row>
    <row r="6">
      <c r="A6" t="inlineStr">
        <is>
          <t>RBC folate levels at baseline</t>
        </is>
      </c>
      <c r="B6">
        <f>IF(COUNTIFS('Country Extraction'!$A$2:$A$980, B$1,  'Country Extraction'!$B$2:$B$980, "All",  'Country Extraction'!$C$2:$C$980, $A6) = 0, "Missing", "Complete")</f>
        <v/>
      </c>
      <c r="C6">
        <f>IF(COUNTIFS('Country Extraction'!$A$1:$A$995, D$1, 'Country Extraction'!$B$1:$B$995, "&lt;&gt;All", 'Country Extraction'!$C$1:$C$995, $A6, 'Country Extraction'!$H$1:$H$995, "&lt;&gt;") &lt; 5, "Missing", "Complete")</f>
        <v/>
      </c>
      <c r="D6">
        <f>IF(COUNTIFS('Country Extraction'!$A$2:$A$980, D$1,  'Country Extraction'!$B$2:$B$980, "All",  'Country Extraction'!$C$2:$C$980, $A6) = 0, "Missing", "Complete")</f>
        <v/>
      </c>
      <c r="E6">
        <f>IF(COUNTIFS('Country Extraction'!$A$1:$A$995, F$1, 'Country Extraction'!$B$1:$B$995, "&lt;&gt;All", 'Country Extraction'!$C$1:$C$995, $A6, 'Country Extraction'!$H$1:$H$995, "&lt;&gt;") &lt; 5, "Missing", "Complete")</f>
        <v/>
      </c>
      <c r="F6">
        <f>IF(COUNTIFS('Country Extraction'!$A$2:$A$980, F$1,  'Country Extraction'!$B$2:$B$980, "All",  'Country Extraction'!$C$2:$C$980, $A6) = 0, "Missing", "Complete")</f>
        <v/>
      </c>
      <c r="G6">
        <f>IF(COUNTIFS('Country Extraction'!$A$1:$A$995, H$1, 'Country Extraction'!$B$1:$B$995, "&lt;&gt;All", 'Country Extraction'!$C$1:$C$995, $A6, 'Country Extraction'!$H$1:$H$995, "&lt;&gt;") &lt; 5, "Missing", "Complete")</f>
        <v/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>
        <f>IF(COUNTIFS('Country Extraction'!$A$1:$A$995, F$1, 'Country Extraction'!$B$1:$B$995, "&lt;&gt;All", 'Country Extraction'!$C$1:$C$995, $A10, 'Country Extraction'!$H$1:$H$995, "&lt;&gt;") &lt; 5, "Missing", "Complete")</f>
        <v/>
      </c>
      <c r="F10" t="inlineStr">
        <is>
          <t>GBD</t>
        </is>
      </c>
      <c r="G10">
        <f>IF(COUNTIFS('Country Extraction'!$A$1:$A$995, H$1, 'Country Extraction'!$B$1:$B$995, "&lt;&gt;All", 'Country Extraction'!$C$1:$C$995, $A10, 'Country Extraction'!$H$1:$H$995, "&lt;&gt;") &lt; 5, "Missing", "Complete")</f>
        <v/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>
        <f>IF(COUNTIFS('Country Extraction'!$A$1:$A$995, F$1, 'Country Extraction'!$B$1:$B$995, "&lt;&gt;All", 'Country Extraction'!$C$1:$C$995, $A11, 'Country Extraction'!$H$1:$H$995, "&lt;&gt;") &lt; 5, "Missing", "Complete")</f>
        <v/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>
        <f>IF(COUNTIFS('Country Extraction'!$A$1:$A$995, D$1, 'Country Extraction'!$B$1:$B$995, "&lt;&gt;All", 'Country Extraction'!$C$1:$C$995, $A15, 'Country Extraction'!$H$1:$H$995, "&lt;&gt;") &lt; 5, "Missing", "Complete")</f>
        <v/>
      </c>
      <c r="D15" t="inlineStr">
        <is>
          <t>GBD</t>
        </is>
      </c>
      <c r="E15">
        <f>IF(COUNTIFS('Country Extraction'!$A$1:$A$995, F$1, 'Country Extraction'!$B$1:$B$995, "&lt;&gt;All", 'Country Extraction'!$C$1:$C$995, $A15, 'Country Extraction'!$H$1:$H$995, "&lt;&gt;") &lt; 5, "Missing", "Complete")</f>
        <v/>
      </c>
      <c r="F15" t="inlineStr">
        <is>
          <t>GBD</t>
        </is>
      </c>
      <c r="G15">
        <f>IF(COUNTIFS('Country Extraction'!$A$1:$A$995, H$1, 'Country Extraction'!$B$1:$B$995, "&lt;&gt;All", 'Country Extraction'!$C$1:$C$995, $A15, 'Country Extraction'!$H$1:$H$995, "&lt;&gt;") &lt; 5, "Missing", "Complete")</f>
        <v/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>
        <f>IF(COUNTIFS('Vehicle Extraction'!$A$2:$A$904, C$1,  'Vehicle Extraction'!$B$2:$B$904, $A3) = 0, "Missing", "Complete")</f>
        <v/>
      </c>
      <c r="D3">
        <f>IF(COUNTIFS('Vehicle Extraction'!$A$2:$A$904, D$1,  'Vehicle Extraction'!$B$2:$B$904, $A3) = 0, "Missing", "Complete")</f>
        <v/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>
        <f>IF(COUNTIFS('Vehicle Extraction'!$A$2:$A$904, C$1,  'Vehicle Extraction'!$B$2:$B$904, $A4) = 0, "Missing", "Complete")</f>
        <v/>
      </c>
      <c r="D4">
        <f>IF(COUNTIFS('Vehicle Extraction'!$A$2:$A$904, D$1,  'Vehicle Extraction'!$B$2:$B$904, $A4) = 0, "Missing", "Complete")</f>
        <v/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I4" activePane="bottomLeft" state="frozen"/>
      <selection pane="bottomLeft" activeCell="I4" sqref="I4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1.4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4.4000000000000004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Folate</t>
        </is>
      </c>
      <c r="E3" s="33" t="inlineStr">
        <is>
          <t>Iron</t>
        </is>
      </c>
      <c r="F3" s="33" t="inlineStr">
        <is>
          <t>Folate</t>
        </is>
      </c>
      <c r="G3" s="33" t="inlineStr">
        <is>
          <t>Iron</t>
        </is>
      </c>
      <c r="H3" s="33" t="inlineStr">
        <is>
          <t>Folate</t>
        </is>
      </c>
      <c r="I3" s="33" t="inlineStr">
        <is>
          <t>Iron</t>
        </is>
      </c>
    </row>
    <row r="4" ht="15" customHeight="1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s="31" t="inlineStr">
        <is>
          <t>Intervention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H5" s="1" t="n"/>
    </row>
    <row r="6" ht="15" customHeight="1">
      <c r="A6" t="inlineStr">
        <is>
          <t>Vehicle fortification in intervention -- amount among fortified</t>
        </is>
      </c>
      <c r="B6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/>
      </c>
      <c r="C6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/>
      </c>
      <c r="D6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/>
      </c>
      <c r="E6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/>
      </c>
      <c r="F6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/>
      </c>
      <c r="G6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/>
      </c>
      <c r="H6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/>
      </c>
      <c r="I6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/>
      </c>
    </row>
    <row r="7" ht="15" customHeight="1">
      <c r="A7" t="inlineStr">
        <is>
          <t>Intervention coverage % of fortifiable</t>
        </is>
      </c>
      <c r="B7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/>
      </c>
      <c r="C7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/>
      </c>
      <c r="D7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/>
      </c>
      <c r="E7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/>
      </c>
      <c r="F7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/>
      </c>
      <c r="G7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/>
      </c>
      <c r="H7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/>
      </c>
      <c r="I7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/>
      </c>
    </row>
    <row r="8" ht="15" customHeight="1">
      <c r="A8" t="inlineStr">
        <is>
          <t>Intervention effective % of fortified</t>
        </is>
      </c>
      <c r="B8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/>
      </c>
      <c r="C8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/>
      </c>
      <c r="D8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/>
      </c>
      <c r="E8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/>
      </c>
      <c r="F8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/>
      </c>
      <c r="G8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/>
      </c>
      <c r="H8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/>
      </c>
      <c r="I8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/>
      </c>
    </row>
  </sheetData>
  <mergeCells count="8">
    <mergeCell ref="F2:G2"/>
    <mergeCell ref="B2:C2"/>
    <mergeCell ref="H2:I2"/>
    <mergeCell ref="D2:E2"/>
    <mergeCell ref="B3:C3"/>
    <mergeCell ref="H1:I1"/>
    <mergeCell ref="D1:G1"/>
    <mergeCell ref="B1:C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J22" sqref="J22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Jonathan Gorstein, 8/15</t>
        </is>
      </c>
      <c r="I2" s="7" t="n">
        <v>0.9</v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Jonathan Gorstein, 8/15</t>
        </is>
      </c>
      <c r="I3" s="7" t="n">
        <v>0.9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Jonathan Gorstein, 8/30</t>
        </is>
      </c>
      <c r="I4" s="7" t="n">
        <v>0.9</v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Jonathan Gorstein, 8/30</t>
        </is>
      </c>
      <c r="I5" s="7" t="n">
        <v>0.9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Andy Garcia email 7/26</t>
        </is>
      </c>
      <c r="I6" s="7" t="n">
        <v>0.8</v>
      </c>
      <c r="J6" t="inlineStr">
        <is>
          <t>Confirmed by Jonathan Gorstein, 8/15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Andy Garcia email 7/26</t>
        </is>
      </c>
      <c r="I7" s="7" t="n">
        <v>0.8</v>
      </c>
      <c r="J7" t="inlineStr">
        <is>
          <t>Confirmed by Jonathan Gorstein, 8/15</t>
        </is>
      </c>
    </row>
    <row r="8">
      <c r="A8" t="inlineStr">
        <is>
          <t>India</t>
        </is>
      </c>
      <c r="B8" t="inlineStr">
        <is>
          <t>Rice</t>
        </is>
      </c>
      <c r="C8" t="inlineStr">
        <is>
          <t>Iron</t>
        </is>
      </c>
      <c r="D8" t="inlineStr">
        <is>
          <t>Intervention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Andy Garcia email 7/26</t>
        </is>
      </c>
      <c r="I8" s="7" t="n">
        <v>0.8</v>
      </c>
      <c r="J8" t="inlineStr">
        <is>
          <t>Confirmed by Jonathan Gorstein, 8/15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Folate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Andy Garcia email 7/26</t>
        </is>
      </c>
      <c r="I9" s="7" t="n">
        <v>0.8</v>
      </c>
      <c r="J9" t="inlineStr">
        <is>
          <t>Confirmed by Jonathan Gorstein, 8/15</t>
        </is>
      </c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Intervention</t>
        </is>
      </c>
      <c r="E10" t="inlineStr">
        <is>
          <t>Intervention effective % of fortified</t>
        </is>
      </c>
      <c r="F10" t="inlineStr">
        <is>
          <t>percentage</t>
        </is>
      </c>
      <c r="G10" t="inlineStr">
        <is>
          <t>%</t>
        </is>
      </c>
      <c r="H10" t="inlineStr">
        <is>
          <t>GF 'Input data to IHME models' workbook (2026-04-16), compliance projections</t>
        </is>
      </c>
      <c r="I10" s="7" t="n">
        <v>0.3333333333333333</v>
      </c>
      <c r="J10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Folate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'Input data to IHME models' workbook (2026-04-16), compliance projections</t>
        </is>
      </c>
      <c r="I11" s="7" t="n">
        <v>0.3333333333333333</v>
      </c>
      <c r="J11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2">
      <c r="A12" t="inlineStr">
        <is>
          <t>Nigeria</t>
        </is>
      </c>
      <c r="B12" t="inlineStr">
        <is>
          <t>Rice</t>
        </is>
      </c>
      <c r="C12" t="inlineStr">
        <is>
          <t>Iron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'Input data to IHME models' workbook (2026-04-16), compliance projections</t>
        </is>
      </c>
      <c r="I12" s="7" t="n">
        <v>0.4444444444444445</v>
      </c>
      <c r="J12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Folate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'Input data to IHME models' workbook (2026-04-16), compliance projections</t>
        </is>
      </c>
      <c r="I13" s="7" t="n">
        <v>0.4444444444444445</v>
      </c>
      <c r="J13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Folate</t>
        </is>
      </c>
      <c r="D14" t="inlineStr">
        <is>
          <t>Intervention - 25% NRV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'Input data to IHME models' workbook (2026-04-16), compliance projections</t>
        </is>
      </c>
      <c r="I14" s="7" t="n">
        <v>1</v>
      </c>
      <c r="J14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- 100%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'Input data to IHME models' workbook (2026-04-16), compliance projections</t>
        </is>
      </c>
      <c r="I15" s="7" t="n">
        <v>1</v>
      </c>
      <c r="J15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6">
      <c r="A16" t="inlineStr">
        <is>
          <t>India</t>
        </is>
      </c>
      <c r="B16" t="inlineStr">
        <is>
          <t>Rice</t>
        </is>
      </c>
      <c r="C16" t="inlineStr">
        <is>
          <t>Iron</t>
        </is>
      </c>
      <c r="D16" t="inlineStr">
        <is>
          <t>Intervention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'Input data to IHME models' workbook (2026-04-16), compliance projections</t>
        </is>
      </c>
      <c r="I16" s="7" t="n">
        <v>0.9375</v>
      </c>
      <c r="J16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7">
      <c r="A17" t="inlineStr">
        <is>
          <t>India</t>
        </is>
      </c>
      <c r="B17" t="inlineStr">
        <is>
          <t>Rice</t>
        </is>
      </c>
      <c r="C17" t="inlineStr">
        <is>
          <t>Folate</t>
        </is>
      </c>
      <c r="D17" t="inlineStr">
        <is>
          <t>Intervention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'Input data to IHME models' workbook (2026-04-16), compliance projections</t>
        </is>
      </c>
      <c r="I17" s="7" t="n">
        <v>0.9375</v>
      </c>
      <c r="J17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8" ht="43.5" customHeight="1">
      <c r="A18" t="inlineStr">
        <is>
          <t>Nigeria</t>
        </is>
      </c>
      <c r="B18" t="inlineStr">
        <is>
          <t>Bouillon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Vehicle fortification in intervention -- amount among fortified</t>
        </is>
      </c>
      <c r="F18" t="inlineStr">
        <is>
          <t>concentration</t>
        </is>
      </c>
      <c r="G18" t="inlineStr">
        <is>
          <t>mcg/g</t>
        </is>
      </c>
      <c r="H18" t="inlineStr">
        <is>
          <t>Andy Garcia email 7/26</t>
        </is>
      </c>
      <c r="I18" t="n">
        <v>1320</v>
      </c>
      <c r="J18" s="5" t="inlineStr">
        <is>
          <t>15% Nigeria-specific NRV per 2.5 grams; https://www.wolframalpha.com/input?i=15%25+of+22mg+per+2.5+grams+in+mcg%2Fg</t>
        </is>
      </c>
    </row>
    <row r="19" ht="43.5" customHeight="1">
      <c r="A19" t="inlineStr">
        <is>
          <t>Nigeria</t>
        </is>
      </c>
      <c r="B19" t="inlineStr">
        <is>
          <t>Bouillon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Vehicle fortification in intervention -- amount among fortified</t>
        </is>
      </c>
      <c r="F19" t="inlineStr">
        <is>
          <t>concentration</t>
        </is>
      </c>
      <c r="G19" t="inlineStr">
        <is>
          <t>mcg/g</t>
        </is>
      </c>
      <c r="H19" t="inlineStr">
        <is>
          <t>Andy Garcia email 7/26</t>
        </is>
      </c>
      <c r="I19" t="n">
        <v>24</v>
      </c>
      <c r="J19" s="5" t="inlineStr">
        <is>
          <t>15% Codex (60mcg) per 2.5 grams; https://www.wolframalpha.com/input?i=15%25+of+400mcg+per+2.5+grams+in+mcg%2Fg</t>
        </is>
      </c>
    </row>
    <row r="20" ht="29.25" customHeight="1">
      <c r="A20" t="inlineStr">
        <is>
          <t>Nigeria</t>
        </is>
      </c>
      <c r="B20" t="inlineStr">
        <is>
          <t>Rice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Jonathan Gorstein email 8/30</t>
        </is>
      </c>
      <c r="I20" t="n">
        <v>40</v>
      </c>
      <c r="J20" s="14" t="inlineStr">
        <is>
          <t>https://www.wolframalpha.com/input?i=4+mg%2F100g+in+mcg%2Fg</t>
        </is>
      </c>
    </row>
    <row r="21" ht="29.25" customHeight="1">
      <c r="A21" t="inlineStr">
        <is>
          <t>Nigeria</t>
        </is>
      </c>
      <c r="B21" t="inlineStr">
        <is>
          <t>Rice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Jonathan Gorstein email 8/30</t>
        </is>
      </c>
      <c r="I21" t="n">
        <v>1.69</v>
      </c>
      <c r="J21" s="14" t="inlineStr">
        <is>
          <t>https://www.wolframalpha.com/input?i=0.169+mg%2F100g+in+mcg%2Fg</t>
        </is>
      </c>
    </row>
    <row r="22">
      <c r="A22" t="inlineStr">
        <is>
          <t>Ethiopia</t>
        </is>
      </c>
      <c r="B22" t="inlineStr">
        <is>
          <t>Salt</t>
        </is>
      </c>
      <c r="C22" t="inlineStr">
        <is>
          <t>Folate</t>
        </is>
      </c>
      <c r="D22" t="inlineStr">
        <is>
          <t>Intervention - 25% NRV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Andy Garcia email 7/26</t>
        </is>
      </c>
      <c r="I22" t="n">
        <v>14.084507042253522</v>
      </c>
      <c r="J22" t="inlineStr">
        <is>
          <t>25% Codex (100mcg) per 7.1 grams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Intervention - 100% NRV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Andy Garcia email 7/26</t>
        </is>
      </c>
      <c r="I23" t="n">
        <v>56.338028169014088</v>
      </c>
      <c r="J23" t="inlineStr">
        <is>
          <t>100% Codex (400mcg) per 7.1 grams</t>
        </is>
      </c>
    </row>
    <row r="24">
      <c r="A24" t="inlineStr">
        <is>
          <t>India</t>
        </is>
      </c>
      <c r="B24" t="inlineStr">
        <is>
          <t>Rice</t>
        </is>
      </c>
      <c r="C24" t="inlineStr">
        <is>
          <t>Iron</t>
        </is>
      </c>
      <c r="D24" t="inlineStr">
        <is>
          <t>Intervention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FSSAI</t>
        </is>
      </c>
      <c r="I24" t="n">
        <v>42.5</v>
      </c>
      <c r="J24" t="inlineStr">
        <is>
          <t>Same as baseline, PDS rice; see county-vehicle-fort extraction</t>
        </is>
      </c>
    </row>
    <row r="25" ht="15" customHeight="1">
      <c r="A25" t="inlineStr">
        <is>
          <t>India</t>
        </is>
      </c>
      <c r="B25" t="inlineStr">
        <is>
          <t>Rice</t>
        </is>
      </c>
      <c r="C25" t="inlineStr">
        <is>
          <t>Folate</t>
        </is>
      </c>
      <c r="D25" t="inlineStr">
        <is>
          <t>Intervention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6" t="inlineStr">
        <is>
          <t>https://nyaspubs.onlinelibrary.wiley.com/doi/full/10.1111/nyas.12478</t>
        </is>
      </c>
      <c r="I25" t="n">
        <v>1.3</v>
      </c>
      <c r="J25" s="6" t="inlineStr">
        <is>
          <t>https://www.wolframalpha.com/input?i=0.13+mg%2F100g+in+mcg%2Fg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2026-08-28T21:37:44Z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