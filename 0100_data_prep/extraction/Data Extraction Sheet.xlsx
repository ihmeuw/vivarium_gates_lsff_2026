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98998835-291D-42E1-972A-CDC08A515183}" xr6:coauthVersionLast="47" xr6:coauthVersionMax="47" xr10:uidLastSave="{00000000-0000-0000-0000-000000000000}"/>
  <bookViews>
    <workbookView xWindow="-110" yWindow="-110" windowWidth="38620" windowHeight="21100" firstSheet="1" activeTab="1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7" i="6" l="1"/>
  <c r="J76" i="6"/>
  <c r="J75" i="6"/>
  <c r="J62" i="6"/>
  <c r="J61" i="6"/>
  <c r="J60" i="6"/>
  <c r="J59" i="6"/>
  <c r="J58" i="6"/>
  <c r="J57" i="6"/>
  <c r="G8" i="14"/>
  <c r="G7" i="14"/>
  <c r="G6" i="14"/>
  <c r="F8" i="14"/>
  <c r="F7" i="14"/>
  <c r="F6" i="14"/>
  <c r="H9" i="1"/>
  <c r="F9" i="1"/>
  <c r="F7" i="1"/>
  <c r="F5" i="1"/>
  <c r="D9" i="1"/>
  <c r="D7" i="1"/>
  <c r="D6" i="1"/>
  <c r="D5" i="1"/>
  <c r="B9" i="1"/>
  <c r="B8" i="1"/>
  <c r="B7" i="1"/>
  <c r="B6" i="1"/>
  <c r="B5" i="1"/>
  <c r="J80" i="6"/>
  <c r="J79" i="6"/>
  <c r="J78" i="6"/>
  <c r="F8" i="1" s="1"/>
  <c r="J74" i="6"/>
  <c r="J73" i="6"/>
  <c r="J72" i="6"/>
  <c r="J71" i="6"/>
  <c r="J70" i="6"/>
  <c r="J69" i="6"/>
  <c r="F6" i="1" s="1"/>
  <c r="G9" i="1"/>
  <c r="G8" i="1"/>
  <c r="G7" i="1"/>
  <c r="G6" i="1"/>
  <c r="G5" i="1"/>
  <c r="P8" i="4"/>
  <c r="N8" i="4"/>
  <c r="I8" i="4"/>
  <c r="H8" i="4"/>
  <c r="I7" i="4"/>
  <c r="H7" i="4"/>
  <c r="H6" i="4"/>
  <c r="J48" i="6"/>
  <c r="J47" i="6"/>
  <c r="J46" i="6"/>
  <c r="D8" i="1" s="1"/>
  <c r="I6" i="14"/>
  <c r="C8" i="14"/>
  <c r="C7" i="14"/>
  <c r="C6" i="14"/>
  <c r="E8" i="14"/>
  <c r="D8" i="14"/>
  <c r="E7" i="14"/>
  <c r="D7" i="14"/>
  <c r="E6" i="14"/>
  <c r="D6" i="14"/>
  <c r="B8" i="14"/>
  <c r="B7" i="14"/>
  <c r="B6" i="14"/>
  <c r="I8" i="14"/>
  <c r="I7" i="14"/>
  <c r="H8" i="14"/>
  <c r="H7" i="14"/>
  <c r="H6" i="14"/>
  <c r="P7" i="4"/>
  <c r="N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E9" i="1"/>
  <c r="E8" i="1"/>
  <c r="E7" i="1"/>
  <c r="E6" i="1"/>
  <c r="E5" i="1"/>
  <c r="C9" i="1"/>
  <c r="C8" i="1"/>
  <c r="C7" i="1"/>
  <c r="C6" i="1"/>
  <c r="C5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<sst xmlns="http://schemas.openxmlformats.org/spreadsheetml/2006/main" count="1857" uniqueCount="229">
  <si>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</si>
  <si>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</si>
  <si>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</si>
  <si>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</si>
  <si>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</si>
  <si>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</si>
  <si>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</si>
  <si>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</si>
  <si>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</si>
  <si>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</si>
  <si>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</si>
  <si>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</si>
  <si>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</si>
  <si>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</si>
  <si>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</si>
  <si>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</si>
  <si>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</si>
  <si>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</si>
  <si>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</si>
  <si>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</si>
  <si>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</si>
  <si>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</si>
  <si>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</si>
  <si>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</si>
  <si>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</si>
  <si>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</si>
  <si>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</si>
  <si>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</si>
  <si>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</si>
  <si>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</si>
  <si>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</si>
  <si>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</si>
  <si>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</si>
  <si>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</si>
  <si>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</si>
  <si>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</si>
  <si>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</si>
  <si>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</si>
  <si>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</si>
  <si>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</si>
  <si>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</si>
  <si>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</si>
  <si>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</si>
  <si>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</si>
  <si>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</si>
  <si>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</si>
  <si>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</si>
  <si>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</si>
  <si>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</si>
  <si>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</si>
  <si>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</si>
  <si>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</si>
  <si>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</si>
  <si>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</si>
  <si>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</si>
  <si>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</si>
  <si>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</si>
  <si>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</si>
  <si>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</si>
  <si>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</si>
  <si>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</si>
  <si>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</si>
  <si>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</si>
  <si>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</si>
  <si>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</si>
  <si>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</si>
  <si>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</si>
  <si>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</si>
  <si>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</si>
  <si>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</si>
  <si>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</si>
  <si>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</si>
  <si>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</si>
  <si>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</si>
  <si>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</si>
  <si>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</si>
  <si>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</si>
  <si>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</si>
  <si>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</si>
  <si>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</si>
  <si>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</si>
  <si>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51.3% "Industry consolidation" sent by Jonathan Gorstein in a spreadsheet on 7/19 according to M4N Database, but on 8/15 we agreed to consider all open-market rice unfortifiable</t>
  </si>
  <si>
    <t>Jonathan Gorstein email 8/30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</si>
  <si>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</si>
  <si>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</si>
  <si>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</si>
  <si>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</si>
  <si>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</si>
  <si>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</si>
  <si>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</si>
  <si>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</si>
  <si>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</si>
  <si>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</si>
  <si>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</si>
  <si>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</si>
  <si>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</si>
  <si>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</si>
  <si>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</si>
  <si>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</si>
  <si>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</si>
  <si>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</si>
  <si>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</si>
  <si>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</si>
  <si>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</si>
  <si>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</si>
  <si>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</si>
  <si>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</si>
  <si>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</si>
  <si>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</si>
  <si>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</si>
  <si>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</si>
  <si>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</si>
  <si>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</si>
  <si>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</si>
  <si>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</si>
  <si>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</si>
  <si>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</si>
  <si>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</si>
  <si>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</si>
  <si>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</si>
  <si>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</si>
  <si>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</si>
  <si>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</si>
  <si>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</si>
  <si>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</si>
  <si>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</si>
  <si>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</si>
  <si>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</si>
  <si>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</si>
  <si>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</si>
  <si>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</si>
  <si>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</si>
  <si>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</si>
  <si>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</si>
  <si>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</si>
  <si>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</si>
  <si>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</si>
  <si>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</si>
  <si>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</si>
  <si>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</si>
  <si>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</si>
  <si>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</si>
  <si>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</si>
  <si>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</si>
  <si>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</si>
  <si>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</si>
  <si>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</si>
  <si>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</si>
  <si>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</si>
  <si>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</si>
  <si>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</si>
  <si>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</si>
  <si>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</si>
  <si>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</si>
  <si>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</si>
  <si>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</si>
  <si>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</si>
  <si>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</si>
  <si>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</si>
  <si>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</si>
  <si>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</si>
  <si>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</si>
  <si>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</si>
  <si>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</si>
  <si>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</si>
  <si>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</si>
  <si>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</si>
  <si>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</si>
  <si>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</si>
  <si>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</si>
  <si>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</si>
  <si>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</si>
  <si>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</si>
  <si>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</si>
  <si>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</si>
  <si>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</si>
  <si>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</si>
  <si>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</si>
  <si>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</si>
  <si>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</si>
  <si>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</si>
  <si>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</si>
  <si>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</si>
  <si>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</si>
  <si>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</si>
  <si>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</si>
  <si>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</si>
  <si>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</si>
  <si>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</si>
  <si>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</si>
  <si>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</si>
  <si>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</si>
  <si>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</si>
  <si>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</si>
  <si>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</si>
  <si>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</si>
  <si>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</si>
  <si>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</si>
  <si>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</si>
  <si>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</si>
  <si>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</t>
  </si>
  <si>
    <t>Intervention effective % of fortified</t>
  </si>
  <si>
    <t>Andy Garcia email 7/26</t>
  </si>
  <si>
    <t>Confirmed by Jonathan Gorstein, 8/15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</si>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</sst>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olframalpha.com/input?i=4+mg%2F100g+in+mcg%2Fg" TargetMode="External"/><Relationship Id="rId2" Type="http://schemas.openxmlformats.org/officeDocument/2006/relationships/hyperlink" Target="https://nyaspubs.onlinelibrary.wiley.com/doi/full/10.1111/nyas.12478" TargetMode="External"/><Relationship Id="rId1" Type="http://schemas.openxmlformats.org/officeDocument/2006/relationships/hyperlink" Target="https://www.wolframalpha.com/input?i=0.13+mg%2F100g+in+mcg%2Fg" TargetMode="External"/><Relationship Id="rId4" Type="http://schemas.openxmlformats.org/officeDocument/2006/relationships/hyperlink" Target="https://www.wolframalpha.com/input?i=0.169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defaultRowHeight="14.4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8" max="9" width="15.85546875" bestFit="1" customWidth="1"/>
  </cols>
  <sheetData>
    <row r="1" spans="1:9" ht="15">
      <c r="A1" s="3" t="s">
        <v>0</v>
      </c>
      <c r="B1" s="34" t="s">
        <v>1</v>
      </c>
      <c r="C1" s="34"/>
      <c r="D1" s="34" t="s">
        <v>2</v>
      </c>
      <c r="E1" s="34"/>
      <c r="F1" s="34"/>
      <c r="G1" s="34"/>
      <c r="H1" s="34" t="s">
        <v>3</v>
      </c>
      <c r="I1" s="34"/>
    </row>
    <row r="2" spans="1:9" ht="15">
      <c r="A2" s="3" t="s">
        <v>4</v>
      </c>
      <c r="B2" s="34" t="s">
        <v>5</v>
      </c>
      <c r="C2" s="34"/>
      <c r="D2" s="34" t="s">
        <v>6</v>
      </c>
      <c r="E2" s="34"/>
      <c r="F2" s="34" t="s">
        <v>7</v>
      </c>
      <c r="G2" s="34"/>
      <c r="H2" s="34" t="s">
        <v>7</v>
      </c>
      <c r="I2" s="34"/>
    </row>
    <row r="3" spans="1:9" ht="15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  <c r="H3" s="2" t="s">
        <v>9</v>
      </c>
      <c r="I3" s="1" t="s">
        <v>10</v>
      </c>
    </row>
    <row r="4" spans="1:9" ht="15">
      <c r="A4" s="1" t="s">
        <v>11</v>
      </c>
      <c r="B4" s="1"/>
      <c r="C4" s="1"/>
      <c r="D4" s="1"/>
      <c r="E4" s="1"/>
      <c r="F4" s="1"/>
      <c r="G4" s="1"/>
    </row>
    <row r="5" spans="1:9" ht="15">
      <c r="A5" t="s">
        <v>12</v>
      </c>
      <c r="B5" t="str">
        <f>IF(COUNTIFS('Country-Vehicle Extraction'!$A$2:$A$989, B$1,  'Country-Vehicle Extraction'!$B$2:$B$989, B$2,  'Country-Vehicle Extraction'!$C$2:$C$989, "Total",  'Country-Vehicle Extraction'!$E$2:$E$989, $A5, 'Country-Vehicle Extraction'!$J$2:$J$989, "&lt;&gt;") = 0, "Missing", "Complete")</f>
        <v>Missing</v>
      </c>
      <c r="C5" t="str">
        <f>IF(COUNTIFS('Country-Vehicle Extraction'!$A$2:$A$989, B$1,  'Country-Vehicle Extraction'!$B$2:$B$989, B$2,  'Country-Vehicle Extraction'!$C$2:$C$989, "&lt;&gt;All",  'Country-Vehicle Extraction'!E$2:E$989, $A5, 'Country-Vehicle Extraction'!$J$2:$J$989, "&lt;&gt;") = 0, "Missing", "Complete")</f>
        <v>Complete</v>
      </c>
      <c r="D5" t="str">
        <f>IF(COUNTIFS('Country-Vehicle Extraction'!$A$2:$A$989, D$1,  'Country-Vehicle Extraction'!$B$2:$B$989, D$2,  'Country-Vehicle Extraction'!$C$2:$C$989, "Total",  'Country-Vehicle Extraction'!$E$2:$E$989, $A5, 'Country-Vehicle Extraction'!$J$2:$J$989, "&lt;&gt;") = 0, "Missing", "Complete")</f>
        <v>Complete</v>
      </c>
      <c r="E5" t="str">
        <f>IF(COUNTIFS('Country-Vehicle Extraction'!$A$2:$A$989, D$1,  'Country-Vehicle Extraction'!$B$2:$B$989, D$2,  'Country-Vehicle Extraction'!$C$2:$C$989, "&lt;&gt;All",  'Country-Vehicle Extraction'!$E$2:$E$989, $A5, 'Country-Vehicle Extraction'!$J$2:$J$989, "&lt;&gt;") = 0, "Missing", "Complete")</f>
        <v>Complete</v>
      </c>
      <c r="F5" t="str">
        <f>IF(COUNTIFS('Country-Vehicle Extraction'!$A$2:$A$989, D$1,  'Country-Vehicle Extraction'!$B$2:$B$989, F$2,  'Country-Vehicle Extraction'!$C$2:$C$989, "Total",  'Country-Vehicle Extraction'!$E$2:$E$989, $A5, 'Country-Vehicle Extraction'!$J$2:$J$989, "&lt;&gt;") = 0, "Missing", "Complete")</f>
        <v>Complete</v>
      </c>
      <c r="G5" t="str">
        <f>IF(COUNTIFS('Country-Vehicle Extraction'!$A$2:$A$989, D$1,  'Country-Vehicle Extraction'!$B$2:$B$989, F$2,  'Country-Vehicle Extraction'!$C$2:$C$989, "&lt;&gt;All",  'Country-Vehicle Extraction'!$E$2:$E$989, $A5, 'Country-Vehicle Extraction'!$J$2:$J$989, "&lt;&gt;") = 0, "Missing", "Complete")</f>
        <v>Complete</v>
      </c>
      <c r="H5" t="s">
        <v>13</v>
      </c>
      <c r="I5" t="s">
        <v>13</v>
      </c>
    </row>
    <row r="6" spans="1:9" ht="15">
      <c r="A6" t="s">
        <v>14</v>
      </c>
      <c r="B6" t="str">
        <f>IF(COUNTIFS('Country-Vehicle Extraction'!$A$2:$A$989, B$1,  'Country-Vehicle Extraction'!$B$2:$B$989, B$2,  'Country-Vehicle Extraction'!$C$2:$C$989, "Total",  'Country-Vehicle Extraction'!$E$2:$E$989, $A6, 'Country-Vehicle Extraction'!$J$2:$J$989, "&lt;&gt;") = 0, "Missing", "Complete")</f>
        <v>Complete</v>
      </c>
      <c r="C6" t="str">
        <f>IF(COUNTIFS('Country-Vehicle Extraction'!$A$2:$A$989, B$1,  'Country-Vehicle Extraction'!$B$2:$B$989, B$2,  'Country-Vehicle Extraction'!$C$2:$C$989, "&lt;&gt;All",  'Country-Vehicle Extraction'!E$2:E$989, $A6, 'Country-Vehicle Extraction'!$J$2:$J$989, "&lt;&gt;") = 0, "Missing", "Complete")</f>
        <v>Complete</v>
      </c>
      <c r="D6" t="str">
        <f>IF(COUNTIFS('Country-Vehicle Extraction'!$A$2:$A$989, D$1,  'Country-Vehicle Extraction'!$B$2:$B$989, D$2,  'Country-Vehicle Extraction'!$C$2:$C$989, "Total",  'Country-Vehicle Extraction'!$E$2:$E$989, $A6, 'Country-Vehicle Extraction'!$J$2:$J$989, "&lt;&gt;") = 0, "Missing", "Complete")</f>
        <v>Complete</v>
      </c>
      <c r="E6" t="str">
        <f>IF(COUNTIFS('Country-Vehicle Extraction'!$A$2:$A$989, D$1,  'Country-Vehicle Extraction'!$B$2:$B$989, D$2,  'Country-Vehicle Extraction'!$C$2:$C$989, "&lt;&gt;All",  'Country-Vehicle Extraction'!$E$2:$E$989, $A6, 'Country-Vehicle Extraction'!$J$2:$J$989, "&lt;&gt;") = 0, "Missing", "Complete")</f>
        <v>Complete</v>
      </c>
      <c r="F6" t="str">
        <f>IF(COUNTIFS('Country-Vehicle Extraction'!$A$2:$A$989, D$1,  'Country-Vehicle Extraction'!$B$2:$B$989, F$2,  'Country-Vehicle Extraction'!$C$2:$C$989, "Total",  'Country-Vehicle Extraction'!$E$2:$E$989, $A6, 'Country-Vehicle Extraction'!$J$2:$J$989, "&lt;&gt;") = 0, "Missing", "Complete")</f>
        <v>Complete</v>
      </c>
      <c r="G6" t="str">
        <f>IF(COUNTIFS('Country-Vehicle Extraction'!$A$2:$A$989, D$1,  'Country-Vehicle Extraction'!$B$2:$B$989, F$2,  'Country-Vehicle Extraction'!$C$2:$C$989, "&lt;&gt;All",  'Country-Vehicle Extraction'!$E$2:$E$989, $A6, 'Country-Vehicle Extraction'!$J$2:$J$989, "&lt;&gt;") = 0, "Missing", "Complete")</f>
        <v>Complete</v>
      </c>
      <c r="H6" t="s">
        <v>13</v>
      </c>
      <c r="I6" t="s">
        <v>13</v>
      </c>
    </row>
    <row r="7" spans="1:9" ht="15">
      <c r="A7" t="s">
        <v>15</v>
      </c>
      <c r="B7" t="str">
        <f>IF(COUNTIFS('Country-Vehicle Extraction'!$A$2:$A$989, B$1,  'Country-Vehicle Extraction'!$B$2:$B$989, B$2,  'Country-Vehicle Extraction'!$C$2:$C$989, "Total",  'Country-Vehicle Extraction'!$E$2:$E$989, $A7, 'Country-Vehicle Extraction'!$J$2:$J$989, "&lt;&gt;") = 0, "Missing", "Complete")</f>
        <v>Missing</v>
      </c>
      <c r="C7" t="str">
        <f>IF(COUNTIFS('Country-Vehicle Extraction'!$A$2:$A$989, B$1,  'Country-Vehicle Extraction'!$B$2:$B$989, B$2,  'Country-Vehicle Extraction'!$C$2:$C$989, "&lt;&gt;All",  'Country-Vehicle Extraction'!E$2:E$989, $A7, 'Country-Vehicle Extraction'!$J$2:$J$989, "&lt;&gt;") = 0, "Missing", "Complete")</f>
        <v>Complete</v>
      </c>
      <c r="D7" t="str">
        <f>IF(COUNTIFS('Country-Vehicle Extraction'!$A$2:$A$989, D$1,  'Country-Vehicle Extraction'!$B$2:$B$989, D$2,  'Country-Vehicle Extraction'!$C$2:$C$989, "Total",  'Country-Vehicle Extraction'!$E$2:$E$989, $A7, 'Country-Vehicle Extraction'!$J$2:$J$989, "&lt;&gt;") = 0, "Missing", "Complete")</f>
        <v>Complete</v>
      </c>
      <c r="E7" t="str">
        <f>IF(COUNTIFS('Country-Vehicle Extraction'!$A$2:$A$989, D$1,  'Country-Vehicle Extraction'!$B$2:$B$989, D$2,  'Country-Vehicle Extraction'!$C$2:$C$989, "&lt;&gt;All",  'Country-Vehicle Extraction'!$E$2:$E$989, $A7, 'Country-Vehicle Extraction'!$J$2:$J$989, "&lt;&gt;") = 0, "Missing", "Complete")</f>
        <v>Complete</v>
      </c>
      <c r="F7" t="str">
        <f>IF(COUNTIFS('Country-Vehicle Extraction'!$A$2:$A$989, D$1,  'Country-Vehicle Extraction'!$B$2:$B$989, F$2,  'Country-Vehicle Extraction'!$C$2:$C$989, "Total",  'Country-Vehicle Extraction'!$E$2:$E$989, $A7, 'Country-Vehicle Extraction'!$J$2:$J$989, "&lt;&gt;") = 0, "Missing", "Complete")</f>
        <v>Complete</v>
      </c>
      <c r="G7" t="str">
        <f>IF(COUNTIFS('Country-Vehicle Extraction'!$A$2:$A$989, D$1,  'Country-Vehicle Extraction'!$B$2:$B$989, F$2,  'Country-Vehicle Extraction'!$C$2:$C$989, "&lt;&gt;All",  'Country-Vehicle Extraction'!$E$2:$E$989, $A7, 'Country-Vehicle Extraction'!$J$2:$J$989, "&lt;&gt;") = 0, "Missing", "Complete")</f>
        <v>Complete</v>
      </c>
      <c r="H7" t="s">
        <v>13</v>
      </c>
      <c r="I7" t="s">
        <v>13</v>
      </c>
    </row>
    <row r="8" spans="1:9" ht="15">
      <c r="A8" t="s">
        <v>16</v>
      </c>
      <c r="B8" t="str">
        <f>IF(COUNTIFS('Country-Vehicle Extraction'!$A$2:$A$989, B$1,  'Country-Vehicle Extraction'!$B$2:$B$989, B$2,  'Country-Vehicle Extraction'!$C$2:$C$989, "Total",  'Country-Vehicle Extraction'!$E$2:$E$989, $A8, 'Country-Vehicle Extraction'!$J$2:$J$989, "&lt;&gt;") = 0, "Missing", "Complete")</f>
        <v>Complete</v>
      </c>
      <c r="C8" t="str">
        <f>IF(COUNTIFS('Country-Vehicle Extraction'!$A$2:$A$989, B$1,  'Country-Vehicle Extraction'!$B$2:$B$989, B$2,  'Country-Vehicle Extraction'!$C$2:$C$989, "&lt;&gt;All",  'Country-Vehicle Extraction'!E$2:E$989, $A8, 'Country-Vehicle Extraction'!$J$2:$J$989, "&lt;&gt;") = 0, "Missing", "Complete")</f>
        <v>Complete</v>
      </c>
      <c r="D8" t="str">
        <f>IF(COUNTIFS('Country-Vehicle Extraction'!$A$2:$A$989, D$1,  'Country-Vehicle Extraction'!$B$2:$B$989, D$2,  'Country-Vehicle Extraction'!$C$2:$C$989, "Total",  'Country-Vehicle Extraction'!$E$2:$E$989, $A8, 'Country-Vehicle Extraction'!$J$2:$J$989, "&lt;&gt;") = 0, "Missing", "Complete")</f>
        <v>Complete</v>
      </c>
      <c r="E8" t="str">
        <f>IF(COUNTIFS('Country-Vehicle Extraction'!$A$2:$A$989, D$1,  'Country-Vehicle Extraction'!$B$2:$B$989, D$2,  'Country-Vehicle Extraction'!$C$2:$C$989, "&lt;&gt;All",  'Country-Vehicle Extraction'!$E$2:$E$989, $A8, 'Country-Vehicle Extraction'!$J$2:$J$989, "&lt;&gt;") = 0, "Missing", "Complete")</f>
        <v>Complete</v>
      </c>
      <c r="F8" t="str">
        <f>IF(COUNTIFS('Country-Vehicle Extraction'!$A$2:$A$989, D$1,  'Country-Vehicle Extraction'!$B$2:$B$989, F$2,  'Country-Vehicle Extraction'!$C$2:$C$989, "Total",  'Country-Vehicle Extraction'!$E$2:$E$989, $A8, 'Country-Vehicle Extraction'!$J$2:$J$989, "&lt;&gt;") = 0, "Missing", "Complete")</f>
        <v>Complete</v>
      </c>
      <c r="G8" t="str">
        <f>IF(COUNTIFS('Country-Vehicle Extraction'!$A$2:$A$989, D$1,  'Country-Vehicle Extraction'!$B$2:$B$989, F$2,  'Country-Vehicle Extraction'!$C$2:$C$989, "&lt;&gt;All",  'Country-Vehicle Extraction'!$E$2:$E$989, $A8, 'Country-Vehicle Extraction'!$J$2:$J$989, "&lt;&gt;") = 0, "Missing", "Complete")</f>
        <v>Complete</v>
      </c>
      <c r="H8" t="s">
        <v>13</v>
      </c>
      <c r="I8" t="s">
        <v>13</v>
      </c>
    </row>
    <row r="9" spans="1:9" ht="15">
      <c r="A9" t="s">
        <v>17</v>
      </c>
      <c r="B9" t="str">
        <f>IF(COUNTIFS('Country-Vehicle Extraction'!$A$2:$A$989, B$1,  'Country-Vehicle Extraction'!$B$2:$B$989, B$2,  'Country-Vehicle Extraction'!$C$2:$C$989, "Total",  'Country-Vehicle Extraction'!$E$2:$E$989, $A9, 'Country-Vehicle Extraction'!$J$2:$J$989, "&lt;&gt;") = 0, "Missing", "Complete")</f>
        <v>Missing</v>
      </c>
      <c r="C9" t="str">
        <f>IF(COUNTIFS('Country-Vehicle Extraction'!$A$2:$A$989, B$1,  'Country-Vehicle Extraction'!$B$2:$B$989, B$2,  'Country-Vehicle Extraction'!$C$2:$C$989, "&lt;&gt;All",  'Country-Vehicle Extraction'!E$2:E$989, $A9, 'Country-Vehicle Extraction'!$J$2:$J$989, "&lt;&gt;") = 0, "Missing", "Complete")</f>
        <v>Complete</v>
      </c>
      <c r="D9" t="str">
        <f>IF(COUNTIFS('Country-Vehicle Extraction'!$A$2:$A$989, D$1,  'Country-Vehicle Extraction'!$B$2:$B$989, D$2,  'Country-Vehicle Extraction'!$C$2:$C$989, "Total",  'Country-Vehicle Extraction'!$E$2:$E$989, $A9, 'Country-Vehicle Extraction'!$J$2:$J$989, "&lt;&gt;") = 0, "Missing", "Complete")</f>
        <v>Complete</v>
      </c>
      <c r="E9" t="str">
        <f>IF(COUNTIFS('Country-Vehicle Extraction'!$A$2:$A$989, D$1,  'Country-Vehicle Extraction'!$B$2:$B$989, D$2,  'Country-Vehicle Extraction'!$C$2:$C$989, "&lt;&gt;All",  'Country-Vehicle Extraction'!$E$2:$E$989, $A9, 'Country-Vehicle Extraction'!$J$2:$J$989, "&lt;&gt;") = 0, "Missing", "Complete")</f>
        <v>Complete</v>
      </c>
      <c r="F9" t="str">
        <f>IF(COUNTIFS('Country-Vehicle Extraction'!$A$2:$A$989, D$1,  'Country-Vehicle Extraction'!$B$2:$B$989, F$2,  'Country-Vehicle Extraction'!$C$2:$C$989, "Total",  'Country-Vehicle Extraction'!$E$2:$E$989, $A9, 'Country-Vehicle Extraction'!$J$2:$J$989, "&lt;&gt;") = 0, "Missing", "Complete")</f>
        <v>Missing</v>
      </c>
      <c r="G9" t="str">
        <f>IF(COUNTIFS('Country-Vehicle Extraction'!$A$2:$A$989, D$1,  'Country-Vehicle Extraction'!$B$2:$B$989, F$2,  'Country-Vehicle Extraction'!$C$2:$C$989, "&lt;&gt;All",  'Country-Vehicle Extraction'!$E$2:$E$989, $A9, 'Country-Vehicle Extraction'!$J$2:$J$989, "&lt;&gt;") = 0, "Missing", "Complete")</f>
        <v>Complete</v>
      </c>
      <c r="H9" t="str">
        <f>IF(COUNTIFS('Country-Vehicle Extraction'!$A$2:$A$989, H$1,  'Country-Vehicle Extraction'!$B$2:$B$989, H$2,  'Country-Vehicle Extraction'!$C$2:$C$989, "Total",  'Country-Vehicle Extraction'!$E$2:$E$989, $A9, 'Country-Vehicle Extraction'!$J$2:$J$989, "&lt;&gt;") = 0, "Missing", "Complete")</f>
        <v>Complete</v>
      </c>
      <c r="I9" t="s">
        <v>13</v>
      </c>
    </row>
  </sheetData>
  <mergeCells count="7">
    <mergeCell ref="B1:C1"/>
    <mergeCell ref="B2:C2"/>
    <mergeCell ref="D2:E2"/>
    <mergeCell ref="H1:I1"/>
    <mergeCell ref="H2:I2"/>
    <mergeCell ref="F2:G2"/>
    <mergeCell ref="D1:G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102"/>
  <sheetViews>
    <sheetView tabSelected="1" workbookViewId="0">
      <pane ySplit="1" topLeftCell="A30" activePane="bottomLeft" state="frozen"/>
      <selection pane="bottomLeft" activeCell="A46" activeCellId="3" sqref="A88:XFD92 A96:XFD100 A54:XFD58 A46:XFD50"/>
    </sheetView>
  </sheetViews>
  <sheetFormatPr defaultRowHeight="14.4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0" max="10" width="10.2851562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 ht="29.25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s="5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33</v>
      </c>
      <c r="D46" t="s">
        <v>33</v>
      </c>
      <c r="E46" t="s">
        <v>16</v>
      </c>
      <c r="F46" t="s">
        <v>42</v>
      </c>
      <c r="G46" t="s">
        <v>35</v>
      </c>
      <c r="H46">
        <v>2021</v>
      </c>
      <c r="I46" t="s">
        <v>49</v>
      </c>
      <c r="J46">
        <f>(5.5-2.5)/1.35</f>
        <v>2.2222222222222219</v>
      </c>
      <c r="M46" t="s">
        <v>79</v>
      </c>
    </row>
    <row r="47" spans="1:13">
      <c r="A47" t="s">
        <v>2</v>
      </c>
      <c r="B47" t="s">
        <v>6</v>
      </c>
      <c r="C47" t="s">
        <v>33</v>
      </c>
      <c r="D47" t="s">
        <v>28</v>
      </c>
      <c r="E47" t="s">
        <v>16</v>
      </c>
      <c r="F47" t="s">
        <v>42</v>
      </c>
      <c r="G47" t="s">
        <v>35</v>
      </c>
      <c r="H47">
        <v>2021</v>
      </c>
      <c r="I47" t="s">
        <v>49</v>
      </c>
      <c r="J47">
        <f>(5.4-2.4)/1.35</f>
        <v>2.2222222222222223</v>
      </c>
      <c r="M47" t="s">
        <v>79</v>
      </c>
    </row>
    <row r="48" spans="1:13">
      <c r="A48" t="s">
        <v>2</v>
      </c>
      <c r="B48" t="s">
        <v>6</v>
      </c>
      <c r="C48" t="s">
        <v>33</v>
      </c>
      <c r="D48" t="s">
        <v>77</v>
      </c>
      <c r="E48" t="s">
        <v>16</v>
      </c>
      <c r="F48" t="s">
        <v>42</v>
      </c>
      <c r="G48" t="s">
        <v>35</v>
      </c>
      <c r="H48">
        <v>2021</v>
      </c>
      <c r="I48" t="s">
        <v>49</v>
      </c>
      <c r="J48">
        <f>(5.6-2.5)/1.35</f>
        <v>2.2962962962962958</v>
      </c>
      <c r="M48" t="s">
        <v>79</v>
      </c>
    </row>
    <row r="49" spans="1:13" ht="144.75">
      <c r="A49" t="s">
        <v>2</v>
      </c>
      <c r="B49" t="s">
        <v>6</v>
      </c>
      <c r="C49" t="s">
        <v>33</v>
      </c>
      <c r="D49" t="s">
        <v>33</v>
      </c>
      <c r="E49" t="s">
        <v>17</v>
      </c>
      <c r="F49" t="s">
        <v>29</v>
      </c>
      <c r="G49" t="s">
        <v>30</v>
      </c>
      <c r="H49">
        <v>2021</v>
      </c>
      <c r="I49" t="s">
        <v>49</v>
      </c>
      <c r="J49" s="21">
        <v>0.97961264016309901</v>
      </c>
      <c r="K49" s="17"/>
      <c r="L49" s="17"/>
      <c r="M49" s="5" t="s">
        <v>80</v>
      </c>
    </row>
    <row r="50" spans="1:13">
      <c r="A50" t="s">
        <v>2</v>
      </c>
      <c r="B50" t="s">
        <v>6</v>
      </c>
      <c r="C50" t="s">
        <v>37</v>
      </c>
      <c r="D50" t="s">
        <v>27</v>
      </c>
      <c r="E50" t="s">
        <v>17</v>
      </c>
      <c r="F50" t="s">
        <v>29</v>
      </c>
      <c r="G50" t="s">
        <v>30</v>
      </c>
      <c r="H50">
        <v>2021</v>
      </c>
      <c r="I50" t="s">
        <v>49</v>
      </c>
      <c r="J50" s="17">
        <v>0.96573208722741399</v>
      </c>
    </row>
    <row r="51" spans="1:13">
      <c r="A51" t="s">
        <v>2</v>
      </c>
      <c r="B51" t="s">
        <v>6</v>
      </c>
      <c r="C51" t="s">
        <v>38</v>
      </c>
      <c r="D51" t="s">
        <v>27</v>
      </c>
      <c r="E51" t="s">
        <v>17</v>
      </c>
      <c r="F51" t="s">
        <v>29</v>
      </c>
      <c r="G51" t="s">
        <v>30</v>
      </c>
      <c r="H51">
        <v>2021</v>
      </c>
      <c r="I51" t="s">
        <v>49</v>
      </c>
      <c r="J51" s="7">
        <v>0.9785932721712538</v>
      </c>
    </row>
    <row r="52" spans="1:13">
      <c r="A52" t="s">
        <v>2</v>
      </c>
      <c r="B52" t="s">
        <v>6</v>
      </c>
      <c r="C52" t="s">
        <v>39</v>
      </c>
      <c r="D52" t="s">
        <v>27</v>
      </c>
      <c r="E52" t="s">
        <v>17</v>
      </c>
      <c r="F52" t="s">
        <v>29</v>
      </c>
      <c r="G52" t="s">
        <v>30</v>
      </c>
      <c r="H52">
        <v>2021</v>
      </c>
      <c r="I52" t="s">
        <v>49</v>
      </c>
      <c r="J52" s="20">
        <v>0.98084677419354838</v>
      </c>
    </row>
    <row r="53" spans="1:13">
      <c r="A53" t="s">
        <v>2</v>
      </c>
      <c r="B53" t="s">
        <v>6</v>
      </c>
      <c r="C53" t="s">
        <v>40</v>
      </c>
      <c r="D53" t="s">
        <v>27</v>
      </c>
      <c r="E53" t="s">
        <v>17</v>
      </c>
      <c r="F53" t="s">
        <v>29</v>
      </c>
      <c r="G53" t="s">
        <v>30</v>
      </c>
      <c r="H53">
        <v>2021</v>
      </c>
      <c r="I53" t="s">
        <v>49</v>
      </c>
      <c r="J53" s="7">
        <v>0.98884381338742389</v>
      </c>
    </row>
    <row r="54" spans="1:13">
      <c r="A54" t="s">
        <v>2</v>
      </c>
      <c r="B54" t="s">
        <v>6</v>
      </c>
      <c r="C54" t="s">
        <v>41</v>
      </c>
      <c r="D54" t="s">
        <v>27</v>
      </c>
      <c r="E54" t="s">
        <v>17</v>
      </c>
      <c r="F54" t="s">
        <v>29</v>
      </c>
      <c r="G54" t="s">
        <v>30</v>
      </c>
      <c r="H54">
        <v>2021</v>
      </c>
      <c r="I54" t="s">
        <v>49</v>
      </c>
      <c r="J54" s="20">
        <v>0.98377281947261663</v>
      </c>
    </row>
    <row r="55" spans="1:13" ht="57.75">
      <c r="A55" t="s">
        <v>3</v>
      </c>
      <c r="B55" t="s">
        <v>7</v>
      </c>
      <c r="C55" t="s">
        <v>33</v>
      </c>
      <c r="D55" t="s">
        <v>27</v>
      </c>
      <c r="E55" t="s">
        <v>17</v>
      </c>
      <c r="F55" t="s">
        <v>29</v>
      </c>
      <c r="G55" t="s">
        <v>30</v>
      </c>
      <c r="H55">
        <v>2024</v>
      </c>
      <c r="I55" t="s">
        <v>47</v>
      </c>
      <c r="J55" s="21">
        <v>0</v>
      </c>
      <c r="M55" s="5" t="s">
        <v>81</v>
      </c>
    </row>
    <row r="56" spans="1:13" ht="15">
      <c r="A56" t="s">
        <v>2</v>
      </c>
      <c r="B56" t="s">
        <v>7</v>
      </c>
      <c r="C56" t="s">
        <v>27</v>
      </c>
      <c r="D56" t="s">
        <v>27</v>
      </c>
      <c r="E56" t="s">
        <v>17</v>
      </c>
      <c r="F56" t="s">
        <v>29</v>
      </c>
      <c r="G56" t="s">
        <v>30</v>
      </c>
      <c r="I56" t="s">
        <v>47</v>
      </c>
      <c r="J56" s="7">
        <v>0.3</v>
      </c>
      <c r="M56" s="5" t="s">
        <v>82</v>
      </c>
    </row>
    <row r="57" spans="1:13" ht="43.5">
      <c r="A57" t="s">
        <v>2</v>
      </c>
      <c r="B57" t="s">
        <v>7</v>
      </c>
      <c r="C57" t="s">
        <v>33</v>
      </c>
      <c r="D57" t="s">
        <v>28</v>
      </c>
      <c r="E57" t="s">
        <v>14</v>
      </c>
      <c r="F57" t="s">
        <v>34</v>
      </c>
      <c r="G57" t="s">
        <v>35</v>
      </c>
      <c r="H57">
        <v>2021</v>
      </c>
      <c r="I57" t="s">
        <v>49</v>
      </c>
      <c r="J57">
        <f>61.2*J63</f>
        <v>32.803200000000004</v>
      </c>
      <c r="M57" s="5" t="s">
        <v>83</v>
      </c>
    </row>
    <row r="58" spans="1:13" ht="43.5">
      <c r="A58" t="s">
        <v>2</v>
      </c>
      <c r="B58" t="s">
        <v>7</v>
      </c>
      <c r="C58" t="s">
        <v>37</v>
      </c>
      <c r="D58" t="s">
        <v>28</v>
      </c>
      <c r="E58" t="s">
        <v>14</v>
      </c>
      <c r="F58" t="s">
        <v>34</v>
      </c>
      <c r="G58" t="s">
        <v>35</v>
      </c>
      <c r="H58">
        <v>2021</v>
      </c>
      <c r="I58" t="s">
        <v>49</v>
      </c>
      <c r="J58">
        <f>34.2*J64</f>
        <v>11.491200000000001</v>
      </c>
      <c r="M58" s="5" t="s">
        <v>83</v>
      </c>
    </row>
    <row r="59" spans="1:13" ht="43.5">
      <c r="A59" t="s">
        <v>2</v>
      </c>
      <c r="B59" t="s">
        <v>7</v>
      </c>
      <c r="C59" t="s">
        <v>38</v>
      </c>
      <c r="D59" t="s">
        <v>28</v>
      </c>
      <c r="E59" t="s">
        <v>14</v>
      </c>
      <c r="F59" t="s">
        <v>34</v>
      </c>
      <c r="G59" t="s">
        <v>35</v>
      </c>
      <c r="H59">
        <v>2021</v>
      </c>
      <c r="I59" t="s">
        <v>49</v>
      </c>
      <c r="J59">
        <f>52.4*J65</f>
        <v>23.475200000000001</v>
      </c>
      <c r="M59" s="5" t="s">
        <v>83</v>
      </c>
    </row>
    <row r="60" spans="1:13" ht="43.5">
      <c r="A60" t="s">
        <v>2</v>
      </c>
      <c r="B60" t="s">
        <v>7</v>
      </c>
      <c r="C60" t="s">
        <v>39</v>
      </c>
      <c r="D60" t="s">
        <v>28</v>
      </c>
      <c r="E60" t="s">
        <v>14</v>
      </c>
      <c r="F60" t="s">
        <v>34</v>
      </c>
      <c r="G60" t="s">
        <v>35</v>
      </c>
      <c r="H60">
        <v>2021</v>
      </c>
      <c r="I60" t="s">
        <v>49</v>
      </c>
      <c r="J60">
        <f>60.7*J66</f>
        <v>33.142200000000003</v>
      </c>
      <c r="M60" s="5" t="s">
        <v>83</v>
      </c>
    </row>
    <row r="61" spans="1:13" ht="43.5">
      <c r="A61" t="s">
        <v>2</v>
      </c>
      <c r="B61" t="s">
        <v>7</v>
      </c>
      <c r="C61" t="s">
        <v>40</v>
      </c>
      <c r="D61" t="s">
        <v>28</v>
      </c>
      <c r="E61" t="s">
        <v>14</v>
      </c>
      <c r="F61" t="s">
        <v>34</v>
      </c>
      <c r="G61" t="s">
        <v>35</v>
      </c>
      <c r="H61">
        <v>2021</v>
      </c>
      <c r="I61" t="s">
        <v>49</v>
      </c>
      <c r="J61">
        <f>73.7*J67</f>
        <v>46.652100000000004</v>
      </c>
      <c r="M61" s="5" t="s">
        <v>83</v>
      </c>
    </row>
    <row r="62" spans="1:13" ht="43.5">
      <c r="A62" t="s">
        <v>2</v>
      </c>
      <c r="B62" t="s">
        <v>7</v>
      </c>
      <c r="C62" t="s">
        <v>41</v>
      </c>
      <c r="D62" t="s">
        <v>28</v>
      </c>
      <c r="E62" t="s">
        <v>14</v>
      </c>
      <c r="F62" t="s">
        <v>34</v>
      </c>
      <c r="G62" t="s">
        <v>35</v>
      </c>
      <c r="H62">
        <v>2021</v>
      </c>
      <c r="I62" t="s">
        <v>49</v>
      </c>
      <c r="J62">
        <f>79.5*J68</f>
        <v>53.742000000000004</v>
      </c>
      <c r="M62" s="5" t="s">
        <v>83</v>
      </c>
    </row>
    <row r="63" spans="1:13" ht="29.25">
      <c r="A63" t="s">
        <v>2</v>
      </c>
      <c r="B63" t="s">
        <v>7</v>
      </c>
      <c r="C63" t="s">
        <v>33</v>
      </c>
      <c r="D63" t="s">
        <v>28</v>
      </c>
      <c r="E63" t="s">
        <v>12</v>
      </c>
      <c r="F63" t="s">
        <v>29</v>
      </c>
      <c r="G63" t="s">
        <v>30</v>
      </c>
      <c r="I63" t="s">
        <v>84</v>
      </c>
      <c r="J63" s="21">
        <v>0.53600000000000003</v>
      </c>
      <c r="M63" s="5" t="s">
        <v>85</v>
      </c>
    </row>
    <row r="64" spans="1:13">
      <c r="A64" t="s">
        <v>2</v>
      </c>
      <c r="B64" t="s">
        <v>7</v>
      </c>
      <c r="C64" t="s">
        <v>37</v>
      </c>
      <c r="D64" t="s">
        <v>28</v>
      </c>
      <c r="E64" t="s">
        <v>12</v>
      </c>
      <c r="F64" t="s">
        <v>29</v>
      </c>
      <c r="G64" t="s">
        <v>30</v>
      </c>
      <c r="I64" t="s">
        <v>84</v>
      </c>
      <c r="J64" s="21">
        <v>0.33600000000000002</v>
      </c>
    </row>
    <row r="65" spans="1:13">
      <c r="A65" t="s">
        <v>2</v>
      </c>
      <c r="B65" t="s">
        <v>7</v>
      </c>
      <c r="C65" t="s">
        <v>38</v>
      </c>
      <c r="D65" t="s">
        <v>28</v>
      </c>
      <c r="E65" t="s">
        <v>12</v>
      </c>
      <c r="F65" t="s">
        <v>29</v>
      </c>
      <c r="G65" t="s">
        <v>30</v>
      </c>
      <c r="I65" t="s">
        <v>84</v>
      </c>
      <c r="J65" s="21">
        <v>0.44800000000000001</v>
      </c>
    </row>
    <row r="66" spans="1:13">
      <c r="A66" t="s">
        <v>2</v>
      </c>
      <c r="B66" t="s">
        <v>7</v>
      </c>
      <c r="C66" t="s">
        <v>39</v>
      </c>
      <c r="D66" t="s">
        <v>28</v>
      </c>
      <c r="E66" t="s">
        <v>12</v>
      </c>
      <c r="F66" t="s">
        <v>29</v>
      </c>
      <c r="G66" t="s">
        <v>30</v>
      </c>
      <c r="I66" t="s">
        <v>84</v>
      </c>
      <c r="J66" s="21">
        <v>0.54600000000000004</v>
      </c>
    </row>
    <row r="67" spans="1:13">
      <c r="A67" t="s">
        <v>2</v>
      </c>
      <c r="B67" t="s">
        <v>7</v>
      </c>
      <c r="C67" t="s">
        <v>40</v>
      </c>
      <c r="D67" t="s">
        <v>28</v>
      </c>
      <c r="E67" t="s">
        <v>12</v>
      </c>
      <c r="F67" t="s">
        <v>29</v>
      </c>
      <c r="G67" t="s">
        <v>30</v>
      </c>
      <c r="I67" t="s">
        <v>84</v>
      </c>
      <c r="J67" s="21">
        <v>0.63300000000000001</v>
      </c>
    </row>
    <row r="68" spans="1:13">
      <c r="A68" t="s">
        <v>2</v>
      </c>
      <c r="B68" t="s">
        <v>7</v>
      </c>
      <c r="C68" t="s">
        <v>41</v>
      </c>
      <c r="D68" t="s">
        <v>28</v>
      </c>
      <c r="E68" t="s">
        <v>12</v>
      </c>
      <c r="F68" t="s">
        <v>29</v>
      </c>
      <c r="G68" t="s">
        <v>30</v>
      </c>
      <c r="I68" t="s">
        <v>84</v>
      </c>
      <c r="J68" s="21">
        <v>0.67600000000000005</v>
      </c>
    </row>
    <row r="69" spans="1:13" ht="29.25">
      <c r="A69" t="s">
        <v>2</v>
      </c>
      <c r="B69" t="s">
        <v>7</v>
      </c>
      <c r="C69" t="s">
        <v>33</v>
      </c>
      <c r="D69" t="s">
        <v>28</v>
      </c>
      <c r="E69" t="s">
        <v>14</v>
      </c>
      <c r="F69" t="s">
        <v>42</v>
      </c>
      <c r="G69" t="s">
        <v>35</v>
      </c>
      <c r="H69">
        <v>2021</v>
      </c>
      <c r="I69" t="s">
        <v>49</v>
      </c>
      <c r="J69">
        <f>(84.6-30.5)/1.35</f>
        <v>40.074074074074069</v>
      </c>
      <c r="M69" s="5" t="s">
        <v>86</v>
      </c>
    </row>
    <row r="70" spans="1:13">
      <c r="A70" t="s">
        <v>2</v>
      </c>
      <c r="B70" t="s">
        <v>7</v>
      </c>
      <c r="C70" t="s">
        <v>37</v>
      </c>
      <c r="D70" t="s">
        <v>28</v>
      </c>
      <c r="E70" t="s">
        <v>14</v>
      </c>
      <c r="F70" t="s">
        <v>42</v>
      </c>
      <c r="G70" t="s">
        <v>35</v>
      </c>
      <c r="H70">
        <v>2021</v>
      </c>
      <c r="I70" t="s">
        <v>49</v>
      </c>
      <c r="J70">
        <f>(47.2-13.7)/1.35</f>
        <v>24.814814814814813</v>
      </c>
    </row>
    <row r="71" spans="1:13">
      <c r="A71" t="s">
        <v>2</v>
      </c>
      <c r="B71" t="s">
        <v>7</v>
      </c>
      <c r="C71" t="s">
        <v>38</v>
      </c>
      <c r="D71" t="s">
        <v>28</v>
      </c>
      <c r="E71" t="s">
        <v>14</v>
      </c>
      <c r="F71" t="s">
        <v>42</v>
      </c>
      <c r="G71" t="s">
        <v>35</v>
      </c>
      <c r="H71">
        <v>2021</v>
      </c>
      <c r="I71" t="s">
        <v>49</v>
      </c>
      <c r="J71">
        <f>(71.4-26.4)/1.35</f>
        <v>33.333333333333336</v>
      </c>
    </row>
    <row r="72" spans="1:13">
      <c r="A72" t="s">
        <v>2</v>
      </c>
      <c r="B72" t="s">
        <v>7</v>
      </c>
      <c r="C72" t="s">
        <v>39</v>
      </c>
      <c r="D72" t="s">
        <v>28</v>
      </c>
      <c r="E72" t="s">
        <v>14</v>
      </c>
      <c r="F72" t="s">
        <v>42</v>
      </c>
      <c r="G72" t="s">
        <v>35</v>
      </c>
      <c r="H72">
        <v>2021</v>
      </c>
      <c r="I72" t="s">
        <v>49</v>
      </c>
      <c r="J72">
        <f>(81.1-33.8)/1.35</f>
        <v>35.037037037037031</v>
      </c>
    </row>
    <row r="73" spans="1:13">
      <c r="A73" t="s">
        <v>2</v>
      </c>
      <c r="B73" t="s">
        <v>7</v>
      </c>
      <c r="C73" t="s">
        <v>40</v>
      </c>
      <c r="D73" t="s">
        <v>28</v>
      </c>
      <c r="E73" t="s">
        <v>14</v>
      </c>
      <c r="F73" t="s">
        <v>42</v>
      </c>
      <c r="G73" t="s">
        <v>35</v>
      </c>
      <c r="H73">
        <v>2021</v>
      </c>
      <c r="I73" t="s">
        <v>49</v>
      </c>
      <c r="J73">
        <f>(96.3-45.3)/1.35</f>
        <v>37.777777777777779</v>
      </c>
    </row>
    <row r="74" spans="1:13">
      <c r="A74" t="s">
        <v>2</v>
      </c>
      <c r="B74" t="s">
        <v>7</v>
      </c>
      <c r="C74" t="s">
        <v>41</v>
      </c>
      <c r="D74" t="s">
        <v>28</v>
      </c>
      <c r="E74" t="s">
        <v>14</v>
      </c>
      <c r="F74" t="s">
        <v>42</v>
      </c>
      <c r="G74" t="s">
        <v>35</v>
      </c>
      <c r="H74">
        <v>2021</v>
      </c>
      <c r="I74" t="s">
        <v>49</v>
      </c>
      <c r="J74">
        <f>(103.1-50.4)/1.35</f>
        <v>39.037037037037031</v>
      </c>
    </row>
    <row r="75" spans="1:13" ht="43.5">
      <c r="A75" t="s">
        <v>2</v>
      </c>
      <c r="B75" t="s">
        <v>7</v>
      </c>
      <c r="C75" t="s">
        <v>33</v>
      </c>
      <c r="D75" t="s">
        <v>33</v>
      </c>
      <c r="E75" t="s">
        <v>16</v>
      </c>
      <c r="F75" t="s">
        <v>34</v>
      </c>
      <c r="G75" t="s">
        <v>35</v>
      </c>
      <c r="H75">
        <v>2021</v>
      </c>
      <c r="I75" t="s">
        <v>49</v>
      </c>
      <c r="J75">
        <f>38.3*J81</f>
        <v>20.5288</v>
      </c>
      <c r="M75" s="5" t="s">
        <v>87</v>
      </c>
    </row>
    <row r="76" spans="1:13" ht="43.5">
      <c r="A76" t="s">
        <v>2</v>
      </c>
      <c r="B76" t="s">
        <v>7</v>
      </c>
      <c r="C76" t="s">
        <v>33</v>
      </c>
      <c r="D76" t="s">
        <v>28</v>
      </c>
      <c r="E76" t="s">
        <v>16</v>
      </c>
      <c r="F76" t="s">
        <v>34</v>
      </c>
      <c r="G76" t="s">
        <v>35</v>
      </c>
      <c r="H76">
        <v>2021</v>
      </c>
      <c r="I76" t="s">
        <v>49</v>
      </c>
      <c r="J76">
        <f>35.5*J81</f>
        <v>19.028000000000002</v>
      </c>
      <c r="M76" s="5" t="s">
        <v>87</v>
      </c>
    </row>
    <row r="77" spans="1:13" ht="43.5">
      <c r="A77" t="s">
        <v>2</v>
      </c>
      <c r="B77" t="s">
        <v>7</v>
      </c>
      <c r="C77" t="s">
        <v>33</v>
      </c>
      <c r="D77" t="s">
        <v>77</v>
      </c>
      <c r="E77" t="s">
        <v>16</v>
      </c>
      <c r="F77" t="s">
        <v>34</v>
      </c>
      <c r="G77" t="s">
        <v>35</v>
      </c>
      <c r="H77">
        <v>2021</v>
      </c>
      <c r="I77" t="s">
        <v>49</v>
      </c>
      <c r="J77">
        <f>41*J81</f>
        <v>21.976000000000003</v>
      </c>
      <c r="M77" s="5" t="s">
        <v>87</v>
      </c>
    </row>
    <row r="78" spans="1:13" ht="29.25">
      <c r="A78" t="s">
        <v>2</v>
      </c>
      <c r="B78" t="s">
        <v>7</v>
      </c>
      <c r="C78" t="s">
        <v>33</v>
      </c>
      <c r="D78" t="s">
        <v>33</v>
      </c>
      <c r="E78" t="s">
        <v>16</v>
      </c>
      <c r="F78" t="s">
        <v>42</v>
      </c>
      <c r="G78" t="s">
        <v>35</v>
      </c>
      <c r="H78">
        <v>2021</v>
      </c>
      <c r="I78" t="s">
        <v>49</v>
      </c>
      <c r="J78">
        <f>(53.6-19)/1.35</f>
        <v>25.62962962962963</v>
      </c>
      <c r="M78" s="5" t="s">
        <v>88</v>
      </c>
    </row>
    <row r="79" spans="1:13" ht="29.25">
      <c r="A79" t="s">
        <v>2</v>
      </c>
      <c r="B79" t="s">
        <v>7</v>
      </c>
      <c r="C79" t="s">
        <v>33</v>
      </c>
      <c r="D79" t="s">
        <v>28</v>
      </c>
      <c r="E79" t="s">
        <v>16</v>
      </c>
      <c r="F79" t="s">
        <v>42</v>
      </c>
      <c r="G79" t="s">
        <v>35</v>
      </c>
      <c r="H79">
        <v>2021</v>
      </c>
      <c r="I79" t="s">
        <v>49</v>
      </c>
      <c r="J79">
        <f>(49.5-17.1)/1.35</f>
        <v>23.999999999999996</v>
      </c>
      <c r="M79" s="5" t="s">
        <v>88</v>
      </c>
    </row>
    <row r="80" spans="1:13" ht="29.25">
      <c r="A80" t="s">
        <v>2</v>
      </c>
      <c r="B80" t="s">
        <v>7</v>
      </c>
      <c r="C80" t="s">
        <v>33</v>
      </c>
      <c r="D80" t="s">
        <v>77</v>
      </c>
      <c r="E80" t="s">
        <v>16</v>
      </c>
      <c r="F80" t="s">
        <v>42</v>
      </c>
      <c r="G80" t="s">
        <v>35</v>
      </c>
      <c r="H80">
        <v>2021</v>
      </c>
      <c r="I80" t="s">
        <v>49</v>
      </c>
      <c r="J80">
        <f>(57.6-20.7)/1.35</f>
        <v>27.333333333333336</v>
      </c>
      <c r="M80" s="5" t="s">
        <v>88</v>
      </c>
    </row>
    <row r="81" spans="1:13" ht="29.25">
      <c r="A81" t="s">
        <v>2</v>
      </c>
      <c r="B81" t="s">
        <v>7</v>
      </c>
      <c r="C81" t="s">
        <v>33</v>
      </c>
      <c r="D81" t="s">
        <v>27</v>
      </c>
      <c r="E81" t="s">
        <v>15</v>
      </c>
      <c r="F81" t="s">
        <v>29</v>
      </c>
      <c r="G81" t="s">
        <v>30</v>
      </c>
      <c r="I81" t="s">
        <v>84</v>
      </c>
      <c r="J81" s="21">
        <v>0.53600000000000003</v>
      </c>
      <c r="M81" s="5" t="s">
        <v>85</v>
      </c>
    </row>
    <row r="82" spans="1:13">
      <c r="A82" t="s">
        <v>2</v>
      </c>
      <c r="B82" t="s">
        <v>7</v>
      </c>
      <c r="C82" t="s">
        <v>37</v>
      </c>
      <c r="D82" t="s">
        <v>27</v>
      </c>
      <c r="E82" t="s">
        <v>15</v>
      </c>
      <c r="F82" t="s">
        <v>29</v>
      </c>
      <c r="G82" t="s">
        <v>30</v>
      </c>
      <c r="I82" t="s">
        <v>84</v>
      </c>
      <c r="J82" s="21">
        <v>0.33600000000000002</v>
      </c>
    </row>
    <row r="83" spans="1:13">
      <c r="A83" t="s">
        <v>2</v>
      </c>
      <c r="B83" t="s">
        <v>7</v>
      </c>
      <c r="C83" t="s">
        <v>38</v>
      </c>
      <c r="D83" t="s">
        <v>27</v>
      </c>
      <c r="E83" t="s">
        <v>15</v>
      </c>
      <c r="F83" t="s">
        <v>29</v>
      </c>
      <c r="G83" t="s">
        <v>30</v>
      </c>
      <c r="I83" t="s">
        <v>84</v>
      </c>
      <c r="J83" s="21">
        <v>0.44800000000000001</v>
      </c>
    </row>
    <row r="84" spans="1:13">
      <c r="A84" t="s">
        <v>2</v>
      </c>
      <c r="B84" t="s">
        <v>7</v>
      </c>
      <c r="C84" t="s">
        <v>39</v>
      </c>
      <c r="D84" t="s">
        <v>27</v>
      </c>
      <c r="E84" t="s">
        <v>15</v>
      </c>
      <c r="F84" t="s">
        <v>29</v>
      </c>
      <c r="G84" t="s">
        <v>30</v>
      </c>
      <c r="I84" t="s">
        <v>84</v>
      </c>
      <c r="J84" s="21">
        <v>0.54600000000000004</v>
      </c>
    </row>
    <row r="85" spans="1:13">
      <c r="A85" t="s">
        <v>2</v>
      </c>
      <c r="B85" t="s">
        <v>7</v>
      </c>
      <c r="C85" t="s">
        <v>40</v>
      </c>
      <c r="D85" t="s">
        <v>27</v>
      </c>
      <c r="E85" t="s">
        <v>15</v>
      </c>
      <c r="F85" t="s">
        <v>29</v>
      </c>
      <c r="G85" t="s">
        <v>30</v>
      </c>
      <c r="I85" t="s">
        <v>84</v>
      </c>
      <c r="J85" s="21">
        <v>0.63300000000000001</v>
      </c>
    </row>
    <row r="86" spans="1:13">
      <c r="A86" t="s">
        <v>2</v>
      </c>
      <c r="B86" t="s">
        <v>7</v>
      </c>
      <c r="C86" t="s">
        <v>41</v>
      </c>
      <c r="D86" t="s">
        <v>27</v>
      </c>
      <c r="E86" t="s">
        <v>15</v>
      </c>
      <c r="F86" t="s">
        <v>29</v>
      </c>
      <c r="G86" t="s">
        <v>30</v>
      </c>
      <c r="I86" t="s">
        <v>84</v>
      </c>
      <c r="J86" s="21">
        <v>0.67600000000000005</v>
      </c>
    </row>
    <row r="91" spans="1:13" ht="15"/>
    <row r="92" spans="1:13" ht="15"/>
    <row r="97" ht="15"/>
    <row r="102" ht="15"/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Q8"/>
  <sheetViews>
    <sheetView workbookViewId="0">
      <selection activeCell="F1" sqref="F1:M1"/>
    </sheetView>
  </sheetViews>
  <sheetFormatPr defaultRowHeight="14.4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4" max="17" width="15.85546875" bestFit="1" customWidth="1"/>
  </cols>
  <sheetData>
    <row r="1" spans="1:17" ht="15">
      <c r="A1" s="3" t="s">
        <v>0</v>
      </c>
      <c r="B1" s="34" t="s">
        <v>1</v>
      </c>
      <c r="C1" s="34"/>
      <c r="D1" s="34"/>
      <c r="E1" s="34"/>
      <c r="F1" s="34" t="s">
        <v>2</v>
      </c>
      <c r="G1" s="34"/>
      <c r="H1" s="34"/>
      <c r="I1" s="34"/>
      <c r="J1" s="34"/>
      <c r="K1" s="34"/>
      <c r="L1" s="34"/>
      <c r="M1" s="34"/>
      <c r="N1" s="35" t="s">
        <v>3</v>
      </c>
      <c r="O1" s="35"/>
      <c r="P1" s="35"/>
      <c r="Q1" s="35"/>
    </row>
    <row r="2" spans="1:17" ht="15">
      <c r="A2" s="3" t="s">
        <v>4</v>
      </c>
      <c r="B2" s="34" t="s">
        <v>5</v>
      </c>
      <c r="C2" s="34"/>
      <c r="D2" s="34"/>
      <c r="E2" s="34"/>
      <c r="F2" s="34" t="s">
        <v>6</v>
      </c>
      <c r="G2" s="34"/>
      <c r="H2" s="34"/>
      <c r="I2" s="34"/>
      <c r="J2" s="34" t="s">
        <v>7</v>
      </c>
      <c r="K2" s="34"/>
      <c r="L2" s="34"/>
      <c r="M2" s="34"/>
      <c r="N2" s="34" t="s">
        <v>7</v>
      </c>
      <c r="O2" s="34"/>
      <c r="P2" s="34"/>
      <c r="Q2" s="34"/>
    </row>
    <row r="3" spans="1:17" ht="15">
      <c r="A3" s="3" t="s">
        <v>89</v>
      </c>
      <c r="B3" s="34" t="s">
        <v>90</v>
      </c>
      <c r="C3" s="34"/>
      <c r="D3" s="34" t="s">
        <v>91</v>
      </c>
      <c r="E3" s="34"/>
      <c r="F3" s="34" t="s">
        <v>90</v>
      </c>
      <c r="G3" s="34"/>
      <c r="H3" s="34" t="s">
        <v>91</v>
      </c>
      <c r="I3" s="34"/>
      <c r="J3" s="34" t="s">
        <v>90</v>
      </c>
      <c r="K3" s="34"/>
      <c r="L3" s="34" t="s">
        <v>91</v>
      </c>
      <c r="M3" s="34"/>
      <c r="N3" s="34" t="s">
        <v>90</v>
      </c>
      <c r="O3" s="34"/>
      <c r="P3" s="34" t="s">
        <v>91</v>
      </c>
      <c r="Q3" s="34"/>
    </row>
    <row r="4" spans="1:17" ht="15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  <c r="N4" s="2" t="s">
        <v>9</v>
      </c>
      <c r="O4" s="1" t="s">
        <v>10</v>
      </c>
      <c r="P4" s="2" t="s">
        <v>9</v>
      </c>
      <c r="Q4" s="1" t="s">
        <v>10</v>
      </c>
    </row>
    <row r="5" spans="1:17" ht="15">
      <c r="A5" s="1" t="s">
        <v>11</v>
      </c>
      <c r="B5" s="1"/>
      <c r="C5" s="1"/>
      <c r="D5" s="1"/>
      <c r="E5" s="1"/>
      <c r="F5" s="1"/>
      <c r="G5" s="1"/>
    </row>
    <row r="6" spans="1:17" ht="15">
      <c r="A6" t="s">
        <v>92</v>
      </c>
      <c r="B6" t="s">
        <v>93</v>
      </c>
      <c r="C6" t="s">
        <v>93</v>
      </c>
      <c r="D6" t="s">
        <v>94</v>
      </c>
      <c r="E6" t="s">
        <v>94</v>
      </c>
      <c r="F6" t="s">
        <v>93</v>
      </c>
      <c r="G6" t="s">
        <v>93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93</v>
      </c>
      <c r="K6" t="s">
        <v>93</v>
      </c>
      <c r="L6" t="s">
        <v>93</v>
      </c>
      <c r="M6" t="s">
        <v>93</v>
      </c>
      <c r="N6" t="s">
        <v>13</v>
      </c>
      <c r="O6" t="s">
        <v>13</v>
      </c>
      <c r="P6" t="s">
        <v>13</v>
      </c>
      <c r="Q6" t="s">
        <v>13</v>
      </c>
    </row>
    <row r="7" spans="1:17" ht="15">
      <c r="A7" t="s">
        <v>95</v>
      </c>
      <c r="B7" t="s">
        <v>93</v>
      </c>
      <c r="C7" t="s">
        <v>93</v>
      </c>
      <c r="D7" t="s">
        <v>94</v>
      </c>
      <c r="E7" t="s">
        <v>94</v>
      </c>
      <c r="F7" t="s">
        <v>93</v>
      </c>
      <c r="G7" t="s">
        <v>93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93</v>
      </c>
      <c r="K7" t="s">
        <v>93</v>
      </c>
      <c r="L7" t="s">
        <v>93</v>
      </c>
      <c r="M7" t="s">
        <v>93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96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96</v>
      </c>
    </row>
    <row r="8" spans="1:17" ht="15">
      <c r="A8" t="s">
        <v>97</v>
      </c>
      <c r="B8" t="s">
        <v>93</v>
      </c>
      <c r="C8" t="s">
        <v>93</v>
      </c>
      <c r="D8" t="s">
        <v>94</v>
      </c>
      <c r="E8" t="s">
        <v>94</v>
      </c>
      <c r="F8" t="s">
        <v>93</v>
      </c>
      <c r="G8" t="s">
        <v>93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93</v>
      </c>
      <c r="K8" t="s">
        <v>93</v>
      </c>
      <c r="L8" t="s">
        <v>93</v>
      </c>
      <c r="M8" t="s">
        <v>93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96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96</v>
      </c>
    </row>
  </sheetData>
  <mergeCells count="15">
    <mergeCell ref="N1:Q1"/>
    <mergeCell ref="N2:Q2"/>
    <mergeCell ref="N3:O3"/>
    <mergeCell ref="P3:Q3"/>
    <mergeCell ref="B3:C3"/>
    <mergeCell ref="D3:E3"/>
    <mergeCell ref="B1:E1"/>
    <mergeCell ref="B2:E2"/>
    <mergeCell ref="F2:I2"/>
    <mergeCell ref="F3:G3"/>
    <mergeCell ref="H3:I3"/>
    <mergeCell ref="J2:M2"/>
    <mergeCell ref="J3:K3"/>
    <mergeCell ref="L3:M3"/>
    <mergeCell ref="F1:M1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25"/>
  <sheetViews>
    <sheetView workbookViewId="0">
      <pane ySplit="1" topLeftCell="A8" activePane="bottomLeft" state="frozen"/>
      <selection pane="bottomLeft" activeCell="L25" sqref="A24:L25"/>
    </sheetView>
  </sheetViews>
  <sheetFormatPr defaultRowHeight="14.4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89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90</v>
      </c>
      <c r="D2" t="s">
        <v>27</v>
      </c>
      <c r="E2" t="s">
        <v>92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90</v>
      </c>
      <c r="D3" t="s">
        <v>27</v>
      </c>
      <c r="E3" t="s">
        <v>95</v>
      </c>
      <c r="F3" t="s">
        <v>98</v>
      </c>
      <c r="G3" s="8" t="s">
        <v>99</v>
      </c>
      <c r="I3" t="s">
        <v>47</v>
      </c>
      <c r="J3" s="10">
        <v>0</v>
      </c>
    </row>
    <row r="4" spans="1:12" ht="15">
      <c r="A4" t="s">
        <v>2</v>
      </c>
      <c r="B4" t="s">
        <v>7</v>
      </c>
      <c r="C4" t="s">
        <v>90</v>
      </c>
      <c r="D4" t="s">
        <v>27</v>
      </c>
      <c r="E4" t="s">
        <v>92</v>
      </c>
      <c r="F4" t="s">
        <v>29</v>
      </c>
      <c r="G4" s="8" t="s">
        <v>30</v>
      </c>
      <c r="I4" t="s">
        <v>47</v>
      </c>
      <c r="J4" s="7">
        <v>0</v>
      </c>
      <c r="L4" t="s">
        <v>100</v>
      </c>
    </row>
    <row r="5" spans="1:12" ht="15">
      <c r="A5" t="s">
        <v>2</v>
      </c>
      <c r="B5" t="s">
        <v>7</v>
      </c>
      <c r="C5" t="s">
        <v>90</v>
      </c>
      <c r="D5" t="s">
        <v>27</v>
      </c>
      <c r="E5" t="s">
        <v>95</v>
      </c>
      <c r="F5" t="s">
        <v>98</v>
      </c>
      <c r="G5" s="8" t="s">
        <v>99</v>
      </c>
      <c r="I5" t="s">
        <v>47</v>
      </c>
      <c r="J5" s="10">
        <v>0</v>
      </c>
      <c r="L5" t="s">
        <v>100</v>
      </c>
    </row>
    <row r="6" spans="1:12" ht="15">
      <c r="A6" t="s">
        <v>2</v>
      </c>
      <c r="B6" t="s">
        <v>7</v>
      </c>
      <c r="C6" t="s">
        <v>91</v>
      </c>
      <c r="D6" t="s">
        <v>27</v>
      </c>
      <c r="E6" t="s">
        <v>92</v>
      </c>
      <c r="F6" t="s">
        <v>29</v>
      </c>
      <c r="G6" s="8" t="s">
        <v>30</v>
      </c>
      <c r="I6" t="s">
        <v>47</v>
      </c>
      <c r="J6" s="7">
        <v>0</v>
      </c>
      <c r="L6" t="s">
        <v>100</v>
      </c>
    </row>
    <row r="7" spans="1:12" ht="15">
      <c r="A7" t="s">
        <v>2</v>
      </c>
      <c r="B7" t="s">
        <v>7</v>
      </c>
      <c r="C7" t="s">
        <v>91</v>
      </c>
      <c r="D7" t="s">
        <v>27</v>
      </c>
      <c r="E7" t="s">
        <v>95</v>
      </c>
      <c r="F7" t="s">
        <v>98</v>
      </c>
      <c r="G7" s="8" t="s">
        <v>99</v>
      </c>
      <c r="I7" t="s">
        <v>47</v>
      </c>
      <c r="J7" s="10">
        <v>0</v>
      </c>
      <c r="L7" t="s">
        <v>100</v>
      </c>
    </row>
    <row r="8" spans="1:12">
      <c r="A8" t="s">
        <v>2</v>
      </c>
      <c r="B8" t="s">
        <v>6</v>
      </c>
      <c r="C8" t="s">
        <v>91</v>
      </c>
      <c r="D8" t="s">
        <v>33</v>
      </c>
      <c r="E8" t="s">
        <v>92</v>
      </c>
      <c r="F8" t="s">
        <v>29</v>
      </c>
      <c r="G8" s="8" t="s">
        <v>30</v>
      </c>
      <c r="I8" t="s">
        <v>47</v>
      </c>
      <c r="J8" s="7">
        <v>0.61875637104994896</v>
      </c>
      <c r="L8" s="9" t="s">
        <v>101</v>
      </c>
    </row>
    <row r="9" spans="1:12">
      <c r="A9" t="s">
        <v>2</v>
      </c>
      <c r="B9" t="s">
        <v>6</v>
      </c>
      <c r="C9" t="s">
        <v>91</v>
      </c>
      <c r="D9" t="s">
        <v>37</v>
      </c>
      <c r="E9" t="s">
        <v>92</v>
      </c>
      <c r="F9" t="s">
        <v>29</v>
      </c>
      <c r="G9" s="8" t="s">
        <v>30</v>
      </c>
      <c r="I9" t="s">
        <v>47</v>
      </c>
      <c r="J9" s="7">
        <v>0.51921079958463134</v>
      </c>
      <c r="L9" s="9"/>
    </row>
    <row r="10" spans="1:12">
      <c r="A10" t="s">
        <v>2</v>
      </c>
      <c r="B10" t="s">
        <v>6</v>
      </c>
      <c r="C10" t="s">
        <v>91</v>
      </c>
      <c r="D10" t="s">
        <v>38</v>
      </c>
      <c r="E10" t="s">
        <v>92</v>
      </c>
      <c r="F10" t="s">
        <v>29</v>
      </c>
      <c r="G10" s="8" t="s">
        <v>30</v>
      </c>
      <c r="I10" t="s">
        <v>47</v>
      </c>
      <c r="J10" s="7">
        <v>0.58409785932721714</v>
      </c>
      <c r="L10" s="9"/>
    </row>
    <row r="11" spans="1:12">
      <c r="A11" t="s">
        <v>2</v>
      </c>
      <c r="B11" t="s">
        <v>6</v>
      </c>
      <c r="C11" t="s">
        <v>91</v>
      </c>
      <c r="D11" t="s">
        <v>39</v>
      </c>
      <c r="E11" t="s">
        <v>92</v>
      </c>
      <c r="F11" t="s">
        <v>29</v>
      </c>
      <c r="G11" s="8" t="s">
        <v>30</v>
      </c>
      <c r="I11" t="s">
        <v>47</v>
      </c>
      <c r="J11" s="7">
        <v>0.63810483870967738</v>
      </c>
      <c r="L11" s="9"/>
    </row>
    <row r="12" spans="1:12">
      <c r="A12" t="s">
        <v>2</v>
      </c>
      <c r="B12" t="s">
        <v>6</v>
      </c>
      <c r="C12" t="s">
        <v>91</v>
      </c>
      <c r="D12" t="s">
        <v>40</v>
      </c>
      <c r="E12" t="s">
        <v>92</v>
      </c>
      <c r="F12" t="s">
        <v>29</v>
      </c>
      <c r="G12" s="8" t="s">
        <v>30</v>
      </c>
      <c r="I12" t="s">
        <v>47</v>
      </c>
      <c r="J12" s="7">
        <v>0.66937119675456391</v>
      </c>
      <c r="L12" s="9"/>
    </row>
    <row r="13" spans="1:12">
      <c r="A13" t="s">
        <v>2</v>
      </c>
      <c r="B13" t="s">
        <v>6</v>
      </c>
      <c r="C13" t="s">
        <v>91</v>
      </c>
      <c r="D13" t="s">
        <v>41</v>
      </c>
      <c r="E13" t="s">
        <v>92</v>
      </c>
      <c r="F13" t="s">
        <v>29</v>
      </c>
      <c r="G13" s="8" t="s">
        <v>30</v>
      </c>
      <c r="I13" t="s">
        <v>47</v>
      </c>
      <c r="J13" s="7">
        <v>0.69979716024340777</v>
      </c>
      <c r="L13" s="9"/>
    </row>
    <row r="14" spans="1:12" ht="101.45">
      <c r="A14" t="s">
        <v>2</v>
      </c>
      <c r="B14" t="s">
        <v>6</v>
      </c>
      <c r="C14" t="s">
        <v>91</v>
      </c>
      <c r="D14" t="s">
        <v>27</v>
      </c>
      <c r="E14" t="s">
        <v>95</v>
      </c>
      <c r="F14" t="s">
        <v>98</v>
      </c>
      <c r="G14" s="8" t="s">
        <v>99</v>
      </c>
      <c r="I14" t="s">
        <v>47</v>
      </c>
      <c r="J14" s="10">
        <v>420</v>
      </c>
      <c r="L14" s="32" t="s">
        <v>102</v>
      </c>
    </row>
    <row r="15" spans="1:12">
      <c r="A15" t="s">
        <v>2</v>
      </c>
      <c r="B15" t="s">
        <v>6</v>
      </c>
      <c r="C15" t="s">
        <v>90</v>
      </c>
      <c r="D15" t="s">
        <v>27</v>
      </c>
      <c r="E15" t="s">
        <v>92</v>
      </c>
      <c r="F15" t="s">
        <v>29</v>
      </c>
      <c r="G15" s="8" t="s">
        <v>30</v>
      </c>
      <c r="I15" t="s">
        <v>47</v>
      </c>
      <c r="J15" s="7">
        <v>0</v>
      </c>
      <c r="L15" s="9" t="s">
        <v>103</v>
      </c>
    </row>
    <row r="16" spans="1:12">
      <c r="A16" t="s">
        <v>2</v>
      </c>
      <c r="B16" t="s">
        <v>6</v>
      </c>
      <c r="C16" t="s">
        <v>90</v>
      </c>
      <c r="D16" t="s">
        <v>27</v>
      </c>
      <c r="E16" t="s">
        <v>95</v>
      </c>
      <c r="F16" t="s">
        <v>98</v>
      </c>
      <c r="G16" s="8" t="s">
        <v>99</v>
      </c>
      <c r="I16" t="s">
        <v>47</v>
      </c>
      <c r="J16" s="10">
        <v>0</v>
      </c>
      <c r="L16" s="9"/>
    </row>
    <row r="17" spans="1:12" ht="43.5">
      <c r="A17" t="s">
        <v>3</v>
      </c>
      <c r="B17" t="s">
        <v>7</v>
      </c>
      <c r="C17" t="s">
        <v>91</v>
      </c>
      <c r="D17" t="s">
        <v>27</v>
      </c>
      <c r="E17" t="s">
        <v>95</v>
      </c>
      <c r="F17" t="s">
        <v>98</v>
      </c>
      <c r="G17" t="s">
        <v>99</v>
      </c>
      <c r="I17" t="s">
        <v>104</v>
      </c>
      <c r="J17">
        <v>42.5</v>
      </c>
      <c r="L17" s="5" t="s">
        <v>105</v>
      </c>
    </row>
    <row r="18" spans="1:12" ht="43.5">
      <c r="A18" t="s">
        <v>3</v>
      </c>
      <c r="B18" t="s">
        <v>7</v>
      </c>
      <c r="C18" t="s">
        <v>90</v>
      </c>
      <c r="D18" t="s">
        <v>27</v>
      </c>
      <c r="E18" t="s">
        <v>95</v>
      </c>
      <c r="F18" t="s">
        <v>98</v>
      </c>
      <c r="G18" t="s">
        <v>99</v>
      </c>
      <c r="I18" t="s">
        <v>104</v>
      </c>
      <c r="J18">
        <v>0.125</v>
      </c>
      <c r="L18" s="32" t="s">
        <v>106</v>
      </c>
    </row>
    <row r="19" spans="1:12">
      <c r="A19" t="s">
        <v>2</v>
      </c>
      <c r="B19" t="s">
        <v>6</v>
      </c>
      <c r="C19" t="s">
        <v>91</v>
      </c>
      <c r="D19" t="s">
        <v>27</v>
      </c>
      <c r="E19" t="s">
        <v>97</v>
      </c>
      <c r="F19" t="s">
        <v>29</v>
      </c>
      <c r="G19" s="8" t="s">
        <v>30</v>
      </c>
      <c r="I19" t="s">
        <v>47</v>
      </c>
      <c r="J19" s="20">
        <v>0</v>
      </c>
      <c r="L19" t="s">
        <v>107</v>
      </c>
    </row>
    <row r="20" spans="1:12">
      <c r="A20" t="s">
        <v>2</v>
      </c>
      <c r="B20" t="s">
        <v>6</v>
      </c>
      <c r="C20" t="s">
        <v>90</v>
      </c>
      <c r="D20" t="s">
        <v>27</v>
      </c>
      <c r="E20" t="s">
        <v>97</v>
      </c>
      <c r="F20" t="s">
        <v>29</v>
      </c>
      <c r="G20" s="8" t="s">
        <v>30</v>
      </c>
      <c r="I20" t="s">
        <v>47</v>
      </c>
      <c r="J20" s="20">
        <v>0</v>
      </c>
      <c r="L20" t="s">
        <v>107</v>
      </c>
    </row>
    <row r="21" spans="1:12">
      <c r="A21" t="s">
        <v>3</v>
      </c>
      <c r="B21" t="s">
        <v>7</v>
      </c>
      <c r="C21" t="s">
        <v>91</v>
      </c>
      <c r="D21" t="s">
        <v>27</v>
      </c>
      <c r="E21" t="s">
        <v>97</v>
      </c>
      <c r="F21" t="s">
        <v>29</v>
      </c>
      <c r="G21" s="8" t="s">
        <v>30</v>
      </c>
      <c r="J21" s="7">
        <v>0.8</v>
      </c>
      <c r="L21" t="s">
        <v>108</v>
      </c>
    </row>
    <row r="22" spans="1:12">
      <c r="A22" t="s">
        <v>3</v>
      </c>
      <c r="B22" t="s">
        <v>7</v>
      </c>
      <c r="C22" t="s">
        <v>90</v>
      </c>
      <c r="D22" t="s">
        <v>27</v>
      </c>
      <c r="E22" t="s">
        <v>97</v>
      </c>
      <c r="F22" t="s">
        <v>29</v>
      </c>
      <c r="G22" s="8" t="s">
        <v>30</v>
      </c>
      <c r="J22" s="7">
        <v>0.8</v>
      </c>
      <c r="L22" t="s">
        <v>108</v>
      </c>
    </row>
    <row r="23" spans="1:12">
      <c r="A23" t="s">
        <v>1</v>
      </c>
      <c r="B23" t="s">
        <v>5</v>
      </c>
      <c r="C23" t="s">
        <v>90</v>
      </c>
      <c r="D23" t="s">
        <v>27</v>
      </c>
      <c r="E23" t="s">
        <v>97</v>
      </c>
      <c r="F23" t="s">
        <v>29</v>
      </c>
      <c r="G23" s="8" t="s">
        <v>30</v>
      </c>
      <c r="J23" s="7">
        <v>0.8</v>
      </c>
      <c r="L23" t="s">
        <v>109</v>
      </c>
    </row>
    <row r="24" spans="1:12" ht="15">
      <c r="A24" t="s">
        <v>2</v>
      </c>
      <c r="B24" t="s">
        <v>7</v>
      </c>
      <c r="C24" t="s">
        <v>90</v>
      </c>
      <c r="D24" t="s">
        <v>27</v>
      </c>
      <c r="E24" t="s">
        <v>97</v>
      </c>
      <c r="F24" t="s">
        <v>29</v>
      </c>
      <c r="G24" s="8" t="s">
        <v>30</v>
      </c>
      <c r="J24" s="7">
        <v>0.8</v>
      </c>
      <c r="L24" t="s">
        <v>109</v>
      </c>
    </row>
    <row r="25" spans="1:12" ht="15">
      <c r="A25" t="s">
        <v>2</v>
      </c>
      <c r="B25" t="s">
        <v>7</v>
      </c>
      <c r="C25" t="s">
        <v>91</v>
      </c>
      <c r="D25" t="s">
        <v>27</v>
      </c>
      <c r="E25" t="s">
        <v>97</v>
      </c>
      <c r="F25" t="s">
        <v>29</v>
      </c>
      <c r="G25" s="8" t="s">
        <v>30</v>
      </c>
      <c r="J25" s="7">
        <v>0.8</v>
      </c>
      <c r="L25" t="s">
        <v>109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4.4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4" t="s">
        <v>1</v>
      </c>
      <c r="C1" s="34"/>
      <c r="D1" s="34" t="s">
        <v>2</v>
      </c>
      <c r="E1" s="34"/>
      <c r="F1" s="35" t="s">
        <v>3</v>
      </c>
      <c r="G1" s="35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110</v>
      </c>
      <c r="B4" t="s">
        <v>94</v>
      </c>
      <c r="C4" t="s">
        <v>94</v>
      </c>
      <c r="D4" t="s">
        <v>111</v>
      </c>
      <c r="E4" t="s">
        <v>112</v>
      </c>
      <c r="F4" t="s">
        <v>111</v>
      </c>
      <c r="G4" t="s">
        <v>113</v>
      </c>
    </row>
    <row r="5" spans="1:8">
      <c r="A5" t="s">
        <v>114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115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116</v>
      </c>
      <c r="B7" t="s">
        <v>94</v>
      </c>
      <c r="C7" t="s">
        <v>94</v>
      </c>
      <c r="D7" t="s">
        <v>111</v>
      </c>
      <c r="E7" t="s">
        <v>112</v>
      </c>
      <c r="F7" t="s">
        <v>111</v>
      </c>
      <c r="G7" t="s">
        <v>113</v>
      </c>
    </row>
    <row r="8" spans="1:8">
      <c r="A8" t="s">
        <v>117</v>
      </c>
      <c r="B8" t="s">
        <v>94</v>
      </c>
      <c r="C8" t="s">
        <v>94</v>
      </c>
      <c r="D8" t="s">
        <v>111</v>
      </c>
      <c r="E8" t="s">
        <v>112</v>
      </c>
      <c r="F8" t="s">
        <v>111</v>
      </c>
      <c r="G8" t="s">
        <v>113</v>
      </c>
    </row>
    <row r="9" spans="1:8">
      <c r="A9" t="s">
        <v>118</v>
      </c>
      <c r="B9" t="s">
        <v>94</v>
      </c>
      <c r="C9" t="s">
        <v>94</v>
      </c>
      <c r="D9" t="s">
        <v>111</v>
      </c>
      <c r="E9" t="s">
        <v>112</v>
      </c>
      <c r="F9" t="s">
        <v>111</v>
      </c>
      <c r="G9" t="s">
        <v>113</v>
      </c>
      <c r="H9" t="s">
        <v>119</v>
      </c>
    </row>
    <row r="10" spans="1:8">
      <c r="A10" t="s">
        <v>120</v>
      </c>
      <c r="B10" t="s">
        <v>94</v>
      </c>
      <c r="C10" t="s">
        <v>94</v>
      </c>
      <c r="D10" t="s">
        <v>111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111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121</v>
      </c>
    </row>
    <row r="11" spans="1:8">
      <c r="A11" t="s">
        <v>122</v>
      </c>
      <c r="B11" t="s">
        <v>94</v>
      </c>
      <c r="C11" t="s">
        <v>94</v>
      </c>
      <c r="D11" t="s">
        <v>111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111</v>
      </c>
      <c r="G11" t="s">
        <v>113</v>
      </c>
      <c r="H11" t="s">
        <v>123</v>
      </c>
    </row>
    <row r="12" spans="1:8">
      <c r="A12" t="s">
        <v>124</v>
      </c>
      <c r="B12" t="s">
        <v>94</v>
      </c>
      <c r="C12" t="s">
        <v>94</v>
      </c>
      <c r="D12" t="s">
        <v>111</v>
      </c>
      <c r="E12" t="s">
        <v>112</v>
      </c>
      <c r="F12" t="s">
        <v>111</v>
      </c>
      <c r="G12" t="s">
        <v>113</v>
      </c>
    </row>
    <row r="13" spans="1:8">
      <c r="A13" t="s">
        <v>125</v>
      </c>
      <c r="B13" t="s">
        <v>94</v>
      </c>
      <c r="C13" t="s">
        <v>94</v>
      </c>
      <c r="D13" t="s">
        <v>111</v>
      </c>
      <c r="E13" t="s">
        <v>112</v>
      </c>
      <c r="F13" t="s">
        <v>111</v>
      </c>
      <c r="G13" t="s">
        <v>113</v>
      </c>
      <c r="H13" t="s">
        <v>126</v>
      </c>
    </row>
    <row r="14" spans="1:8">
      <c r="A14" t="s">
        <v>127</v>
      </c>
      <c r="B14" t="s">
        <v>94</v>
      </c>
      <c r="C14" t="s">
        <v>94</v>
      </c>
      <c r="D14" t="s">
        <v>111</v>
      </c>
      <c r="E14" t="s">
        <v>112</v>
      </c>
      <c r="F14" t="s">
        <v>111</v>
      </c>
      <c r="G14" t="s">
        <v>113</v>
      </c>
      <c r="H14" t="s">
        <v>128</v>
      </c>
    </row>
    <row r="15" spans="1:8">
      <c r="A15" t="s">
        <v>129</v>
      </c>
      <c r="B15" t="s">
        <v>111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111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111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E45" activePane="bottomLeft" state="frozen"/>
      <selection pane="bottomLeft" activeCell="E45" sqref="E45"/>
    </sheetView>
  </sheetViews>
  <sheetFormatPr defaultRowHeight="14.4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95">
      <c r="A2" t="s">
        <v>1</v>
      </c>
      <c r="B2" t="s">
        <v>130</v>
      </c>
      <c r="C2" s="9" t="s">
        <v>131</v>
      </c>
      <c r="E2" t="s">
        <v>132</v>
      </c>
      <c r="G2" t="s">
        <v>132</v>
      </c>
      <c r="J2" s="11" t="s">
        <v>133</v>
      </c>
    </row>
    <row r="3" spans="1:10" ht="32.25" customHeight="1">
      <c r="A3" t="s">
        <v>1</v>
      </c>
      <c r="B3" t="s">
        <v>37</v>
      </c>
      <c r="C3" s="9" t="s">
        <v>131</v>
      </c>
      <c r="E3" t="s">
        <v>132</v>
      </c>
      <c r="G3" t="s">
        <v>132</v>
      </c>
      <c r="J3" s="13" t="s">
        <v>134</v>
      </c>
    </row>
    <row r="4" spans="1:10">
      <c r="A4" t="s">
        <v>1</v>
      </c>
      <c r="B4" t="s">
        <v>38</v>
      </c>
      <c r="C4" s="9" t="s">
        <v>131</v>
      </c>
      <c r="E4" t="s">
        <v>132</v>
      </c>
      <c r="G4" t="s">
        <v>132</v>
      </c>
    </row>
    <row r="5" spans="1:10">
      <c r="A5" t="s">
        <v>1</v>
      </c>
      <c r="B5" t="s">
        <v>39</v>
      </c>
      <c r="C5" s="9" t="s">
        <v>131</v>
      </c>
      <c r="E5" t="s">
        <v>132</v>
      </c>
      <c r="G5" t="s">
        <v>132</v>
      </c>
    </row>
    <row r="6" spans="1:10">
      <c r="A6" t="s">
        <v>1</v>
      </c>
      <c r="B6" t="s">
        <v>40</v>
      </c>
      <c r="C6" s="9" t="s">
        <v>131</v>
      </c>
      <c r="E6" t="s">
        <v>132</v>
      </c>
      <c r="G6" t="s">
        <v>132</v>
      </c>
    </row>
    <row r="7" spans="1:10">
      <c r="A7" t="s">
        <v>1</v>
      </c>
      <c r="B7" t="s">
        <v>41</v>
      </c>
      <c r="C7" s="9" t="s">
        <v>131</v>
      </c>
      <c r="E7" t="s">
        <v>132</v>
      </c>
      <c r="G7" t="s">
        <v>132</v>
      </c>
    </row>
    <row r="8" spans="1:10">
      <c r="A8" t="s">
        <v>135</v>
      </c>
      <c r="B8" t="s">
        <v>130</v>
      </c>
      <c r="C8" s="9" t="s">
        <v>131</v>
      </c>
      <c r="E8" t="s">
        <v>132</v>
      </c>
      <c r="G8" t="s">
        <v>132</v>
      </c>
    </row>
    <row r="9" spans="1:10">
      <c r="A9" t="s">
        <v>135</v>
      </c>
      <c r="B9" t="s">
        <v>37</v>
      </c>
      <c r="C9" s="9" t="s">
        <v>131</v>
      </c>
      <c r="E9" t="s">
        <v>132</v>
      </c>
      <c r="G9" t="s">
        <v>132</v>
      </c>
    </row>
    <row r="10" spans="1:10">
      <c r="A10" t="s">
        <v>135</v>
      </c>
      <c r="B10" t="s">
        <v>38</v>
      </c>
      <c r="C10" s="9" t="s">
        <v>131</v>
      </c>
      <c r="E10" t="s">
        <v>132</v>
      </c>
      <c r="G10" t="s">
        <v>132</v>
      </c>
    </row>
    <row r="11" spans="1:10">
      <c r="A11" t="s">
        <v>135</v>
      </c>
      <c r="B11" t="s">
        <v>39</v>
      </c>
      <c r="C11" s="9" t="s">
        <v>131</v>
      </c>
      <c r="E11" t="s">
        <v>132</v>
      </c>
      <c r="G11" t="s">
        <v>132</v>
      </c>
    </row>
    <row r="12" spans="1:10">
      <c r="A12" t="s">
        <v>135</v>
      </c>
      <c r="B12" t="s">
        <v>40</v>
      </c>
      <c r="C12" s="9" t="s">
        <v>131</v>
      </c>
      <c r="E12" t="s">
        <v>132</v>
      </c>
      <c r="G12" t="s">
        <v>132</v>
      </c>
    </row>
    <row r="13" spans="1:10">
      <c r="A13" t="s">
        <v>135</v>
      </c>
      <c r="B13" t="s">
        <v>41</v>
      </c>
      <c r="C13" s="9" t="s">
        <v>131</v>
      </c>
      <c r="E13" t="s">
        <v>132</v>
      </c>
      <c r="G13" t="s">
        <v>132</v>
      </c>
    </row>
    <row r="14" spans="1:10">
      <c r="A14" t="s">
        <v>3</v>
      </c>
      <c r="B14" t="s">
        <v>130</v>
      </c>
      <c r="C14" s="9" t="s">
        <v>131</v>
      </c>
      <c r="E14" t="s">
        <v>132</v>
      </c>
      <c r="G14" t="s">
        <v>132</v>
      </c>
    </row>
    <row r="15" spans="1:10">
      <c r="A15" t="s">
        <v>3</v>
      </c>
      <c r="B15" t="s">
        <v>37</v>
      </c>
      <c r="C15" s="9" t="s">
        <v>131</v>
      </c>
      <c r="E15" t="s">
        <v>132</v>
      </c>
      <c r="G15" t="s">
        <v>132</v>
      </c>
    </row>
    <row r="16" spans="1:10">
      <c r="A16" t="s">
        <v>3</v>
      </c>
      <c r="B16" t="s">
        <v>38</v>
      </c>
      <c r="C16" s="9" t="s">
        <v>131</v>
      </c>
      <c r="E16" t="s">
        <v>132</v>
      </c>
      <c r="G16" t="s">
        <v>132</v>
      </c>
    </row>
    <row r="17" spans="1:10">
      <c r="A17" t="s">
        <v>3</v>
      </c>
      <c r="B17" t="s">
        <v>39</v>
      </c>
      <c r="C17" s="9" t="s">
        <v>131</v>
      </c>
      <c r="E17" t="s">
        <v>132</v>
      </c>
      <c r="G17" t="s">
        <v>132</v>
      </c>
    </row>
    <row r="18" spans="1:10">
      <c r="A18" t="s">
        <v>3</v>
      </c>
      <c r="B18" t="s">
        <v>40</v>
      </c>
      <c r="C18" s="9" t="s">
        <v>131</v>
      </c>
      <c r="E18" t="s">
        <v>132</v>
      </c>
      <c r="G18" t="s">
        <v>132</v>
      </c>
    </row>
    <row r="19" spans="1:10">
      <c r="A19" t="s">
        <v>3</v>
      </c>
      <c r="B19" t="s">
        <v>41</v>
      </c>
      <c r="C19" s="9" t="s">
        <v>131</v>
      </c>
      <c r="E19" t="s">
        <v>132</v>
      </c>
      <c r="G19" t="s">
        <v>132</v>
      </c>
    </row>
    <row r="20" spans="1:10" ht="15.95">
      <c r="A20" t="s">
        <v>1</v>
      </c>
      <c r="B20" t="s">
        <v>130</v>
      </c>
      <c r="C20" s="9" t="s">
        <v>136</v>
      </c>
      <c r="E20" s="8" t="s">
        <v>137</v>
      </c>
      <c r="G20" t="s">
        <v>132</v>
      </c>
      <c r="J20" s="11" t="s">
        <v>138</v>
      </c>
    </row>
    <row r="21" spans="1:10">
      <c r="A21" t="s">
        <v>1</v>
      </c>
      <c r="B21" t="s">
        <v>37</v>
      </c>
      <c r="C21" s="9" t="s">
        <v>136</v>
      </c>
      <c r="E21" s="8" t="s">
        <v>137</v>
      </c>
      <c r="G21" t="s">
        <v>132</v>
      </c>
      <c r="J21" s="8" t="s">
        <v>134</v>
      </c>
    </row>
    <row r="22" spans="1:10">
      <c r="A22" t="s">
        <v>1</v>
      </c>
      <c r="B22" t="s">
        <v>38</v>
      </c>
      <c r="C22" s="9" t="s">
        <v>136</v>
      </c>
      <c r="E22" s="8" t="s">
        <v>137</v>
      </c>
      <c r="G22" t="s">
        <v>132</v>
      </c>
    </row>
    <row r="23" spans="1:10">
      <c r="A23" t="s">
        <v>1</v>
      </c>
      <c r="B23" t="s">
        <v>39</v>
      </c>
      <c r="C23" s="9" t="s">
        <v>136</v>
      </c>
      <c r="E23" s="8" t="s">
        <v>137</v>
      </c>
      <c r="G23" t="s">
        <v>132</v>
      </c>
    </row>
    <row r="24" spans="1:10">
      <c r="A24" t="s">
        <v>1</v>
      </c>
      <c r="B24" t="s">
        <v>40</v>
      </c>
      <c r="C24" s="9" t="s">
        <v>136</v>
      </c>
      <c r="E24" s="8" t="s">
        <v>137</v>
      </c>
      <c r="G24" t="s">
        <v>132</v>
      </c>
    </row>
    <row r="25" spans="1:10">
      <c r="A25" t="s">
        <v>1</v>
      </c>
      <c r="B25" t="s">
        <v>41</v>
      </c>
      <c r="C25" s="9" t="s">
        <v>136</v>
      </c>
      <c r="E25" s="8" t="s">
        <v>137</v>
      </c>
      <c r="G25" t="s">
        <v>132</v>
      </c>
    </row>
    <row r="26" spans="1:10">
      <c r="A26" t="s">
        <v>135</v>
      </c>
      <c r="B26" t="s">
        <v>130</v>
      </c>
      <c r="C26" s="9" t="s">
        <v>136</v>
      </c>
      <c r="E26" s="8" t="s">
        <v>137</v>
      </c>
      <c r="G26" t="s">
        <v>132</v>
      </c>
    </row>
    <row r="27" spans="1:10">
      <c r="A27" t="s">
        <v>135</v>
      </c>
      <c r="B27" t="s">
        <v>37</v>
      </c>
      <c r="C27" s="9" t="s">
        <v>136</v>
      </c>
      <c r="E27" s="8" t="s">
        <v>137</v>
      </c>
      <c r="G27" t="s">
        <v>132</v>
      </c>
    </row>
    <row r="28" spans="1:10">
      <c r="A28" t="s">
        <v>135</v>
      </c>
      <c r="B28" t="s">
        <v>38</v>
      </c>
      <c r="C28" s="9" t="s">
        <v>136</v>
      </c>
      <c r="E28" s="8" t="s">
        <v>137</v>
      </c>
      <c r="G28" t="s">
        <v>132</v>
      </c>
    </row>
    <row r="29" spans="1:10">
      <c r="A29" t="s">
        <v>135</v>
      </c>
      <c r="B29" t="s">
        <v>39</v>
      </c>
      <c r="C29" s="9" t="s">
        <v>136</v>
      </c>
      <c r="E29" s="8" t="s">
        <v>137</v>
      </c>
      <c r="G29" t="s">
        <v>132</v>
      </c>
    </row>
    <row r="30" spans="1:10">
      <c r="A30" t="s">
        <v>135</v>
      </c>
      <c r="B30" t="s">
        <v>40</v>
      </c>
      <c r="C30" s="9" t="s">
        <v>136</v>
      </c>
      <c r="E30" s="8" t="s">
        <v>137</v>
      </c>
      <c r="G30" t="s">
        <v>132</v>
      </c>
    </row>
    <row r="31" spans="1:10">
      <c r="A31" t="s">
        <v>135</v>
      </c>
      <c r="B31" t="s">
        <v>41</v>
      </c>
      <c r="C31" s="9" t="s">
        <v>136</v>
      </c>
      <c r="E31" s="8" t="s">
        <v>137</v>
      </c>
      <c r="G31" t="s">
        <v>132</v>
      </c>
    </row>
    <row r="32" spans="1:10">
      <c r="A32" t="s">
        <v>3</v>
      </c>
      <c r="B32" t="s">
        <v>130</v>
      </c>
      <c r="C32" s="9" t="s">
        <v>136</v>
      </c>
      <c r="E32" s="8" t="s">
        <v>137</v>
      </c>
      <c r="G32" t="s">
        <v>132</v>
      </c>
    </row>
    <row r="33" spans="1:7">
      <c r="A33" t="s">
        <v>3</v>
      </c>
      <c r="B33" t="s">
        <v>37</v>
      </c>
      <c r="C33" s="9" t="s">
        <v>136</v>
      </c>
      <c r="E33" s="8" t="s">
        <v>137</v>
      </c>
      <c r="G33" t="s">
        <v>132</v>
      </c>
    </row>
    <row r="34" spans="1:7">
      <c r="A34" t="s">
        <v>3</v>
      </c>
      <c r="B34" t="s">
        <v>38</v>
      </c>
      <c r="C34" s="9" t="s">
        <v>136</v>
      </c>
      <c r="E34" s="8" t="s">
        <v>137</v>
      </c>
      <c r="G34" t="s">
        <v>132</v>
      </c>
    </row>
    <row r="35" spans="1:7">
      <c r="A35" t="s">
        <v>3</v>
      </c>
      <c r="B35" t="s">
        <v>39</v>
      </c>
      <c r="C35" s="9" t="s">
        <v>136</v>
      </c>
      <c r="E35" s="8" t="s">
        <v>137</v>
      </c>
      <c r="G35" t="s">
        <v>132</v>
      </c>
    </row>
    <row r="36" spans="1:7">
      <c r="A36" t="s">
        <v>3</v>
      </c>
      <c r="B36" t="s">
        <v>40</v>
      </c>
      <c r="C36" s="9" t="s">
        <v>136</v>
      </c>
      <c r="E36" s="8" t="s">
        <v>137</v>
      </c>
      <c r="G36" t="s">
        <v>132</v>
      </c>
    </row>
    <row r="37" spans="1:7">
      <c r="A37" t="s">
        <v>3</v>
      </c>
      <c r="B37" t="s">
        <v>41</v>
      </c>
      <c r="C37" s="9" t="s">
        <v>136</v>
      </c>
      <c r="E37" s="8" t="s">
        <v>137</v>
      </c>
      <c r="G37" t="s">
        <v>132</v>
      </c>
    </row>
    <row r="38" spans="1:7">
      <c r="A38" t="s">
        <v>1</v>
      </c>
      <c r="B38" t="s">
        <v>130</v>
      </c>
      <c r="C38" s="9" t="s">
        <v>139</v>
      </c>
      <c r="G38" s="9" t="s">
        <v>140</v>
      </c>
    </row>
    <row r="39" spans="1:7">
      <c r="A39" t="s">
        <v>1</v>
      </c>
      <c r="B39" t="s">
        <v>37</v>
      </c>
      <c r="C39" s="9" t="s">
        <v>139</v>
      </c>
      <c r="G39" s="6" t="s">
        <v>141</v>
      </c>
    </row>
    <row r="40" spans="1:7">
      <c r="A40" t="s">
        <v>1</v>
      </c>
      <c r="B40" t="s">
        <v>38</v>
      </c>
      <c r="C40" s="9" t="s">
        <v>139</v>
      </c>
      <c r="G40" s="6" t="s">
        <v>141</v>
      </c>
    </row>
    <row r="41" spans="1:7">
      <c r="A41" t="s">
        <v>1</v>
      </c>
      <c r="B41" t="s">
        <v>39</v>
      </c>
      <c r="C41" s="9" t="s">
        <v>139</v>
      </c>
      <c r="G41" s="6" t="s">
        <v>141</v>
      </c>
    </row>
    <row r="42" spans="1:7">
      <c r="A42" t="s">
        <v>1</v>
      </c>
      <c r="B42" t="s">
        <v>40</v>
      </c>
      <c r="C42" s="9" t="s">
        <v>139</v>
      </c>
      <c r="G42" s="6" t="s">
        <v>141</v>
      </c>
    </row>
    <row r="43" spans="1:7">
      <c r="A43" t="s">
        <v>1</v>
      </c>
      <c r="B43" t="s">
        <v>41</v>
      </c>
      <c r="C43" s="9" t="s">
        <v>139</v>
      </c>
      <c r="G43" s="6" t="s">
        <v>141</v>
      </c>
    </row>
    <row r="44" spans="1:7">
      <c r="A44" t="s">
        <v>135</v>
      </c>
      <c r="B44" t="s">
        <v>130</v>
      </c>
      <c r="C44" s="9" t="s">
        <v>139</v>
      </c>
      <c r="G44" s="9" t="s">
        <v>142</v>
      </c>
    </row>
    <row r="45" spans="1:7">
      <c r="A45" t="s">
        <v>135</v>
      </c>
      <c r="B45" t="s">
        <v>37</v>
      </c>
      <c r="C45" s="9" t="s">
        <v>139</v>
      </c>
      <c r="G45" s="14" t="s">
        <v>143</v>
      </c>
    </row>
    <row r="46" spans="1:7">
      <c r="A46" t="s">
        <v>135</v>
      </c>
      <c r="B46" t="s">
        <v>38</v>
      </c>
      <c r="C46" s="9" t="s">
        <v>139</v>
      </c>
      <c r="G46" s="14" t="s">
        <v>144</v>
      </c>
    </row>
    <row r="47" spans="1:7">
      <c r="A47" t="s">
        <v>135</v>
      </c>
      <c r="B47" t="s">
        <v>39</v>
      </c>
      <c r="C47" s="9" t="s">
        <v>139</v>
      </c>
      <c r="G47" s="14" t="s">
        <v>144</v>
      </c>
    </row>
    <row r="48" spans="1:7">
      <c r="A48" t="s">
        <v>135</v>
      </c>
      <c r="B48" t="s">
        <v>40</v>
      </c>
      <c r="C48" s="9" t="s">
        <v>139</v>
      </c>
      <c r="G48" s="14" t="s">
        <v>144</v>
      </c>
    </row>
    <row r="49" spans="1:10">
      <c r="A49" t="s">
        <v>135</v>
      </c>
      <c r="B49" t="s">
        <v>41</v>
      </c>
      <c r="C49" s="9" t="s">
        <v>139</v>
      </c>
      <c r="G49" s="14" t="s">
        <v>143</v>
      </c>
    </row>
    <row r="50" spans="1:10">
      <c r="A50" t="s">
        <v>3</v>
      </c>
      <c r="B50" t="s">
        <v>130</v>
      </c>
      <c r="C50" s="9" t="s">
        <v>139</v>
      </c>
      <c r="G50" s="9" t="s">
        <v>145</v>
      </c>
    </row>
    <row r="51" spans="1:10">
      <c r="A51" t="s">
        <v>3</v>
      </c>
      <c r="B51" t="s">
        <v>37</v>
      </c>
      <c r="C51" s="9" t="s">
        <v>139</v>
      </c>
      <c r="G51" t="s">
        <v>132</v>
      </c>
    </row>
    <row r="52" spans="1:10">
      <c r="A52" t="s">
        <v>3</v>
      </c>
      <c r="B52" t="s">
        <v>38</v>
      </c>
      <c r="C52" s="9" t="s">
        <v>139</v>
      </c>
      <c r="G52" t="s">
        <v>132</v>
      </c>
    </row>
    <row r="53" spans="1:10">
      <c r="A53" t="s">
        <v>3</v>
      </c>
      <c r="B53" t="s">
        <v>39</v>
      </c>
      <c r="C53" s="9" t="s">
        <v>139</v>
      </c>
      <c r="G53" t="s">
        <v>132</v>
      </c>
    </row>
    <row r="54" spans="1:10">
      <c r="A54" t="s">
        <v>3</v>
      </c>
      <c r="B54" t="s">
        <v>40</v>
      </c>
      <c r="C54" s="9" t="s">
        <v>139</v>
      </c>
      <c r="G54" t="s">
        <v>132</v>
      </c>
    </row>
    <row r="55" spans="1:10">
      <c r="A55" t="s">
        <v>3</v>
      </c>
      <c r="B55" t="s">
        <v>41</v>
      </c>
      <c r="C55" s="9" t="s">
        <v>139</v>
      </c>
      <c r="G55" t="s">
        <v>132</v>
      </c>
    </row>
    <row r="56" spans="1:10">
      <c r="A56" t="s">
        <v>1</v>
      </c>
      <c r="B56" t="s">
        <v>130</v>
      </c>
      <c r="C56" t="s">
        <v>146</v>
      </c>
      <c r="G56" t="s">
        <v>111</v>
      </c>
    </row>
    <row r="57" spans="1:10" ht="43.5">
      <c r="A57" t="s">
        <v>1</v>
      </c>
      <c r="B57" t="s">
        <v>37</v>
      </c>
      <c r="C57" t="s">
        <v>146</v>
      </c>
      <c r="J57" s="13" t="s">
        <v>147</v>
      </c>
    </row>
    <row r="58" spans="1:10" ht="15.95">
      <c r="A58" t="s">
        <v>1</v>
      </c>
      <c r="B58" t="s">
        <v>38</v>
      </c>
      <c r="C58" t="s">
        <v>146</v>
      </c>
      <c r="J58" s="12" t="s">
        <v>148</v>
      </c>
    </row>
    <row r="59" spans="1:10" ht="15.95">
      <c r="A59" t="s">
        <v>1</v>
      </c>
      <c r="B59" t="s">
        <v>39</v>
      </c>
      <c r="C59" t="s">
        <v>146</v>
      </c>
      <c r="J59" s="12"/>
    </row>
    <row r="60" spans="1:10">
      <c r="A60" t="s">
        <v>1</v>
      </c>
      <c r="B60" t="s">
        <v>40</v>
      </c>
      <c r="C60" t="s">
        <v>146</v>
      </c>
    </row>
    <row r="61" spans="1:10">
      <c r="A61" t="s">
        <v>1</v>
      </c>
      <c r="B61" t="s">
        <v>41</v>
      </c>
      <c r="C61" t="s">
        <v>146</v>
      </c>
    </row>
    <row r="62" spans="1:10">
      <c r="A62" t="s">
        <v>135</v>
      </c>
      <c r="B62" t="s">
        <v>130</v>
      </c>
      <c r="C62" t="s">
        <v>146</v>
      </c>
      <c r="G62" t="s">
        <v>111</v>
      </c>
    </row>
    <row r="63" spans="1:10">
      <c r="A63" t="s">
        <v>135</v>
      </c>
      <c r="B63" t="s">
        <v>37</v>
      </c>
      <c r="C63" t="s">
        <v>146</v>
      </c>
    </row>
    <row r="64" spans="1:10">
      <c r="A64" t="s">
        <v>135</v>
      </c>
      <c r="B64" t="s">
        <v>38</v>
      </c>
      <c r="C64" t="s">
        <v>146</v>
      </c>
    </row>
    <row r="65" spans="1:10">
      <c r="A65" t="s">
        <v>135</v>
      </c>
      <c r="B65" t="s">
        <v>39</v>
      </c>
      <c r="C65" t="s">
        <v>146</v>
      </c>
    </row>
    <row r="66" spans="1:10">
      <c r="A66" t="s">
        <v>135</v>
      </c>
      <c r="B66" t="s">
        <v>40</v>
      </c>
      <c r="C66" t="s">
        <v>146</v>
      </c>
    </row>
    <row r="67" spans="1:10">
      <c r="A67" t="s">
        <v>135</v>
      </c>
      <c r="B67" t="s">
        <v>41</v>
      </c>
      <c r="C67" t="s">
        <v>146</v>
      </c>
    </row>
    <row r="68" spans="1:10">
      <c r="A68" t="s">
        <v>3</v>
      </c>
      <c r="B68" t="s">
        <v>130</v>
      </c>
      <c r="C68" t="s">
        <v>146</v>
      </c>
      <c r="G68" s="15" t="s">
        <v>111</v>
      </c>
    </row>
    <row r="69" spans="1:10">
      <c r="A69" t="s">
        <v>3</v>
      </c>
      <c r="B69" t="s">
        <v>37</v>
      </c>
      <c r="C69" t="s">
        <v>146</v>
      </c>
    </row>
    <row r="70" spans="1:10">
      <c r="A70" t="s">
        <v>3</v>
      </c>
      <c r="B70" t="s">
        <v>38</v>
      </c>
      <c r="C70" t="s">
        <v>146</v>
      </c>
    </row>
    <row r="71" spans="1:10">
      <c r="A71" t="s">
        <v>3</v>
      </c>
      <c r="B71" t="s">
        <v>39</v>
      </c>
      <c r="C71" t="s">
        <v>146</v>
      </c>
    </row>
    <row r="72" spans="1:10">
      <c r="A72" t="s">
        <v>3</v>
      </c>
      <c r="B72" t="s">
        <v>40</v>
      </c>
      <c r="C72" t="s">
        <v>146</v>
      </c>
    </row>
    <row r="73" spans="1:10">
      <c r="A73" t="s">
        <v>3</v>
      </c>
      <c r="B73" t="s">
        <v>41</v>
      </c>
      <c r="C73" t="s">
        <v>146</v>
      </c>
    </row>
    <row r="74" spans="1:10" ht="29.45">
      <c r="A74" t="s">
        <v>1</v>
      </c>
      <c r="B74" t="s">
        <v>130</v>
      </c>
      <c r="C74" t="s">
        <v>149</v>
      </c>
      <c r="D74" t="s">
        <v>150</v>
      </c>
      <c r="G74" s="12" t="s">
        <v>151</v>
      </c>
      <c r="J74" s="14" t="s">
        <v>152</v>
      </c>
    </row>
    <row r="75" spans="1:10">
      <c r="A75" t="s">
        <v>135</v>
      </c>
      <c r="B75" t="s">
        <v>130</v>
      </c>
      <c r="C75" t="s">
        <v>149</v>
      </c>
      <c r="D75" t="s">
        <v>150</v>
      </c>
      <c r="J75" t="s">
        <v>153</v>
      </c>
    </row>
    <row r="76" spans="1:10">
      <c r="A76" t="s">
        <v>3</v>
      </c>
      <c r="B76" t="s">
        <v>130</v>
      </c>
      <c r="C76" t="s">
        <v>149</v>
      </c>
      <c r="D76" t="s">
        <v>150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"/>
    </sheetView>
  </sheetViews>
  <sheetFormatPr defaultRowHeight="14.4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154</v>
      </c>
      <c r="B3" t="s">
        <v>94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155</v>
      </c>
      <c r="B4" t="s">
        <v>94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2" activePane="bottomLeft" state="frozen"/>
      <selection pane="bottomLeft" activeCell="G5" sqref="G5"/>
    </sheetView>
  </sheetViews>
  <sheetFormatPr defaultRowHeight="14.4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8" max="8" width="13.140625" bestFit="1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15.5">
      <c r="A2" t="s">
        <v>7</v>
      </c>
      <c r="B2" t="s">
        <v>154</v>
      </c>
      <c r="C2" t="s">
        <v>156</v>
      </c>
      <c r="D2" t="s">
        <v>157</v>
      </c>
      <c r="E2" t="s">
        <v>158</v>
      </c>
      <c r="F2" s="5" t="s">
        <v>159</v>
      </c>
      <c r="G2" s="26">
        <v>3.25</v>
      </c>
      <c r="H2" s="26" t="s">
        <v>160</v>
      </c>
      <c r="I2" s="5" t="s">
        <v>161</v>
      </c>
    </row>
    <row r="3" spans="1:9">
      <c r="A3" t="s">
        <v>5</v>
      </c>
      <c r="B3" t="s">
        <v>154</v>
      </c>
      <c r="C3" t="s">
        <v>156</v>
      </c>
      <c r="D3" t="s">
        <v>157</v>
      </c>
      <c r="E3">
        <v>2021</v>
      </c>
      <c r="F3" t="s">
        <v>162</v>
      </c>
      <c r="G3">
        <v>4.4000000000000004</v>
      </c>
      <c r="H3" t="s">
        <v>163</v>
      </c>
      <c r="I3" s="6" t="s">
        <v>164</v>
      </c>
    </row>
    <row r="4" spans="1:9" ht="57.75">
      <c r="A4" t="s">
        <v>6</v>
      </c>
      <c r="B4" t="s">
        <v>154</v>
      </c>
      <c r="C4" t="s">
        <v>156</v>
      </c>
      <c r="D4" t="s">
        <v>157</v>
      </c>
      <c r="E4">
        <v>2012</v>
      </c>
      <c r="F4" s="5" t="s">
        <v>165</v>
      </c>
      <c r="G4">
        <v>4.2</v>
      </c>
      <c r="H4" t="s">
        <v>166</v>
      </c>
      <c r="I4" s="6" t="s">
        <v>167</v>
      </c>
    </row>
    <row r="5" spans="1:9" ht="43.5">
      <c r="A5" t="s">
        <v>7</v>
      </c>
      <c r="B5" t="s">
        <v>155</v>
      </c>
      <c r="C5" t="s">
        <v>156</v>
      </c>
      <c r="D5" t="s">
        <v>168</v>
      </c>
      <c r="E5">
        <v>2013</v>
      </c>
      <c r="F5" s="5" t="s">
        <v>169</v>
      </c>
      <c r="G5">
        <v>1.67</v>
      </c>
      <c r="H5" t="s">
        <v>170</v>
      </c>
      <c r="I5" s="6" t="s">
        <v>171</v>
      </c>
    </row>
    <row r="6" spans="1:9">
      <c r="A6" t="s">
        <v>6</v>
      </c>
      <c r="B6" t="s">
        <v>155</v>
      </c>
      <c r="C6" t="s">
        <v>156</v>
      </c>
      <c r="D6" t="s">
        <v>168</v>
      </c>
      <c r="E6">
        <v>2013</v>
      </c>
      <c r="F6" t="s">
        <v>169</v>
      </c>
      <c r="G6">
        <v>1.67</v>
      </c>
      <c r="H6" t="s">
        <v>170</v>
      </c>
      <c r="I6" s="6" t="s">
        <v>171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H8" sqref="H8"/>
    </sheetView>
  </sheetViews>
  <sheetFormatPr defaultRowHeight="14.4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  <col min="6" max="6" width="36.5703125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172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173</v>
      </c>
      <c r="B3" s="26" t="s">
        <v>174</v>
      </c>
      <c r="C3" s="26" t="s">
        <v>175</v>
      </c>
      <c r="D3" s="26">
        <v>2018</v>
      </c>
      <c r="E3" s="26" t="s">
        <v>176</v>
      </c>
      <c r="F3" s="26">
        <v>4.3</v>
      </c>
      <c r="G3" s="26" t="s">
        <v>177</v>
      </c>
      <c r="H3" s="24" t="s">
        <v>178</v>
      </c>
      <c r="I3" s="23"/>
    </row>
    <row r="4" spans="1:9">
      <c r="A4" s="26" t="s">
        <v>179</v>
      </c>
      <c r="B4" s="26" t="s">
        <v>180</v>
      </c>
      <c r="C4" s="26" t="s">
        <v>181</v>
      </c>
      <c r="D4" s="26">
        <v>2015</v>
      </c>
      <c r="E4" s="25" t="s">
        <v>182</v>
      </c>
      <c r="F4" s="26">
        <v>6</v>
      </c>
      <c r="G4" s="27" t="s">
        <v>183</v>
      </c>
      <c r="H4" s="23"/>
      <c r="I4" s="23"/>
    </row>
    <row r="5" spans="1:9">
      <c r="A5" s="26" t="s">
        <v>184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185</v>
      </c>
      <c r="B6" s="26" t="s">
        <v>186</v>
      </c>
      <c r="C6" s="26"/>
      <c r="D6" s="26"/>
      <c r="E6" s="26" t="s">
        <v>187</v>
      </c>
      <c r="F6" s="26" t="s">
        <v>188</v>
      </c>
      <c r="G6" s="26"/>
      <c r="H6" s="23"/>
      <c r="I6" s="23"/>
    </row>
    <row r="7" spans="1:9" ht="29.25">
      <c r="A7" s="26" t="s">
        <v>185</v>
      </c>
      <c r="B7" s="26" t="s">
        <v>186</v>
      </c>
      <c r="C7" s="26"/>
      <c r="D7" s="26"/>
      <c r="E7" s="26" t="s">
        <v>189</v>
      </c>
      <c r="F7" s="33" t="s">
        <v>190</v>
      </c>
      <c r="G7" s="26"/>
      <c r="H7" s="23"/>
      <c r="I7" s="23"/>
    </row>
    <row r="8" spans="1:9">
      <c r="A8" s="26" t="s">
        <v>191</v>
      </c>
      <c r="B8" s="26" t="s">
        <v>150</v>
      </c>
      <c r="C8" s="26"/>
      <c r="D8" s="26"/>
      <c r="E8" s="26" t="s">
        <v>192</v>
      </c>
      <c r="F8" s="26" t="s">
        <v>193</v>
      </c>
      <c r="G8" s="26"/>
      <c r="H8" s="23" t="s">
        <v>194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I8"/>
  <sheetViews>
    <sheetView workbookViewId="0">
      <selection activeCell="G7" sqref="G7:G8"/>
    </sheetView>
  </sheetViews>
  <sheetFormatPr defaultRowHeight="14.45"/>
  <cols>
    <col min="1" max="1" width="52.42578125" bestFit="1" customWidth="1"/>
    <col min="2" max="2" width="21" bestFit="1" customWidth="1"/>
    <col min="3" max="3" width="22.28515625" bestFit="1" customWidth="1"/>
    <col min="4" max="5" width="11.42578125" bestFit="1" customWidth="1"/>
    <col min="6" max="7" width="11.42578125" customWidth="1"/>
    <col min="8" max="9" width="11.42578125" bestFit="1" customWidth="1"/>
  </cols>
  <sheetData>
    <row r="1" spans="1:9" ht="15">
      <c r="A1" s="3" t="s">
        <v>0</v>
      </c>
      <c r="B1" s="34" t="s">
        <v>1</v>
      </c>
      <c r="C1" s="34"/>
      <c r="D1" s="34" t="s">
        <v>2</v>
      </c>
      <c r="E1" s="34"/>
      <c r="F1" s="34"/>
      <c r="G1" s="34"/>
      <c r="H1" s="34" t="s">
        <v>3</v>
      </c>
      <c r="I1" s="34"/>
    </row>
    <row r="2" spans="1:9" ht="15">
      <c r="A2" s="3" t="s">
        <v>4</v>
      </c>
      <c r="B2" s="34" t="s">
        <v>5</v>
      </c>
      <c r="C2" s="34"/>
      <c r="D2" s="34" t="s">
        <v>6</v>
      </c>
      <c r="E2" s="34"/>
      <c r="F2" s="34" t="s">
        <v>7</v>
      </c>
      <c r="G2" s="34"/>
      <c r="H2" s="34" t="s">
        <v>7</v>
      </c>
      <c r="I2" s="34"/>
    </row>
    <row r="3" spans="1:9" ht="15">
      <c r="A3" s="3" t="s">
        <v>89</v>
      </c>
      <c r="B3" s="34" t="s">
        <v>90</v>
      </c>
      <c r="C3" s="34"/>
      <c r="D3" s="28" t="s">
        <v>90</v>
      </c>
      <c r="E3" s="28" t="s">
        <v>91</v>
      </c>
      <c r="F3" s="28" t="s">
        <v>90</v>
      </c>
      <c r="G3" s="28" t="s">
        <v>91</v>
      </c>
      <c r="H3" s="28" t="s">
        <v>90</v>
      </c>
      <c r="I3" s="28" t="s">
        <v>91</v>
      </c>
    </row>
    <row r="4" spans="1:9" ht="15">
      <c r="A4" s="30" t="s">
        <v>195</v>
      </c>
      <c r="B4" s="31" t="s">
        <v>196</v>
      </c>
      <c r="C4" s="31" t="s">
        <v>197</v>
      </c>
      <c r="D4" s="31" t="s">
        <v>198</v>
      </c>
      <c r="E4" s="31" t="s">
        <v>198</v>
      </c>
      <c r="F4" s="31" t="s">
        <v>198</v>
      </c>
      <c r="G4" s="31" t="s">
        <v>198</v>
      </c>
      <c r="H4" s="31" t="s">
        <v>198</v>
      </c>
      <c r="I4" s="31" t="s">
        <v>198</v>
      </c>
    </row>
    <row r="5" spans="1:9" ht="15">
      <c r="A5" s="1" t="s">
        <v>11</v>
      </c>
      <c r="B5" s="1"/>
      <c r="C5" s="1"/>
      <c r="D5" s="1"/>
      <c r="H5" s="1"/>
    </row>
    <row r="6" spans="1:9" ht="15">
      <c r="A6" t="s">
        <v>199</v>
      </c>
      <c r="B6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>Complete</v>
      </c>
      <c r="C6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>Complete</v>
      </c>
      <c r="D6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>Complete</v>
      </c>
      <c r="E6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>Complete</v>
      </c>
      <c r="F6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>Complete</v>
      </c>
      <c r="G6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>Complete</v>
      </c>
      <c r="H6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>Complete</v>
      </c>
      <c r="I6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>Complete</v>
      </c>
    </row>
    <row r="7" spans="1:9" ht="15">
      <c r="A7" t="s">
        <v>200</v>
      </c>
      <c r="B7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>Complete</v>
      </c>
      <c r="C7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>Complete</v>
      </c>
      <c r="D7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>Complete</v>
      </c>
      <c r="E7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>Complete</v>
      </c>
      <c r="F7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>Complete</v>
      </c>
      <c r="G7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>Complete</v>
      </c>
      <c r="H7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>Complete</v>
      </c>
      <c r="I7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>Complete</v>
      </c>
    </row>
    <row r="8" spans="1:9" ht="15">
      <c r="A8" t="s">
        <v>201</v>
      </c>
      <c r="B8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>Complete</v>
      </c>
      <c r="C8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>Complete</v>
      </c>
      <c r="D8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>Complete</v>
      </c>
      <c r="E8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>Complete</v>
      </c>
      <c r="F8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>Complete</v>
      </c>
      <c r="G8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>Complete</v>
      </c>
      <c r="H8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>Complete</v>
      </c>
      <c r="I8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>Complete</v>
      </c>
    </row>
  </sheetData>
  <mergeCells count="8">
    <mergeCell ref="H1:I1"/>
    <mergeCell ref="H2:I2"/>
    <mergeCell ref="B3:C3"/>
    <mergeCell ref="B1:C1"/>
    <mergeCell ref="B2:C2"/>
    <mergeCell ref="D2:E2"/>
    <mergeCell ref="F2:G2"/>
    <mergeCell ref="D1:G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25"/>
  <sheetViews>
    <sheetView workbookViewId="0">
      <pane ySplit="1" topLeftCell="A2" activePane="bottomLeft" state="frozen"/>
      <selection pane="bottomLeft" activeCell="J20" sqref="J20"/>
    </sheetView>
  </sheetViews>
  <sheetFormatPr defaultRowHeight="14.4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5.8554687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89</v>
      </c>
      <c r="D1" s="1" t="s">
        <v>195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91</v>
      </c>
      <c r="D2" t="s">
        <v>198</v>
      </c>
      <c r="E2" t="s">
        <v>200</v>
      </c>
      <c r="F2" t="s">
        <v>29</v>
      </c>
      <c r="G2" t="s">
        <v>30</v>
      </c>
      <c r="H2" t="s">
        <v>107</v>
      </c>
      <c r="I2" s="7">
        <v>0.9</v>
      </c>
    </row>
    <row r="3" spans="1:10">
      <c r="A3" t="s">
        <v>2</v>
      </c>
      <c r="B3" t="s">
        <v>6</v>
      </c>
      <c r="C3" t="s">
        <v>90</v>
      </c>
      <c r="D3" t="s">
        <v>198</v>
      </c>
      <c r="E3" t="s">
        <v>200</v>
      </c>
      <c r="F3" t="s">
        <v>29</v>
      </c>
      <c r="G3" t="s">
        <v>30</v>
      </c>
      <c r="H3" t="s">
        <v>107</v>
      </c>
      <c r="I3" s="7">
        <v>0.9</v>
      </c>
    </row>
    <row r="4" spans="1:10" ht="15">
      <c r="A4" t="s">
        <v>2</v>
      </c>
      <c r="B4" t="s">
        <v>7</v>
      </c>
      <c r="C4" t="s">
        <v>91</v>
      </c>
      <c r="D4" t="s">
        <v>198</v>
      </c>
      <c r="E4" t="s">
        <v>200</v>
      </c>
      <c r="F4" t="s">
        <v>29</v>
      </c>
      <c r="G4" t="s">
        <v>30</v>
      </c>
      <c r="H4" t="s">
        <v>100</v>
      </c>
      <c r="I4" s="7">
        <v>0.9</v>
      </c>
    </row>
    <row r="5" spans="1:10">
      <c r="A5" t="s">
        <v>2</v>
      </c>
      <c r="B5" t="s">
        <v>7</v>
      </c>
      <c r="C5" t="s">
        <v>90</v>
      </c>
      <c r="D5" t="s">
        <v>198</v>
      </c>
      <c r="E5" t="s">
        <v>200</v>
      </c>
      <c r="F5" t="s">
        <v>29</v>
      </c>
      <c r="G5" t="s">
        <v>30</v>
      </c>
      <c r="H5" t="s">
        <v>100</v>
      </c>
      <c r="I5" s="7">
        <v>0.9</v>
      </c>
    </row>
    <row r="6" spans="1:10">
      <c r="A6" t="s">
        <v>1</v>
      </c>
      <c r="B6" t="s">
        <v>5</v>
      </c>
      <c r="C6" t="s">
        <v>90</v>
      </c>
      <c r="D6" t="s">
        <v>196</v>
      </c>
      <c r="E6" t="s">
        <v>200</v>
      </c>
      <c r="F6" t="s">
        <v>29</v>
      </c>
      <c r="G6" t="s">
        <v>30</v>
      </c>
      <c r="H6" t="s">
        <v>202</v>
      </c>
      <c r="I6" s="7">
        <v>0.8</v>
      </c>
      <c r="J6" t="s">
        <v>203</v>
      </c>
    </row>
    <row r="7" spans="1:10">
      <c r="A7" t="s">
        <v>1</v>
      </c>
      <c r="B7" t="s">
        <v>5</v>
      </c>
      <c r="C7" t="s">
        <v>90</v>
      </c>
      <c r="D7" t="s">
        <v>197</v>
      </c>
      <c r="E7" t="s">
        <v>200</v>
      </c>
      <c r="F7" t="s">
        <v>29</v>
      </c>
      <c r="G7" t="s">
        <v>30</v>
      </c>
      <c r="H7" t="s">
        <v>202</v>
      </c>
      <c r="I7" s="7">
        <v>0.8</v>
      </c>
      <c r="J7" t="s">
        <v>203</v>
      </c>
    </row>
    <row r="8" spans="1:10">
      <c r="A8" t="s">
        <v>3</v>
      </c>
      <c r="B8" t="s">
        <v>7</v>
      </c>
      <c r="C8" t="s">
        <v>91</v>
      </c>
      <c r="D8" t="s">
        <v>198</v>
      </c>
      <c r="E8" t="s">
        <v>200</v>
      </c>
      <c r="F8" t="s">
        <v>29</v>
      </c>
      <c r="G8" t="s">
        <v>30</v>
      </c>
      <c r="H8" t="s">
        <v>202</v>
      </c>
      <c r="I8" s="7">
        <v>0.8</v>
      </c>
      <c r="J8" t="s">
        <v>203</v>
      </c>
    </row>
    <row r="9" spans="1:10">
      <c r="A9" t="s">
        <v>3</v>
      </c>
      <c r="B9" t="s">
        <v>7</v>
      </c>
      <c r="C9" t="s">
        <v>90</v>
      </c>
      <c r="D9" t="s">
        <v>198</v>
      </c>
      <c r="E9" t="s">
        <v>200</v>
      </c>
      <c r="F9" t="s">
        <v>29</v>
      </c>
      <c r="G9" t="s">
        <v>30</v>
      </c>
      <c r="H9" t="s">
        <v>202</v>
      </c>
      <c r="I9" s="7">
        <v>0.8</v>
      </c>
      <c r="J9" t="s">
        <v>203</v>
      </c>
    </row>
    <row r="10" spans="1:10">
      <c r="A10" t="s">
        <v>2</v>
      </c>
      <c r="B10" t="s">
        <v>6</v>
      </c>
      <c r="C10" t="s">
        <v>91</v>
      </c>
      <c r="D10" t="s">
        <v>198</v>
      </c>
      <c r="E10" t="s">
        <v>201</v>
      </c>
      <c r="F10" t="s">
        <v>29</v>
      </c>
      <c r="G10" t="s">
        <v>30</v>
      </c>
      <c r="H10" t="s">
        <v>107</v>
      </c>
      <c r="I10" s="7">
        <v>0.9</v>
      </c>
    </row>
    <row r="11" spans="1:10">
      <c r="A11" t="s">
        <v>2</v>
      </c>
      <c r="B11" t="s">
        <v>6</v>
      </c>
      <c r="C11" t="s">
        <v>90</v>
      </c>
      <c r="D11" t="s">
        <v>198</v>
      </c>
      <c r="E11" t="s">
        <v>201</v>
      </c>
      <c r="F11" t="s">
        <v>29</v>
      </c>
      <c r="G11" t="s">
        <v>30</v>
      </c>
      <c r="H11" t="s">
        <v>107</v>
      </c>
      <c r="I11" s="7">
        <v>0.9</v>
      </c>
    </row>
    <row r="12" spans="1:10">
      <c r="A12" t="s">
        <v>2</v>
      </c>
      <c r="B12" t="s">
        <v>7</v>
      </c>
      <c r="C12" t="s">
        <v>91</v>
      </c>
      <c r="D12" t="s">
        <v>198</v>
      </c>
      <c r="E12" t="s">
        <v>201</v>
      </c>
      <c r="F12" t="s">
        <v>29</v>
      </c>
      <c r="G12" t="s">
        <v>30</v>
      </c>
      <c r="H12" t="s">
        <v>100</v>
      </c>
      <c r="I12" s="7">
        <v>0.9</v>
      </c>
    </row>
    <row r="13" spans="1:10" ht="15">
      <c r="A13" t="s">
        <v>2</v>
      </c>
      <c r="B13" t="s">
        <v>7</v>
      </c>
      <c r="C13" t="s">
        <v>90</v>
      </c>
      <c r="D13" t="s">
        <v>198</v>
      </c>
      <c r="E13" t="s">
        <v>201</v>
      </c>
      <c r="F13" t="s">
        <v>29</v>
      </c>
      <c r="G13" t="s">
        <v>30</v>
      </c>
      <c r="H13" t="s">
        <v>100</v>
      </c>
      <c r="I13" s="7">
        <v>0.9</v>
      </c>
    </row>
    <row r="14" spans="1:10">
      <c r="A14" t="s">
        <v>1</v>
      </c>
      <c r="B14" t="s">
        <v>5</v>
      </c>
      <c r="C14" t="s">
        <v>90</v>
      </c>
      <c r="D14" t="s">
        <v>196</v>
      </c>
      <c r="E14" t="s">
        <v>201</v>
      </c>
      <c r="F14" t="s">
        <v>29</v>
      </c>
      <c r="G14" t="s">
        <v>30</v>
      </c>
      <c r="H14" t="s">
        <v>107</v>
      </c>
      <c r="I14" s="7">
        <v>0.9</v>
      </c>
    </row>
    <row r="15" spans="1:10">
      <c r="A15" t="s">
        <v>1</v>
      </c>
      <c r="B15" t="s">
        <v>5</v>
      </c>
      <c r="C15" t="s">
        <v>90</v>
      </c>
      <c r="D15" t="s">
        <v>197</v>
      </c>
      <c r="E15" t="s">
        <v>201</v>
      </c>
      <c r="F15" t="s">
        <v>29</v>
      </c>
      <c r="G15" t="s">
        <v>30</v>
      </c>
      <c r="H15" t="s">
        <v>107</v>
      </c>
      <c r="I15" s="7">
        <v>0.9</v>
      </c>
    </row>
    <row r="16" spans="1:10">
      <c r="A16" t="s">
        <v>3</v>
      </c>
      <c r="B16" t="s">
        <v>7</v>
      </c>
      <c r="C16" t="s">
        <v>91</v>
      </c>
      <c r="D16" t="s">
        <v>198</v>
      </c>
      <c r="E16" t="s">
        <v>201</v>
      </c>
      <c r="F16" t="s">
        <v>29</v>
      </c>
      <c r="G16" t="s">
        <v>30</v>
      </c>
      <c r="H16" t="s">
        <v>202</v>
      </c>
      <c r="I16" s="7">
        <v>0.8</v>
      </c>
    </row>
    <row r="17" spans="1:10">
      <c r="A17" t="s">
        <v>3</v>
      </c>
      <c r="B17" t="s">
        <v>7</v>
      </c>
      <c r="C17" t="s">
        <v>90</v>
      </c>
      <c r="D17" t="s">
        <v>198</v>
      </c>
      <c r="E17" t="s">
        <v>201</v>
      </c>
      <c r="F17" t="s">
        <v>29</v>
      </c>
      <c r="G17" t="s">
        <v>30</v>
      </c>
      <c r="H17" t="s">
        <v>202</v>
      </c>
      <c r="I17" s="7">
        <v>0.8</v>
      </c>
    </row>
    <row r="18" spans="1:10" ht="43.5">
      <c r="A18" t="s">
        <v>2</v>
      </c>
      <c r="B18" t="s">
        <v>6</v>
      </c>
      <c r="C18" t="s">
        <v>91</v>
      </c>
      <c r="D18" t="s">
        <v>198</v>
      </c>
      <c r="E18" t="s">
        <v>199</v>
      </c>
      <c r="F18" t="s">
        <v>98</v>
      </c>
      <c r="G18" t="s">
        <v>99</v>
      </c>
      <c r="H18" t="s">
        <v>202</v>
      </c>
      <c r="I18">
        <v>1320</v>
      </c>
      <c r="J18" s="5" t="s">
        <v>204</v>
      </c>
    </row>
    <row r="19" spans="1:10" ht="43.5">
      <c r="A19" t="s">
        <v>2</v>
      </c>
      <c r="B19" t="s">
        <v>6</v>
      </c>
      <c r="C19" t="s">
        <v>90</v>
      </c>
      <c r="D19" t="s">
        <v>198</v>
      </c>
      <c r="E19" t="s">
        <v>199</v>
      </c>
      <c r="F19" t="s">
        <v>98</v>
      </c>
      <c r="G19" t="s">
        <v>99</v>
      </c>
      <c r="H19" t="s">
        <v>202</v>
      </c>
      <c r="I19">
        <v>24</v>
      </c>
      <c r="J19" s="5" t="s">
        <v>205</v>
      </c>
    </row>
    <row r="20" spans="1:10" ht="29.25">
      <c r="A20" t="s">
        <v>2</v>
      </c>
      <c r="B20" t="s">
        <v>7</v>
      </c>
      <c r="C20" t="s">
        <v>91</v>
      </c>
      <c r="D20" t="s">
        <v>198</v>
      </c>
      <c r="E20" t="s">
        <v>199</v>
      </c>
      <c r="F20" t="s">
        <v>98</v>
      </c>
      <c r="G20" t="s">
        <v>99</v>
      </c>
      <c r="H20" t="s">
        <v>82</v>
      </c>
      <c r="I20">
        <v>40</v>
      </c>
      <c r="J20" s="14" t="s">
        <v>206</v>
      </c>
    </row>
    <row r="21" spans="1:10" ht="29.25">
      <c r="A21" t="s">
        <v>2</v>
      </c>
      <c r="B21" t="s">
        <v>7</v>
      </c>
      <c r="C21" t="s">
        <v>90</v>
      </c>
      <c r="D21" t="s">
        <v>198</v>
      </c>
      <c r="E21" t="s">
        <v>199</v>
      </c>
      <c r="F21" t="s">
        <v>98</v>
      </c>
      <c r="G21" t="s">
        <v>99</v>
      </c>
      <c r="H21" t="s">
        <v>82</v>
      </c>
      <c r="I21">
        <v>1.69</v>
      </c>
      <c r="J21" s="14" t="s">
        <v>207</v>
      </c>
    </row>
    <row r="22" spans="1:10">
      <c r="A22" t="s">
        <v>1</v>
      </c>
      <c r="B22" t="s">
        <v>5</v>
      </c>
      <c r="C22" t="s">
        <v>90</v>
      </c>
      <c r="D22" t="s">
        <v>196</v>
      </c>
      <c r="E22" t="s">
        <v>199</v>
      </c>
      <c r="F22" t="s">
        <v>98</v>
      </c>
      <c r="G22" t="s">
        <v>99</v>
      </c>
      <c r="H22" t="s">
        <v>202</v>
      </c>
      <c r="I22">
        <v>14.084507042253522</v>
      </c>
      <c r="J22" t="s">
        <v>208</v>
      </c>
    </row>
    <row r="23" spans="1:10">
      <c r="A23" t="s">
        <v>1</v>
      </c>
      <c r="B23" t="s">
        <v>5</v>
      </c>
      <c r="C23" t="s">
        <v>90</v>
      </c>
      <c r="D23" t="s">
        <v>197</v>
      </c>
      <c r="E23" t="s">
        <v>199</v>
      </c>
      <c r="F23" t="s">
        <v>98</v>
      </c>
      <c r="G23" t="s">
        <v>99</v>
      </c>
      <c r="H23" t="s">
        <v>202</v>
      </c>
      <c r="I23">
        <v>56.338028169014088</v>
      </c>
      <c r="J23" t="s">
        <v>209</v>
      </c>
    </row>
    <row r="24" spans="1:10">
      <c r="A24" t="s">
        <v>3</v>
      </c>
      <c r="B24" t="s">
        <v>7</v>
      </c>
      <c r="C24" t="s">
        <v>91</v>
      </c>
      <c r="D24" t="s">
        <v>198</v>
      </c>
      <c r="E24" t="s">
        <v>199</v>
      </c>
      <c r="F24" t="s">
        <v>98</v>
      </c>
      <c r="G24" t="s">
        <v>99</v>
      </c>
      <c r="H24" t="s">
        <v>210</v>
      </c>
      <c r="I24">
        <v>42.5</v>
      </c>
      <c r="J24" t="s">
        <v>211</v>
      </c>
    </row>
    <row r="25" spans="1:10" ht="15">
      <c r="A25" t="s">
        <v>3</v>
      </c>
      <c r="B25" t="s">
        <v>7</v>
      </c>
      <c r="C25" t="s">
        <v>90</v>
      </c>
      <c r="D25" t="s">
        <v>198</v>
      </c>
      <c r="E25" t="s">
        <v>199</v>
      </c>
      <c r="F25" t="s">
        <v>98</v>
      </c>
      <c r="G25" t="s">
        <v>99</v>
      </c>
      <c r="H25" s="6" t="s">
        <v>212</v>
      </c>
      <c r="I25">
        <v>1.3</v>
      </c>
      <c r="J25" s="6" t="s">
        <v>213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hyperlinks>
    <hyperlink ref="J25" r:id="rId1" xr:uid="{8B29D165-A493-48F3-B663-85CB453EE758}"/>
    <hyperlink ref="H25" r:id="rId2" xr:uid="{3DC1B296-F88E-408E-956F-0351AD5F515E}"/>
    <hyperlink ref="J20" r:id="rId3" xr:uid="{EA845FCE-F931-471E-B7AD-CCDF4F57AEA4}"/>
    <hyperlink ref="J21" r:id="rId4" xr:uid="{E1E2866D-3A5C-4D33-8B50-C6AA8A2965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Progress'!$B$4:$I$4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B2" sqref="B2"/>
    </sheetView>
  </sheetViews>
  <sheetFormatPr defaultRowHeight="14.4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214</v>
      </c>
      <c r="B1" s="1" t="s">
        <v>215</v>
      </c>
      <c r="C1" s="1" t="s">
        <v>216</v>
      </c>
      <c r="D1" s="1" t="s">
        <v>217</v>
      </c>
      <c r="E1" s="1" t="s">
        <v>21</v>
      </c>
      <c r="F1" s="1" t="s">
        <v>218</v>
      </c>
    </row>
    <row r="2" spans="1:6" ht="43.5">
      <c r="A2" t="s">
        <v>49</v>
      </c>
      <c r="B2" s="5" t="s">
        <v>219</v>
      </c>
      <c r="C2" s="6" t="s">
        <v>51</v>
      </c>
      <c r="D2" t="s">
        <v>220</v>
      </c>
      <c r="E2">
        <v>2021</v>
      </c>
    </row>
    <row r="3" spans="1:6">
      <c r="A3" t="s">
        <v>221</v>
      </c>
      <c r="B3" t="s">
        <v>222</v>
      </c>
    </row>
    <row r="4" spans="1:6">
      <c r="A4" t="s">
        <v>223</v>
      </c>
      <c r="B4" t="s">
        <v>224</v>
      </c>
      <c r="C4" s="6" t="s">
        <v>225</v>
      </c>
      <c r="D4" t="s">
        <v>226</v>
      </c>
      <c r="E4" s="16" t="s">
        <v>227</v>
      </c>
      <c r="F4" t="s">
        <v>228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2FEEF7-88D6-41D4-B999-EFF8511D95B1}"/>
</file>

<file path=customXml/itemProps2.xml><?xml version="1.0" encoding="utf-8"?>
<ds:datastoreItem xmlns:ds="http://schemas.openxmlformats.org/officeDocument/2006/customXml" ds:itemID="{4173999B-2FEB-4E5B-A6C7-6E33DD5EA2F7}"/>
</file>

<file path=customXml/itemProps3.xml><?xml version="1.0" encoding="utf-8"?>
<ds:datastoreItem xmlns:ds="http://schemas.openxmlformats.org/officeDocument/2006/customXml" ds:itemID="{44149C33-81B0-4C8D-A8B9-4C0F99EB68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2026-09-08T22:40:31Z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