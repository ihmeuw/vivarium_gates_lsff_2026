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:\projects\2026\vivarium_gates_lsff_2026\0100_data_prep\extraction\"/>
    </mc:Choice>
  </mc:AlternateContent>
  <xr:revisionPtr revIDLastSave="0" documentId="13_ncr:1_{CCDD5D43-72C8-4624-AEAC-2BD6AB93517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definedNames>
    <definedName name="_xlnm._FilterDatabase" localSheetId="1" hidden="1">'Country-Vehicle Extraction'!$A$1:$M$106</definedName>
    <definedName name="_xlnm._FilterDatabase" localSheetId="10" hidden="1">'Scenario Definition Extraction'!$A$1:$J$28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" i="6" l="1"/>
  <c r="J86" i="6"/>
  <c r="J85" i="6"/>
  <c r="J72" i="6"/>
  <c r="J71" i="6"/>
  <c r="J70" i="6"/>
  <c r="J69" i="6"/>
  <c r="J68" i="6"/>
  <c r="J67" i="6"/>
  <c r="H8" i="14"/>
  <c r="H7" i="14"/>
  <c r="H6" i="14"/>
  <c r="G8" i="14"/>
  <c r="G7" i="14"/>
  <c r="G6" i="14"/>
  <c r="H9" i="1"/>
  <c r="F9" i="1"/>
  <c r="F7" i="1"/>
  <c r="F5" i="1"/>
  <c r="D9" i="1"/>
  <c r="D7" i="1"/>
  <c r="D6" i="1"/>
  <c r="D5" i="1"/>
  <c r="B9" i="1"/>
  <c r="B8" i="1"/>
  <c r="B7" i="1"/>
  <c r="B6" i="1"/>
  <c r="B5" i="1"/>
  <c r="J95" i="6"/>
  <c r="J94" i="6"/>
  <c r="J93" i="6"/>
  <c r="F8" i="1" s="1"/>
  <c r="J100" i="6"/>
  <c r="J99" i="6"/>
  <c r="J98" i="6"/>
  <c r="J97" i="6"/>
  <c r="J96" i="6"/>
  <c r="J84" i="6"/>
  <c r="J83" i="6"/>
  <c r="J82" i="6"/>
  <c r="J81" i="6"/>
  <c r="J80" i="6"/>
  <c r="J79" i="6"/>
  <c r="G9" i="1"/>
  <c r="G8" i="1"/>
  <c r="G7" i="1"/>
  <c r="G6" i="1"/>
  <c r="G5" i="1"/>
  <c r="P8" i="4"/>
  <c r="N8" i="4"/>
  <c r="I8" i="4"/>
  <c r="H8" i="4"/>
  <c r="I7" i="4"/>
  <c r="H7" i="4"/>
  <c r="H6" i="4"/>
  <c r="J53" i="6"/>
  <c r="J52" i="6"/>
  <c r="J51" i="6"/>
  <c r="D8" i="1" s="1"/>
  <c r="J6" i="14"/>
  <c r="C8" i="14"/>
  <c r="C7" i="14"/>
  <c r="C6" i="14"/>
  <c r="F8" i="14"/>
  <c r="E8" i="14"/>
  <c r="F7" i="14"/>
  <c r="E7" i="14"/>
  <c r="F6" i="14"/>
  <c r="E6" i="14"/>
  <c r="B8" i="14"/>
  <c r="B7" i="14"/>
  <c r="B6" i="14"/>
  <c r="J8" i="14"/>
  <c r="J7" i="14"/>
  <c r="I8" i="14"/>
  <c r="I7" i="14"/>
  <c r="I6" i="14"/>
  <c r="P7" i="4"/>
  <c r="N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E9" i="1"/>
  <c r="E8" i="1"/>
  <c r="E7" i="1"/>
  <c r="E6" i="1"/>
  <c r="E5" i="1"/>
  <c r="C9" i="1"/>
  <c r="C8" i="1"/>
  <c r="C7" i="1"/>
  <c r="C6" i="1"/>
  <c r="C5" i="1"/>
  <c r="F6" i="5"/>
  <c r="F5" i="5"/>
  <c r="D6" i="5"/>
  <c r="D5" i="5"/>
  <c r="B6" i="5"/>
  <c r="B5" i="5"/>
  <c r="F6" i="1" l="1"/>
</calcChain>
</file>

<file path=xl/sharedStrings.xml><?xml version="1.0" encoding="utf-8"?>
<sst xmlns="http://schemas.openxmlformats.org/spreadsheetml/2006/main" count="2058" uniqueCount="238">
  <si>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</si>
  <si>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</si>
  <si>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</si>
  <si>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</si>
  <si>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</si>
  <si>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</si>
  <si>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</si>
  <si>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</si>
  <si>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</si>
  <si>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</si>
  <si>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</si>
  <si>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</si>
  <si>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</si>
  <si>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</si>
  <si>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</si>
  <si>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</si>
  <si>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</si>
  <si>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</si>
  <si>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</si>
  <si>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</si>
  <si>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</si>
  <si>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</si>
  <si>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</si>
  <si>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</si>
  <si>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</si>
  <si>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</si>
  <si>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</si>
  <si>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</si>
  <si>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</si>
  <si>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</si>
  <si>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</si>
  <si>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</si>
  <si>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</si>
  <si>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</si>
  <si>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</si>
  <si>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</si>
  <si>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</si>
  <si>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</si>
  <si>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</si>
  <si>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</si>
  <si>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</si>
  <si>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</si>
  <si>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</si>
  <si>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</si>
  <si>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</si>
  <si>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</si>
  <si>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</si>
  <si>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</si>
  <si>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</si>
  <si>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</si>
  <si>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</si>
  <si>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</si>
  <si>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</si>
  <si>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</si>
  <si>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</si>
  <si>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</si>
  <si>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</si>
  <si>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</si>
  <si>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</si>
  <si>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</si>
  <si>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</si>
  <si>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</si>
  <si>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</si>
  <si>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</si>
  <si>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</si>
  <si>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</si>
  <si>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</si>
  <si>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</si>
  <si>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</si>
  <si>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</si>
  <si>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</si>
  <si>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</si>
  <si>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</si>
  <si>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</si>
  <si>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</si>
  <si>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</si>
  <si>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</si>
  <si>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</si>
  <si>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</si>
  <si>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</si>
  <si>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</si>
  <si>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51.3% "Industry consolidation" sent by Jonathan Gorstein in a spreadsheet on 7/19 according to M4N Database, but on 8/15 we agreed to consider all open-market rice unfortifiable</t>
  </si>
  <si>
    <t>Jonathan Gorstein email 8/30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</si>
  <si>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</si>
  <si>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</si>
  <si>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</si>
  <si>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</si>
  <si>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</si>
  <si>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</si>
  <si>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</si>
  <si>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</si>
  <si>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</si>
  <si>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</si>
  <si>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</si>
  <si>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</si>
  <si>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</si>
  <si>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</si>
  <si>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</si>
  <si>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</si>
  <si>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</si>
  <si>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</si>
  <si>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</si>
  <si>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</si>
  <si>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</si>
  <si>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</si>
  <si>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</si>
  <si>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</si>
  <si>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</si>
  <si>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</si>
  <si>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</si>
  <si>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</si>
  <si>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</si>
  <si>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</si>
  <si>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</si>
  <si>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</si>
  <si>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</si>
  <si>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</si>
  <si>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</si>
  <si>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</si>
  <si>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</si>
  <si>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</si>
  <si>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</si>
  <si>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</si>
  <si>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</si>
  <si>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</si>
  <si>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</si>
  <si>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</si>
  <si>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</si>
  <si>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</si>
  <si>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</si>
  <si>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</si>
  <si>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</si>
  <si>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</si>
  <si>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family val="2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</si>
  <si>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</si>
  <si>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</si>
  <si>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</si>
  <si>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</si>
  <si>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family val="2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</si>
  <si>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</si>
  <si>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</si>
  <si>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</si>
  <si>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</si>
  <si>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</si>
  <si>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</si>
  <si>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</si>
  <si>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</si>
  <si>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</si>
  <si>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</si>
  <si>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</si>
  <si>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</si>
  <si>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</si>
  <si>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</si>
  <si>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</si>
  <si>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</si>
  <si>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</si>
  <si>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</si>
  <si>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</si>
  <si>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</si>
  <si>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</si>
  <si>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</si>
  <si>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</si>
  <si>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</si>
  <si>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</si>
  <si>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</si>
  <si>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</si>
  <si>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</si>
  <si>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</si>
  <si>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</si>
  <si>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</si>
  <si>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</si>
  <si>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</si>
  <si>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</si>
  <si>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</si>
  <si>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</si>
  <si>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</si>
  <si>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</si>
  <si>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</si>
  <si>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</si>
  <si>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</si>
  <si>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</si>
  <si>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</si>
  <si>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</si>
  <si>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</si>
  <si>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</si>
  <si>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</si>
  <si>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</si>
  <si>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</si>
  <si>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</si>
  <si>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</si>
  <si>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</si>
  <si>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</si>
  <si>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</si>
  <si>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</si>
  <si>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</si>
  <si>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</si>
  <si>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</si>
  <si>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</si>
  <si>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</si>
  <si>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</si>
  <si>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</t>
  </si>
  <si>
    <t>Intervention effective % of fortified</t>
  </si>
  <si>
    <t>Andy Garcia email 7/26</t>
  </si>
  <si>
    <t>Confirmed by Jonathan Gorstein, 8/15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</si>
  <si>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</si>
  <si>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</si>
  <si>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</si>
  <si>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</si>
  <si>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</si>
  <si>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</si>
  <si>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</si>
  <si>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</si>
  <si>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</si>
  <si>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</si>
  <si>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</si>
  <si>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</si>
  <si>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</si>
  <si>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</si>
  <si>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</si>
  <si>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</si>
  <si>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</si>
  <si>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</si>
  <si>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</si>
  <si>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</si>
  <si>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</si>
  <si>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</si>
  <si>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</si>
  <si>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</si>
  <si>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</si>
  <si>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Intervention - 45 ppm</t>
  </si>
  <si>
    <t>Complete</t>
  </si>
  <si>
    <t>20260416_Input data to IHME models.xlsx spreadsheet from Jonathan Gorstein, attached to Email 4/16/2026</t>
  </si>
  <si>
    <t>same program reach as the NRV scenarios (Andy Garcia 7/26)</t>
  </si>
  <si>
    <t>45 ppm = 45 µg/g</t>
  </si>
  <si>
    <t>Jonathan Gorstein, 8/15 (same as the 25%/100% NRV scenarios)</t>
  </si>
  <si>
    <t>Kept consistent with the existing NRV scenarios so the three arms differ only in concentration. GF Apr-2026 workbook implies 2030 compliance = 80% (effectiveness 1.0 at 0.8 reach); to be adopted for all Ethiopia scenarios together in the parameter-update batch.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</si>
  <si>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</si>
  <si>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BCG-measured tonnage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</si>
</sst>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family val="2"/>
    </font>
    <font>
      <sz val="11"/>
      <color rgb="FF000000"/>
      <name val="Aptos"/>
      <family val="2"/>
    </font>
    <font>
      <sz val="12"/>
      <name val="Aptos"/>
      <family val="2"/>
    </font>
    <font>
      <b/>
      <sz val="12"/>
      <name val="Aptos"/>
      <family val="2"/>
    </font>
    <font>
      <sz val="11"/>
      <name val="Aptos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../../../../../../../snfs/DATA/DHS_PROG_DHS/ETH/2016/ETH_DHS7_2016_REP_QUEST_Y2017M08D15.PDF" TargetMode="External"/><Relationship Id="rId7" Type="http://schemas.openxmlformats.org/officeDocument/2006/relationships/hyperlink" Target="../../../../../../../snfs/DATA/DHS_PROG_DHS/ETH/2016/ETH_DHS7_2016_REP_QUEST_Y2017M08D15.PDF" TargetMode="External"/><Relationship Id="rId2" Type="http://schemas.openxmlformats.org/officeDocument/2006/relationships/hyperlink" Target="../../../../../../../snfs/DATA/DHS_PROG_DHS/NGA/2018/NGA_DHS7_2018_REP_QUEST_Y2019M11D05.PDF" TargetMode="External"/><Relationship Id="rId1" Type="http://schemas.openxmlformats.org/officeDocument/2006/relationships/hyperlink" Target="../../../../../../../snfs/DATA/DHS_PROG_DHS/NGA/2018/NGA_DHS7_2018_REP_QUEST_Y2019M11D05.PDF" TargetMode="External"/><Relationship Id="rId6" Type="http://schemas.openxmlformats.org/officeDocument/2006/relationships/hyperlink" Target="../../../../../../../snfs/DATA/DHS_PROG_DHS/ETH/2016/ETH_DHS7_2016_REP_QUEST_Y2017M08D15.PDF" TargetMode="External"/><Relationship Id="rId5" Type="http://schemas.openxmlformats.org/officeDocument/2006/relationships/hyperlink" Target="../../../../../../../snfs/DATA/DHS_PROG_DHS/ETH/2016/ETH_DHS7_2016_REP_QUEST_Y2017M08D15.PDF" TargetMode="External"/><Relationship Id="rId4" Type="http://schemas.openxmlformats.org/officeDocument/2006/relationships/hyperlink" Target="../../../../../../../snfs/DATA/DHS_PROG_DHS/ETH/2016/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olframalpha.com/input?i=4+mg%2F100g+in+mcg%2Fg" TargetMode="External"/><Relationship Id="rId2" Type="http://schemas.openxmlformats.org/officeDocument/2006/relationships/hyperlink" Target="https://nyaspubs.onlinelibrary.wiley.com/doi/full/10.1111/nyas.12478" TargetMode="External"/><Relationship Id="rId1" Type="http://schemas.openxmlformats.org/officeDocument/2006/relationships/hyperlink" Target="https://www.wolframalpha.com/input?i=0.13+mg%2F100g+in+mcg%2Fg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wolframalpha.com/input?i=0.169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defaultRowHeight="14.5" x14ac:dyDescent="0.35"/>
  <cols>
    <col min="1" max="1" width="58.26953125" bestFit="1" customWidth="1"/>
    <col min="2" max="2" width="12.453125" bestFit="1" customWidth="1"/>
    <col min="3" max="3" width="15.54296875" bestFit="1" customWidth="1"/>
    <col min="4" max="4" width="9.7265625" bestFit="1" customWidth="1"/>
    <col min="8" max="9" width="15.81640625" bestFit="1" customWidth="1"/>
  </cols>
  <sheetData>
    <row r="1" spans="1:9" x14ac:dyDescent="0.35">
      <c r="A1" s="3" t="s">
        <v>0</v>
      </c>
      <c r="B1" s="33" t="s">
        <v>1</v>
      </c>
      <c r="C1" s="33"/>
      <c r="D1" s="33" t="s">
        <v>2</v>
      </c>
      <c r="E1" s="33"/>
      <c r="F1" s="33"/>
      <c r="G1" s="33"/>
      <c r="H1" s="33" t="s">
        <v>3</v>
      </c>
      <c r="I1" s="33"/>
    </row>
    <row r="2" spans="1:9" x14ac:dyDescent="0.35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  <c r="H2" s="33" t="s">
        <v>7</v>
      </c>
      <c r="I2" s="33"/>
    </row>
    <row r="3" spans="1:9" x14ac:dyDescent="0.35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  <c r="H3" s="2" t="s">
        <v>9</v>
      </c>
      <c r="I3" s="1" t="s">
        <v>10</v>
      </c>
    </row>
    <row r="4" spans="1:9" x14ac:dyDescent="0.35">
      <c r="A4" s="1" t="s">
        <v>11</v>
      </c>
      <c r="B4" s="1"/>
      <c r="C4" s="1"/>
      <c r="D4" s="1"/>
      <c r="E4" s="1"/>
      <c r="F4" s="1"/>
      <c r="G4" s="1"/>
    </row>
    <row r="5" spans="1:9" x14ac:dyDescent="0.35">
      <c r="A5" t="s">
        <v>12</v>
      </c>
      <c r="B5" t="str">
        <f>IF(COUNTIFS('Country-Vehicle Extraction'!$A$2:$A$1009, B$1,  'Country-Vehicle Extraction'!$B$2:$B$1009, B$2,  'Country-Vehicle Extraction'!$C$2:$C$1009, "Total",  'Country-Vehicle Extraction'!$E$2:$E$1009, $A5, 'Country-Vehicle Extraction'!$J$2:$J$1009, "&lt;&gt;") = 0, "Missing", "Complete")</f>
        <v>Missing</v>
      </c>
      <c r="C5" t="str">
        <f>IF(COUNTIFS('Country-Vehicle Extraction'!$A$2:$A$1009, B$1,  'Country-Vehicle Extraction'!$B$2:$B$1009, B$2,  'Country-Vehicle Extraction'!$C$2:$C$1009, "&lt;&gt;All",  'Country-Vehicle Extraction'!E$2:E$1009, $A5, 'Country-Vehicle Extraction'!$J$2:$J$1009, "&lt;&gt;") = 0, "Missing", "Complete")</f>
        <v>Complete</v>
      </c>
      <c r="D5" t="str">
        <f>IF(COUNTIFS('Country-Vehicle Extraction'!$A$2:$A$1009, D$1,  'Country-Vehicle Extraction'!$B$2:$B$1009, D$2,  'Country-Vehicle Extraction'!$C$2:$C$1009, "Total",  'Country-Vehicle Extraction'!$E$2:$E$1009, $A5, 'Country-Vehicle Extraction'!$J$2:$J$1009, "&lt;&gt;") = 0, "Missing", "Complete")</f>
        <v>Complete</v>
      </c>
      <c r="E5" t="str">
        <f>IF(COUNTIFS('Country-Vehicle Extraction'!$A$2:$A$1009, D$1,  'Country-Vehicle Extraction'!$B$2:$B$1009, D$2,  'Country-Vehicle Extraction'!$C$2:$C$1009, "&lt;&gt;All",  'Country-Vehicle Extraction'!$E$2:$E$1009, $A5, 'Country-Vehicle Extraction'!$J$2:$J$1009, "&lt;&gt;") = 0, "Missing", "Complete")</f>
        <v>Complete</v>
      </c>
      <c r="F5" t="str">
        <f>IF(COUNTIFS('Country-Vehicle Extraction'!$A$2:$A$1009, D$1,  'Country-Vehicle Extraction'!$B$2:$B$1009, F$2,  'Country-Vehicle Extraction'!$C$2:$C$1009, "Total",  'Country-Vehicle Extraction'!$E$2:$E$1009, $A5, 'Country-Vehicle Extraction'!$J$2:$J$1009, "&lt;&gt;") = 0, "Missing", "Complete")</f>
        <v>Complete</v>
      </c>
      <c r="G5" t="str">
        <f>IF(COUNTIFS('Country-Vehicle Extraction'!$A$2:$A$1009, D$1,  'Country-Vehicle Extraction'!$B$2:$B$1009, F$2,  'Country-Vehicle Extraction'!$C$2:$C$1009, "&lt;&gt;All",  'Country-Vehicle Extraction'!$E$2:$E$1009, $A5, 'Country-Vehicle Extraction'!$J$2:$J$1009, "&lt;&gt;") = 0, "Missing", "Complete")</f>
        <v>Complete</v>
      </c>
      <c r="H5" t="s">
        <v>13</v>
      </c>
      <c r="I5" t="s">
        <v>13</v>
      </c>
    </row>
    <row r="6" spans="1:9" x14ac:dyDescent="0.35">
      <c r="A6" t="s">
        <v>14</v>
      </c>
      <c r="B6" t="str">
        <f>IF(COUNTIFS('Country-Vehicle Extraction'!$A$2:$A$1009, B$1,  'Country-Vehicle Extraction'!$B$2:$B$1009, B$2,  'Country-Vehicle Extraction'!$C$2:$C$1009, "Total",  'Country-Vehicle Extraction'!$E$2:$E$1009, $A6, 'Country-Vehicle Extraction'!$J$2:$J$1009, "&lt;&gt;") = 0, "Missing", "Complete")</f>
        <v>Complete</v>
      </c>
      <c r="C6" t="str">
        <f>IF(COUNTIFS('Country-Vehicle Extraction'!$A$2:$A$1009, B$1,  'Country-Vehicle Extraction'!$B$2:$B$1009, B$2,  'Country-Vehicle Extraction'!$C$2:$C$1009, "&lt;&gt;All",  'Country-Vehicle Extraction'!E$2:E$1009, $A6, 'Country-Vehicle Extraction'!$J$2:$J$1009, "&lt;&gt;") = 0, "Missing", "Complete")</f>
        <v>Complete</v>
      </c>
      <c r="D6" t="str">
        <f>IF(COUNTIFS('Country-Vehicle Extraction'!$A$2:$A$1009, D$1,  'Country-Vehicle Extraction'!$B$2:$B$1009, D$2,  'Country-Vehicle Extraction'!$C$2:$C$1009, "Total",  'Country-Vehicle Extraction'!$E$2:$E$1009, $A6, 'Country-Vehicle Extraction'!$J$2:$J$1009, "&lt;&gt;") = 0, "Missing", "Complete")</f>
        <v>Complete</v>
      </c>
      <c r="E6" t="str">
        <f>IF(COUNTIFS('Country-Vehicle Extraction'!$A$2:$A$1009, D$1,  'Country-Vehicle Extraction'!$B$2:$B$1009, D$2,  'Country-Vehicle Extraction'!$C$2:$C$1009, "&lt;&gt;All",  'Country-Vehicle Extraction'!$E$2:$E$1009, $A6, 'Country-Vehicle Extraction'!$J$2:$J$1009, "&lt;&gt;") = 0, "Missing", "Complete")</f>
        <v>Complete</v>
      </c>
      <c r="F6" t="str">
        <f>IF(COUNTIFS('Country-Vehicle Extraction'!$A$2:$A$1009, D$1,  'Country-Vehicle Extraction'!$B$2:$B$1009, F$2,  'Country-Vehicle Extraction'!$C$2:$C$1009, "Total",  'Country-Vehicle Extraction'!$E$2:$E$1009, $A6, 'Country-Vehicle Extraction'!$J$2:$J$1009, "&lt;&gt;") = 0, "Missing", "Complete")</f>
        <v>Complete</v>
      </c>
      <c r="G6" t="str">
        <f>IF(COUNTIFS('Country-Vehicle Extraction'!$A$2:$A$1009, D$1,  'Country-Vehicle Extraction'!$B$2:$B$1009, F$2,  'Country-Vehicle Extraction'!$C$2:$C$1009, "&lt;&gt;All",  'Country-Vehicle Extraction'!$E$2:$E$1009, $A6, 'Country-Vehicle Extraction'!$J$2:$J$1009, "&lt;&gt;") = 0, "Missing", "Complete")</f>
        <v>Complete</v>
      </c>
      <c r="H6" t="s">
        <v>13</v>
      </c>
      <c r="I6" t="s">
        <v>13</v>
      </c>
    </row>
    <row r="7" spans="1:9" x14ac:dyDescent="0.35">
      <c r="A7" t="s">
        <v>15</v>
      </c>
      <c r="B7" t="str">
        <f>IF(COUNTIFS('Country-Vehicle Extraction'!$A$2:$A$1009, B$1,  'Country-Vehicle Extraction'!$B$2:$B$1009, B$2,  'Country-Vehicle Extraction'!$C$2:$C$1009, "Total",  'Country-Vehicle Extraction'!$E$2:$E$1009, $A7, 'Country-Vehicle Extraction'!$J$2:$J$1009, "&lt;&gt;") = 0, "Missing", "Complete")</f>
        <v>Missing</v>
      </c>
      <c r="C7" t="str">
        <f>IF(COUNTIFS('Country-Vehicle Extraction'!$A$2:$A$1009, B$1,  'Country-Vehicle Extraction'!$B$2:$B$1009, B$2,  'Country-Vehicle Extraction'!$C$2:$C$1009, "&lt;&gt;All",  'Country-Vehicle Extraction'!E$2:E$1009, $A7, 'Country-Vehicle Extraction'!$J$2:$J$1009, "&lt;&gt;") = 0, "Missing", "Complete")</f>
        <v>Complete</v>
      </c>
      <c r="D7" t="str">
        <f>IF(COUNTIFS('Country-Vehicle Extraction'!$A$2:$A$1009, D$1,  'Country-Vehicle Extraction'!$B$2:$B$1009, D$2,  'Country-Vehicle Extraction'!$C$2:$C$1009, "Total",  'Country-Vehicle Extraction'!$E$2:$E$1009, $A7, 'Country-Vehicle Extraction'!$J$2:$J$1009, "&lt;&gt;") = 0, "Missing", "Complete")</f>
        <v>Complete</v>
      </c>
      <c r="E7" t="str">
        <f>IF(COUNTIFS('Country-Vehicle Extraction'!$A$2:$A$1009, D$1,  'Country-Vehicle Extraction'!$B$2:$B$1009, D$2,  'Country-Vehicle Extraction'!$C$2:$C$1009, "&lt;&gt;All",  'Country-Vehicle Extraction'!$E$2:$E$1009, $A7, 'Country-Vehicle Extraction'!$J$2:$J$1009, "&lt;&gt;") = 0, "Missing", "Complete")</f>
        <v>Complete</v>
      </c>
      <c r="F7" t="str">
        <f>IF(COUNTIFS('Country-Vehicle Extraction'!$A$2:$A$1009, D$1,  'Country-Vehicle Extraction'!$B$2:$B$1009, F$2,  'Country-Vehicle Extraction'!$C$2:$C$1009, "Total",  'Country-Vehicle Extraction'!$E$2:$E$1009, $A7, 'Country-Vehicle Extraction'!$J$2:$J$1009, "&lt;&gt;") = 0, "Missing", "Complete")</f>
        <v>Complete</v>
      </c>
      <c r="G7" t="str">
        <f>IF(COUNTIFS('Country-Vehicle Extraction'!$A$2:$A$1009, D$1,  'Country-Vehicle Extraction'!$B$2:$B$1009, F$2,  'Country-Vehicle Extraction'!$C$2:$C$1009, "&lt;&gt;All",  'Country-Vehicle Extraction'!$E$2:$E$1009, $A7, 'Country-Vehicle Extraction'!$J$2:$J$1009, "&lt;&gt;") = 0, "Missing", "Complete")</f>
        <v>Complete</v>
      </c>
      <c r="H7" t="s">
        <v>13</v>
      </c>
      <c r="I7" t="s">
        <v>13</v>
      </c>
    </row>
    <row r="8" spans="1:9" x14ac:dyDescent="0.35">
      <c r="A8" t="s">
        <v>16</v>
      </c>
      <c r="B8" t="str">
        <f>IF(COUNTIFS('Country-Vehicle Extraction'!$A$2:$A$1009, B$1,  'Country-Vehicle Extraction'!$B$2:$B$1009, B$2,  'Country-Vehicle Extraction'!$C$2:$C$1009, "Total",  'Country-Vehicle Extraction'!$E$2:$E$1009, $A8, 'Country-Vehicle Extraction'!$J$2:$J$1009, "&lt;&gt;") = 0, "Missing", "Complete")</f>
        <v>Complete</v>
      </c>
      <c r="C8" t="str">
        <f>IF(COUNTIFS('Country-Vehicle Extraction'!$A$2:$A$1009, B$1,  'Country-Vehicle Extraction'!$B$2:$B$1009, B$2,  'Country-Vehicle Extraction'!$C$2:$C$1009, "&lt;&gt;All",  'Country-Vehicle Extraction'!E$2:E$1009, $A8, 'Country-Vehicle Extraction'!$J$2:$J$1009, "&lt;&gt;") = 0, "Missing", "Complete")</f>
        <v>Complete</v>
      </c>
      <c r="D8" t="str">
        <f>IF(COUNTIFS('Country-Vehicle Extraction'!$A$2:$A$1009, D$1,  'Country-Vehicle Extraction'!$B$2:$B$1009, D$2,  'Country-Vehicle Extraction'!$C$2:$C$1009, "Total",  'Country-Vehicle Extraction'!$E$2:$E$1009, $A8, 'Country-Vehicle Extraction'!$J$2:$J$1009, "&lt;&gt;") = 0, "Missing", "Complete")</f>
        <v>Complete</v>
      </c>
      <c r="E8" t="str">
        <f>IF(COUNTIFS('Country-Vehicle Extraction'!$A$2:$A$1009, D$1,  'Country-Vehicle Extraction'!$B$2:$B$1009, D$2,  'Country-Vehicle Extraction'!$C$2:$C$1009, "&lt;&gt;All",  'Country-Vehicle Extraction'!$E$2:$E$1009, $A8, 'Country-Vehicle Extraction'!$J$2:$J$1009, "&lt;&gt;") = 0, "Missing", "Complete")</f>
        <v>Complete</v>
      </c>
      <c r="F8" t="str">
        <f>IF(COUNTIFS('Country-Vehicle Extraction'!$A$2:$A$1009, D$1,  'Country-Vehicle Extraction'!$B$2:$B$1009, F$2,  'Country-Vehicle Extraction'!$C$2:$C$1009, "Total",  'Country-Vehicle Extraction'!$E$2:$E$1009, $A8, 'Country-Vehicle Extraction'!$J$2:$J$1009, "&lt;&gt;") = 0, "Missing", "Complete")</f>
        <v>Complete</v>
      </c>
      <c r="G8" t="str">
        <f>IF(COUNTIFS('Country-Vehicle Extraction'!$A$2:$A$1009, D$1,  'Country-Vehicle Extraction'!$B$2:$B$1009, F$2,  'Country-Vehicle Extraction'!$C$2:$C$1009, "&lt;&gt;All",  'Country-Vehicle Extraction'!$E$2:$E$1009, $A8, 'Country-Vehicle Extraction'!$J$2:$J$1009, "&lt;&gt;") = 0, "Missing", "Complete")</f>
        <v>Complete</v>
      </c>
      <c r="H8" t="s">
        <v>13</v>
      </c>
      <c r="I8" t="s">
        <v>13</v>
      </c>
    </row>
    <row r="9" spans="1:9" x14ac:dyDescent="0.35">
      <c r="A9" t="s">
        <v>17</v>
      </c>
      <c r="B9" t="str">
        <f>IF(COUNTIFS('Country-Vehicle Extraction'!$A$2:$A$1009, B$1,  'Country-Vehicle Extraction'!$B$2:$B$1009, B$2,  'Country-Vehicle Extraction'!$C$2:$C$1009, "Total",  'Country-Vehicle Extraction'!$E$2:$E$1009, $A9, 'Country-Vehicle Extraction'!$J$2:$J$1009, "&lt;&gt;") = 0, "Missing", "Complete")</f>
        <v>Missing</v>
      </c>
      <c r="C9" t="str">
        <f>IF(COUNTIFS('Country-Vehicle Extraction'!$A$2:$A$1009, B$1,  'Country-Vehicle Extraction'!$B$2:$B$1009, B$2,  'Country-Vehicle Extraction'!$C$2:$C$1009, "&lt;&gt;All",  'Country-Vehicle Extraction'!E$2:E$1009, $A9, 'Country-Vehicle Extraction'!$J$2:$J$1009, "&lt;&gt;") = 0, "Missing", "Complete")</f>
        <v>Complete</v>
      </c>
      <c r="D9" t="str">
        <f>IF(COUNTIFS('Country-Vehicle Extraction'!$A$2:$A$1009, D$1,  'Country-Vehicle Extraction'!$B$2:$B$1009, D$2,  'Country-Vehicle Extraction'!$C$2:$C$1009, "Total",  'Country-Vehicle Extraction'!$E$2:$E$1009, $A9, 'Country-Vehicle Extraction'!$J$2:$J$1009, "&lt;&gt;") = 0, "Missing", "Complete")</f>
        <v>Complete</v>
      </c>
      <c r="E9" t="str">
        <f>IF(COUNTIFS('Country-Vehicle Extraction'!$A$2:$A$1009, D$1,  'Country-Vehicle Extraction'!$B$2:$B$1009, D$2,  'Country-Vehicle Extraction'!$C$2:$C$1009, "&lt;&gt;All",  'Country-Vehicle Extraction'!$E$2:$E$1009, $A9, 'Country-Vehicle Extraction'!$J$2:$J$1009, "&lt;&gt;") = 0, "Missing", "Complete")</f>
        <v>Complete</v>
      </c>
      <c r="F9" t="str">
        <f>IF(COUNTIFS('Country-Vehicle Extraction'!$A$2:$A$1009, D$1,  'Country-Vehicle Extraction'!$B$2:$B$1009, F$2,  'Country-Vehicle Extraction'!$C$2:$C$1009, "Total",  'Country-Vehicle Extraction'!$E$2:$E$1009, $A9, 'Country-Vehicle Extraction'!$J$2:$J$1009, "&lt;&gt;") = 0, "Missing", "Complete")</f>
        <v>Missing</v>
      </c>
      <c r="G9" t="str">
        <f>IF(COUNTIFS('Country-Vehicle Extraction'!$A$2:$A$1009, D$1,  'Country-Vehicle Extraction'!$B$2:$B$1009, F$2,  'Country-Vehicle Extraction'!$C$2:$C$1009, "&lt;&gt;All",  'Country-Vehicle Extraction'!$E$2:$E$1009, $A9, 'Country-Vehicle Extraction'!$J$2:$J$1009, "&lt;&gt;") = 0, "Missing", "Complete")</f>
        <v>Complete</v>
      </c>
      <c r="H9" t="str">
        <f>IF(COUNTIFS('Country-Vehicle Extraction'!$A$2:$A$1009, H$1,  'Country-Vehicle Extraction'!$B$2:$B$1009, H$2,  'Country-Vehicle Extraction'!$C$2:$C$1009, "Total",  'Country-Vehicle Extraction'!$E$2:$E$1009, $A9, 'Country-Vehicle Extraction'!$J$2:$J$1009, "&lt;&gt;") = 0, "Missing", "Complete")</f>
        <v>Complete</v>
      </c>
      <c r="I9" t="s">
        <v>13</v>
      </c>
    </row>
  </sheetData>
  <mergeCells count="7">
    <mergeCell ref="B1:C1"/>
    <mergeCell ref="B2:C2"/>
    <mergeCell ref="D2:E2"/>
    <mergeCell ref="H1:I1"/>
    <mergeCell ref="H2:I2"/>
    <mergeCell ref="F2:G2"/>
    <mergeCell ref="D1:G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106"/>
  <sheetViews>
    <sheetView tabSelected="1" zoomScale="75" workbookViewId="0">
      <pane ySplit="1" topLeftCell="A50" activePane="bottomLeft" state="frozen"/>
      <selection pane="bottomLeft" activeCell="I67" sqref="I67"/>
    </sheetView>
  </sheetViews>
  <sheetFormatPr defaultRowHeight="14.5" x14ac:dyDescent="0.35"/>
  <cols>
    <col min="1" max="1" width="8" bestFit="1" customWidth="1"/>
    <col min="3" max="3" width="18.26953125" bestFit="1" customWidth="1"/>
    <col min="4" max="4" width="18.26953125" customWidth="1"/>
    <col min="5" max="5" width="60.1796875" bestFit="1" customWidth="1"/>
    <col min="6" max="6" width="19" customWidth="1"/>
    <col min="9" max="9" width="11.81640625" bestFit="1" customWidth="1"/>
    <col min="10" max="10" width="10.26953125" bestFit="1" customWidth="1"/>
    <col min="11" max="12" width="10.1796875" customWidth="1"/>
    <col min="13" max="13" width="50.453125" customWidth="1"/>
  </cols>
  <sheetData>
    <row r="1" spans="1:13" x14ac:dyDescent="0.35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 x14ac:dyDescent="0.35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 x14ac:dyDescent="0.35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 x14ac:dyDescent="0.35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 x14ac:dyDescent="0.35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 x14ac:dyDescent="0.35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 x14ac:dyDescent="0.35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 x14ac:dyDescent="0.35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 x14ac:dyDescent="0.35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 x14ac:dyDescent="0.35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 x14ac:dyDescent="0.35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 x14ac:dyDescent="0.35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 x14ac:dyDescent="0.35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 x14ac:dyDescent="0.35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 x14ac:dyDescent="0.35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 x14ac:dyDescent="0.35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 x14ac:dyDescent="0.35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 x14ac:dyDescent="0.35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 x14ac:dyDescent="0.35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 x14ac:dyDescent="0.35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 x14ac:dyDescent="0.35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 x14ac:dyDescent="0.35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 x14ac:dyDescent="0.35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 x14ac:dyDescent="0.35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 x14ac:dyDescent="0.35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 x14ac:dyDescent="0.35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 x14ac:dyDescent="0.35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 x14ac:dyDescent="0.35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 x14ac:dyDescent="0.35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 x14ac:dyDescent="0.35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 x14ac:dyDescent="0.35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 x14ac:dyDescent="0.35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 x14ac:dyDescent="0.35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 x14ac:dyDescent="0.35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 x14ac:dyDescent="0.35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 x14ac:dyDescent="0.35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 x14ac:dyDescent="0.35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 x14ac:dyDescent="0.35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 x14ac:dyDescent="0.35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 x14ac:dyDescent="0.35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 x14ac:dyDescent="0.35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 x14ac:dyDescent="0.35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 x14ac:dyDescent="0.35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 x14ac:dyDescent="0.35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 x14ac:dyDescent="0.35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 x14ac:dyDescent="0.35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 x14ac:dyDescent="0.35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 x14ac:dyDescent="0.35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 x14ac:dyDescent="0.35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 x14ac:dyDescent="0.35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 x14ac:dyDescent="0.35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 x14ac:dyDescent="0.35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 x14ac:dyDescent="0.35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 x14ac:dyDescent="0.35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 x14ac:dyDescent="0.35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 x14ac:dyDescent="0.35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 x14ac:dyDescent="0.35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 x14ac:dyDescent="0.35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 x14ac:dyDescent="0.35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 x14ac:dyDescent="0.35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0.96573208722741399</v>
      </c>
    </row>
    <row r="61" spans="1:13" x14ac:dyDescent="0.35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 x14ac:dyDescent="0.35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 x14ac:dyDescent="0.35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 x14ac:dyDescent="0.35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 ht="43.5" x14ac:dyDescent="0.35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47</v>
      </c>
      <c r="J65" s="21">
        <v>0</v>
      </c>
      <c r="M65" s="5" t="s">
        <v>81</v>
      </c>
    </row>
    <row r="66" spans="1:13" x14ac:dyDescent="0.35">
      <c r="A66" t="s">
        <v>2</v>
      </c>
      <c r="B66" t="s">
        <v>7</v>
      </c>
      <c r="C66" t="s">
        <v>27</v>
      </c>
      <c r="D66" t="s">
        <v>27</v>
      </c>
      <c r="E66" t="s">
        <v>17</v>
      </c>
      <c r="F66" t="s">
        <v>29</v>
      </c>
      <c r="G66" t="s">
        <v>30</v>
      </c>
      <c r="I66" t="s">
        <v>237</v>
      </c>
      <c r="J66" s="7">
        <v>0.74</v>
      </c>
      <c r="M66" t="s">
        <v>236</v>
      </c>
    </row>
    <row r="67" spans="1:13" ht="43.5" x14ac:dyDescent="0.35">
      <c r="A67" t="s">
        <v>2</v>
      </c>
      <c r="B67" t="s">
        <v>7</v>
      </c>
      <c r="C67" t="s">
        <v>33</v>
      </c>
      <c r="D67" t="s">
        <v>28</v>
      </c>
      <c r="E67" t="s">
        <v>14</v>
      </c>
      <c r="F67" t="s">
        <v>34</v>
      </c>
      <c r="G67" t="s">
        <v>35</v>
      </c>
      <c r="H67">
        <v>2021</v>
      </c>
      <c r="I67" t="s">
        <v>49</v>
      </c>
      <c r="J67">
        <f>61.2*J73</f>
        <v>32.803200000000004</v>
      </c>
      <c r="M67" s="5" t="s">
        <v>83</v>
      </c>
    </row>
    <row r="68" spans="1:13" ht="43.5" x14ac:dyDescent="0.35">
      <c r="A68" t="s">
        <v>2</v>
      </c>
      <c r="B68" t="s">
        <v>7</v>
      </c>
      <c r="C68" t="s">
        <v>37</v>
      </c>
      <c r="D68" t="s">
        <v>28</v>
      </c>
      <c r="E68" t="s">
        <v>14</v>
      </c>
      <c r="F68" t="s">
        <v>34</v>
      </c>
      <c r="G68" t="s">
        <v>35</v>
      </c>
      <c r="H68">
        <v>2021</v>
      </c>
      <c r="I68" t="s">
        <v>49</v>
      </c>
      <c r="J68">
        <f>34.2*J74</f>
        <v>11.491200000000001</v>
      </c>
      <c r="M68" s="5" t="s">
        <v>83</v>
      </c>
    </row>
    <row r="69" spans="1:13" ht="43.5" x14ac:dyDescent="0.35">
      <c r="A69" t="s">
        <v>2</v>
      </c>
      <c r="B69" t="s">
        <v>7</v>
      </c>
      <c r="C69" t="s">
        <v>38</v>
      </c>
      <c r="D69" t="s">
        <v>28</v>
      </c>
      <c r="E69" t="s">
        <v>14</v>
      </c>
      <c r="F69" t="s">
        <v>34</v>
      </c>
      <c r="G69" t="s">
        <v>35</v>
      </c>
      <c r="H69">
        <v>2021</v>
      </c>
      <c r="I69" t="s">
        <v>49</v>
      </c>
      <c r="J69">
        <f>52.4*J75</f>
        <v>23.475200000000001</v>
      </c>
      <c r="M69" s="5" t="s">
        <v>83</v>
      </c>
    </row>
    <row r="70" spans="1:13" ht="43.5" x14ac:dyDescent="0.35">
      <c r="A70" t="s">
        <v>2</v>
      </c>
      <c r="B70" t="s">
        <v>7</v>
      </c>
      <c r="C70" t="s">
        <v>39</v>
      </c>
      <c r="D70" t="s">
        <v>28</v>
      </c>
      <c r="E70" t="s">
        <v>14</v>
      </c>
      <c r="F70" t="s">
        <v>34</v>
      </c>
      <c r="G70" t="s">
        <v>35</v>
      </c>
      <c r="H70">
        <v>2021</v>
      </c>
      <c r="I70" t="s">
        <v>49</v>
      </c>
      <c r="J70">
        <f>60.7*J76</f>
        <v>33.142200000000003</v>
      </c>
      <c r="M70" s="5" t="s">
        <v>83</v>
      </c>
    </row>
    <row r="71" spans="1:13" ht="43.5" x14ac:dyDescent="0.35">
      <c r="A71" t="s">
        <v>2</v>
      </c>
      <c r="B71" t="s">
        <v>7</v>
      </c>
      <c r="C71" t="s">
        <v>40</v>
      </c>
      <c r="D71" t="s">
        <v>28</v>
      </c>
      <c r="E71" t="s">
        <v>14</v>
      </c>
      <c r="F71" t="s">
        <v>34</v>
      </c>
      <c r="G71" t="s">
        <v>35</v>
      </c>
      <c r="H71">
        <v>2021</v>
      </c>
      <c r="I71" t="s">
        <v>49</v>
      </c>
      <c r="J71">
        <f>73.7*J77</f>
        <v>46.652100000000004</v>
      </c>
      <c r="M71" s="5" t="s">
        <v>83</v>
      </c>
    </row>
    <row r="72" spans="1:13" ht="43.5" x14ac:dyDescent="0.35">
      <c r="A72" t="s">
        <v>2</v>
      </c>
      <c r="B72" t="s">
        <v>7</v>
      </c>
      <c r="C72" t="s">
        <v>41</v>
      </c>
      <c r="D72" t="s">
        <v>28</v>
      </c>
      <c r="E72" t="s">
        <v>14</v>
      </c>
      <c r="F72" t="s">
        <v>34</v>
      </c>
      <c r="G72" t="s">
        <v>35</v>
      </c>
      <c r="H72">
        <v>2021</v>
      </c>
      <c r="I72" t="s">
        <v>49</v>
      </c>
      <c r="J72">
        <f>79.5*J78</f>
        <v>53.742000000000004</v>
      </c>
      <c r="M72" s="5" t="s">
        <v>83</v>
      </c>
    </row>
    <row r="73" spans="1:13" ht="29" x14ac:dyDescent="0.35">
      <c r="A73" t="s">
        <v>2</v>
      </c>
      <c r="B73" t="s">
        <v>7</v>
      </c>
      <c r="C73" t="s">
        <v>33</v>
      </c>
      <c r="D73" t="s">
        <v>28</v>
      </c>
      <c r="E73" t="s">
        <v>12</v>
      </c>
      <c r="F73" t="s">
        <v>29</v>
      </c>
      <c r="G73" t="s">
        <v>30</v>
      </c>
      <c r="I73" t="s">
        <v>84</v>
      </c>
      <c r="J73" s="21">
        <v>0.53600000000000003</v>
      </c>
      <c r="M73" s="5" t="s">
        <v>85</v>
      </c>
    </row>
    <row r="74" spans="1:13" x14ac:dyDescent="0.35">
      <c r="A74" t="s">
        <v>2</v>
      </c>
      <c r="B74" t="s">
        <v>7</v>
      </c>
      <c r="C74" t="s">
        <v>37</v>
      </c>
      <c r="D74" t="s">
        <v>28</v>
      </c>
      <c r="E74" t="s">
        <v>12</v>
      </c>
      <c r="F74" t="s">
        <v>29</v>
      </c>
      <c r="G74" t="s">
        <v>30</v>
      </c>
      <c r="I74" t="s">
        <v>84</v>
      </c>
      <c r="J74" s="21">
        <v>0.33600000000000002</v>
      </c>
    </row>
    <row r="75" spans="1:13" x14ac:dyDescent="0.35">
      <c r="A75" t="s">
        <v>2</v>
      </c>
      <c r="B75" t="s">
        <v>7</v>
      </c>
      <c r="C75" t="s">
        <v>38</v>
      </c>
      <c r="D75" t="s">
        <v>28</v>
      </c>
      <c r="E75" t="s">
        <v>12</v>
      </c>
      <c r="F75" t="s">
        <v>29</v>
      </c>
      <c r="G75" t="s">
        <v>30</v>
      </c>
      <c r="I75" t="s">
        <v>84</v>
      </c>
      <c r="J75" s="21">
        <v>0.44800000000000001</v>
      </c>
    </row>
    <row r="76" spans="1:13" x14ac:dyDescent="0.35">
      <c r="A76" t="s">
        <v>2</v>
      </c>
      <c r="B76" t="s">
        <v>7</v>
      </c>
      <c r="C76" t="s">
        <v>39</v>
      </c>
      <c r="D76" t="s">
        <v>28</v>
      </c>
      <c r="E76" t="s">
        <v>12</v>
      </c>
      <c r="F76" t="s">
        <v>29</v>
      </c>
      <c r="G76" t="s">
        <v>30</v>
      </c>
      <c r="I76" t="s">
        <v>84</v>
      </c>
      <c r="J76" s="21">
        <v>0.54600000000000004</v>
      </c>
    </row>
    <row r="77" spans="1:13" x14ac:dyDescent="0.35">
      <c r="A77" t="s">
        <v>2</v>
      </c>
      <c r="B77" t="s">
        <v>7</v>
      </c>
      <c r="C77" t="s">
        <v>40</v>
      </c>
      <c r="D77" t="s">
        <v>28</v>
      </c>
      <c r="E77" t="s">
        <v>12</v>
      </c>
      <c r="F77" t="s">
        <v>29</v>
      </c>
      <c r="G77" t="s">
        <v>30</v>
      </c>
      <c r="I77" t="s">
        <v>84</v>
      </c>
      <c r="J77" s="21">
        <v>0.63300000000000001</v>
      </c>
    </row>
    <row r="78" spans="1:13" x14ac:dyDescent="0.35">
      <c r="A78" t="s">
        <v>2</v>
      </c>
      <c r="B78" t="s">
        <v>7</v>
      </c>
      <c r="C78" t="s">
        <v>41</v>
      </c>
      <c r="D78" t="s">
        <v>28</v>
      </c>
      <c r="E78" t="s">
        <v>12</v>
      </c>
      <c r="F78" t="s">
        <v>29</v>
      </c>
      <c r="G78" t="s">
        <v>30</v>
      </c>
      <c r="I78" t="s">
        <v>84</v>
      </c>
      <c r="J78" s="21">
        <v>0.67600000000000005</v>
      </c>
    </row>
    <row r="79" spans="1:13" ht="29" x14ac:dyDescent="0.35">
      <c r="A79" t="s">
        <v>2</v>
      </c>
      <c r="B79" t="s">
        <v>7</v>
      </c>
      <c r="C79" t="s">
        <v>33</v>
      </c>
      <c r="D79" t="s">
        <v>28</v>
      </c>
      <c r="E79" t="s">
        <v>14</v>
      </c>
      <c r="F79" t="s">
        <v>42</v>
      </c>
      <c r="G79" t="s">
        <v>35</v>
      </c>
      <c r="H79">
        <v>2021</v>
      </c>
      <c r="I79" t="s">
        <v>49</v>
      </c>
      <c r="J79">
        <f>(84.6-30.5)/1.35</f>
        <v>40.074074074074069</v>
      </c>
      <c r="M79" s="5" t="s">
        <v>86</v>
      </c>
    </row>
    <row r="80" spans="1:13" x14ac:dyDescent="0.35">
      <c r="A80" t="s">
        <v>2</v>
      </c>
      <c r="B80" t="s">
        <v>7</v>
      </c>
      <c r="C80" t="s">
        <v>37</v>
      </c>
      <c r="D80" t="s">
        <v>28</v>
      </c>
      <c r="E80" t="s">
        <v>14</v>
      </c>
      <c r="F80" t="s">
        <v>42</v>
      </c>
      <c r="G80" t="s">
        <v>35</v>
      </c>
      <c r="H80">
        <v>2021</v>
      </c>
      <c r="I80" t="s">
        <v>49</v>
      </c>
      <c r="J80">
        <f>(47.2-13.7)/1.35</f>
        <v>24.814814814814813</v>
      </c>
    </row>
    <row r="81" spans="1:13" x14ac:dyDescent="0.35">
      <c r="A81" t="s">
        <v>2</v>
      </c>
      <c r="B81" t="s">
        <v>7</v>
      </c>
      <c r="C81" t="s">
        <v>38</v>
      </c>
      <c r="D81" t="s">
        <v>28</v>
      </c>
      <c r="E81" t="s">
        <v>14</v>
      </c>
      <c r="F81" t="s">
        <v>42</v>
      </c>
      <c r="G81" t="s">
        <v>35</v>
      </c>
      <c r="H81">
        <v>2021</v>
      </c>
      <c r="I81" t="s">
        <v>49</v>
      </c>
      <c r="J81">
        <f>(71.4-26.4)/1.35</f>
        <v>33.333333333333336</v>
      </c>
    </row>
    <row r="82" spans="1:13" x14ac:dyDescent="0.35">
      <c r="A82" t="s">
        <v>2</v>
      </c>
      <c r="B82" t="s">
        <v>7</v>
      </c>
      <c r="C82" t="s">
        <v>39</v>
      </c>
      <c r="D82" t="s">
        <v>28</v>
      </c>
      <c r="E82" t="s">
        <v>14</v>
      </c>
      <c r="F82" t="s">
        <v>42</v>
      </c>
      <c r="G82" t="s">
        <v>35</v>
      </c>
      <c r="H82">
        <v>2021</v>
      </c>
      <c r="I82" t="s">
        <v>49</v>
      </c>
      <c r="J82">
        <f>(81.1-33.8)/1.35</f>
        <v>35.037037037037031</v>
      </c>
    </row>
    <row r="83" spans="1:13" x14ac:dyDescent="0.35">
      <c r="A83" t="s">
        <v>2</v>
      </c>
      <c r="B83" t="s">
        <v>7</v>
      </c>
      <c r="C83" t="s">
        <v>40</v>
      </c>
      <c r="D83" t="s">
        <v>28</v>
      </c>
      <c r="E83" t="s">
        <v>14</v>
      </c>
      <c r="F83" t="s">
        <v>42</v>
      </c>
      <c r="G83" t="s">
        <v>35</v>
      </c>
      <c r="H83">
        <v>2021</v>
      </c>
      <c r="I83" t="s">
        <v>49</v>
      </c>
      <c r="J83">
        <f>(96.3-45.3)/1.35</f>
        <v>37.777777777777779</v>
      </c>
    </row>
    <row r="84" spans="1:13" x14ac:dyDescent="0.35">
      <c r="A84" t="s">
        <v>2</v>
      </c>
      <c r="B84" t="s">
        <v>7</v>
      </c>
      <c r="C84" t="s">
        <v>41</v>
      </c>
      <c r="D84" t="s">
        <v>28</v>
      </c>
      <c r="E84" t="s">
        <v>14</v>
      </c>
      <c r="F84" t="s">
        <v>42</v>
      </c>
      <c r="G84" t="s">
        <v>35</v>
      </c>
      <c r="H84">
        <v>2021</v>
      </c>
      <c r="I84" t="s">
        <v>49</v>
      </c>
      <c r="J84">
        <f>(103.1-50.4)/1.35</f>
        <v>39.037037037037031</v>
      </c>
    </row>
    <row r="85" spans="1:13" ht="43.5" x14ac:dyDescent="0.35">
      <c r="A85" t="s">
        <v>2</v>
      </c>
      <c r="B85" t="s">
        <v>7</v>
      </c>
      <c r="C85" t="s">
        <v>33</v>
      </c>
      <c r="D85" t="s">
        <v>33</v>
      </c>
      <c r="E85" t="s">
        <v>16</v>
      </c>
      <c r="F85" t="s">
        <v>34</v>
      </c>
      <c r="G85" t="s">
        <v>35</v>
      </c>
      <c r="H85">
        <v>2021</v>
      </c>
      <c r="I85" t="s">
        <v>49</v>
      </c>
      <c r="J85">
        <f>38.3*J101</f>
        <v>20.5288</v>
      </c>
      <c r="M85" s="5" t="s">
        <v>87</v>
      </c>
    </row>
    <row r="86" spans="1:13" ht="43.5" x14ac:dyDescent="0.35">
      <c r="A86" t="s">
        <v>2</v>
      </c>
      <c r="B86" t="s">
        <v>7</v>
      </c>
      <c r="C86" t="s">
        <v>33</v>
      </c>
      <c r="D86" t="s">
        <v>28</v>
      </c>
      <c r="E86" t="s">
        <v>16</v>
      </c>
      <c r="F86" t="s">
        <v>34</v>
      </c>
      <c r="G86" t="s">
        <v>35</v>
      </c>
      <c r="H86">
        <v>2021</v>
      </c>
      <c r="I86" t="s">
        <v>49</v>
      </c>
      <c r="J86">
        <f>35.5*J101</f>
        <v>19.028000000000002</v>
      </c>
      <c r="M86" s="5" t="s">
        <v>87</v>
      </c>
    </row>
    <row r="87" spans="1:13" ht="43.5" x14ac:dyDescent="0.35">
      <c r="A87" t="s">
        <v>2</v>
      </c>
      <c r="B87" t="s">
        <v>7</v>
      </c>
      <c r="C87" t="s">
        <v>33</v>
      </c>
      <c r="D87" t="s">
        <v>77</v>
      </c>
      <c r="E87" t="s">
        <v>16</v>
      </c>
      <c r="F87" t="s">
        <v>34</v>
      </c>
      <c r="G87" t="s">
        <v>35</v>
      </c>
      <c r="H87">
        <v>2021</v>
      </c>
      <c r="I87" t="s">
        <v>49</v>
      </c>
      <c r="J87">
        <f>41*J101</f>
        <v>21.976000000000003</v>
      </c>
      <c r="M87" s="5" t="s">
        <v>87</v>
      </c>
    </row>
    <row r="88" spans="1:13" x14ac:dyDescent="0.35">
      <c r="A88" t="s">
        <v>2</v>
      </c>
      <c r="B88" t="s">
        <v>7</v>
      </c>
      <c r="C88" t="s">
        <v>37</v>
      </c>
      <c r="D88" t="s">
        <v>27</v>
      </c>
      <c r="E88" t="s">
        <v>16</v>
      </c>
      <c r="F88" t="s">
        <v>34</v>
      </c>
      <c r="G88" t="s">
        <v>35</v>
      </c>
      <c r="H88">
        <v>2021</v>
      </c>
      <c r="I88" t="s">
        <v>49</v>
      </c>
      <c r="J88">
        <v>11.491200000000001</v>
      </c>
      <c r="M88" t="s">
        <v>73</v>
      </c>
    </row>
    <row r="89" spans="1:13" x14ac:dyDescent="0.35">
      <c r="A89" t="s">
        <v>2</v>
      </c>
      <c r="B89" t="s">
        <v>7</v>
      </c>
      <c r="C89" t="s">
        <v>38</v>
      </c>
      <c r="D89" t="s">
        <v>27</v>
      </c>
      <c r="E89" t="s">
        <v>16</v>
      </c>
      <c r="F89" t="s">
        <v>34</v>
      </c>
      <c r="G89" t="s">
        <v>35</v>
      </c>
      <c r="H89">
        <v>2021</v>
      </c>
      <c r="I89" t="s">
        <v>49</v>
      </c>
      <c r="J89">
        <v>23.475200000000001</v>
      </c>
    </row>
    <row r="90" spans="1:13" x14ac:dyDescent="0.35">
      <c r="A90" t="s">
        <v>2</v>
      </c>
      <c r="B90" t="s">
        <v>7</v>
      </c>
      <c r="C90" t="s">
        <v>39</v>
      </c>
      <c r="D90" t="s">
        <v>27</v>
      </c>
      <c r="E90" t="s">
        <v>16</v>
      </c>
      <c r="F90" t="s">
        <v>34</v>
      </c>
      <c r="G90" t="s">
        <v>35</v>
      </c>
      <c r="H90">
        <v>2021</v>
      </c>
      <c r="I90" t="s">
        <v>49</v>
      </c>
      <c r="J90">
        <v>33.142200000000003</v>
      </c>
    </row>
    <row r="91" spans="1:13" x14ac:dyDescent="0.35">
      <c r="A91" t="s">
        <v>2</v>
      </c>
      <c r="B91" t="s">
        <v>7</v>
      </c>
      <c r="C91" t="s">
        <v>40</v>
      </c>
      <c r="D91" t="s">
        <v>27</v>
      </c>
      <c r="E91" t="s">
        <v>16</v>
      </c>
      <c r="F91" t="s">
        <v>34</v>
      </c>
      <c r="G91" t="s">
        <v>35</v>
      </c>
      <c r="H91">
        <v>2021</v>
      </c>
      <c r="I91" t="s">
        <v>49</v>
      </c>
      <c r="J91">
        <v>46.652100000000004</v>
      </c>
    </row>
    <row r="92" spans="1:13" x14ac:dyDescent="0.35">
      <c r="A92" t="s">
        <v>2</v>
      </c>
      <c r="B92" t="s">
        <v>7</v>
      </c>
      <c r="C92" t="s">
        <v>41</v>
      </c>
      <c r="D92" t="s">
        <v>27</v>
      </c>
      <c r="E92" t="s">
        <v>16</v>
      </c>
      <c r="F92" t="s">
        <v>34</v>
      </c>
      <c r="G92" t="s">
        <v>35</v>
      </c>
      <c r="H92">
        <v>2021</v>
      </c>
      <c r="I92" t="s">
        <v>49</v>
      </c>
      <c r="J92">
        <v>53.742000000000004</v>
      </c>
    </row>
    <row r="93" spans="1:13" ht="29" x14ac:dyDescent="0.35">
      <c r="A93" t="s">
        <v>2</v>
      </c>
      <c r="B93" t="s">
        <v>7</v>
      </c>
      <c r="C93" t="s">
        <v>33</v>
      </c>
      <c r="D93" t="s">
        <v>33</v>
      </c>
      <c r="E93" t="s">
        <v>16</v>
      </c>
      <c r="F93" t="s">
        <v>42</v>
      </c>
      <c r="G93" t="s">
        <v>35</v>
      </c>
      <c r="H93">
        <v>2021</v>
      </c>
      <c r="I93" t="s">
        <v>49</v>
      </c>
      <c r="J93">
        <f>(53.6-19)/1.35</f>
        <v>25.62962962962963</v>
      </c>
      <c r="M93" s="5" t="s">
        <v>88</v>
      </c>
    </row>
    <row r="94" spans="1:13" ht="29" x14ac:dyDescent="0.35">
      <c r="A94" t="s">
        <v>2</v>
      </c>
      <c r="B94" t="s">
        <v>7</v>
      </c>
      <c r="C94" t="s">
        <v>33</v>
      </c>
      <c r="D94" t="s">
        <v>28</v>
      </c>
      <c r="E94" t="s">
        <v>16</v>
      </c>
      <c r="F94" t="s">
        <v>42</v>
      </c>
      <c r="G94" t="s">
        <v>35</v>
      </c>
      <c r="H94">
        <v>2021</v>
      </c>
      <c r="I94" t="s">
        <v>49</v>
      </c>
      <c r="J94">
        <f>(49.5-17.1)/1.35</f>
        <v>23.999999999999996</v>
      </c>
      <c r="M94" s="5" t="s">
        <v>88</v>
      </c>
    </row>
    <row r="95" spans="1:13" ht="29" x14ac:dyDescent="0.35">
      <c r="A95" t="s">
        <v>2</v>
      </c>
      <c r="B95" t="s">
        <v>7</v>
      </c>
      <c r="C95" t="s">
        <v>33</v>
      </c>
      <c r="D95" t="s">
        <v>77</v>
      </c>
      <c r="E95" t="s">
        <v>16</v>
      </c>
      <c r="F95" t="s">
        <v>42</v>
      </c>
      <c r="G95" t="s">
        <v>35</v>
      </c>
      <c r="H95">
        <v>2021</v>
      </c>
      <c r="I95" t="s">
        <v>49</v>
      </c>
      <c r="J95">
        <f>(57.6-20.7)/1.35</f>
        <v>27.333333333333336</v>
      </c>
      <c r="M95" s="5" t="s">
        <v>88</v>
      </c>
    </row>
    <row r="96" spans="1:13" x14ac:dyDescent="0.35">
      <c r="A96" t="s">
        <v>2</v>
      </c>
      <c r="B96" t="s">
        <v>7</v>
      </c>
      <c r="C96" t="s">
        <v>37</v>
      </c>
      <c r="D96" t="s">
        <v>27</v>
      </c>
      <c r="E96" t="s">
        <v>16</v>
      </c>
      <c r="F96" t="s">
        <v>42</v>
      </c>
      <c r="G96" t="s">
        <v>35</v>
      </c>
      <c r="H96">
        <v>2021</v>
      </c>
      <c r="I96" t="s">
        <v>49</v>
      </c>
      <c r="J96">
        <f>(47.2-13.7)/1.35</f>
        <v>24.814814814814813</v>
      </c>
      <c r="M96" t="s">
        <v>73</v>
      </c>
    </row>
    <row r="97" spans="1:13" x14ac:dyDescent="0.35">
      <c r="A97" t="s">
        <v>2</v>
      </c>
      <c r="B97" t="s">
        <v>7</v>
      </c>
      <c r="C97" t="s">
        <v>38</v>
      </c>
      <c r="D97" t="s">
        <v>27</v>
      </c>
      <c r="E97" t="s">
        <v>16</v>
      </c>
      <c r="F97" t="s">
        <v>42</v>
      </c>
      <c r="G97" t="s">
        <v>35</v>
      </c>
      <c r="H97">
        <v>2021</v>
      </c>
      <c r="I97" t="s">
        <v>49</v>
      </c>
      <c r="J97">
        <f>(71.4-26.4)/1.35</f>
        <v>33.333333333333336</v>
      </c>
    </row>
    <row r="98" spans="1:13" x14ac:dyDescent="0.35">
      <c r="A98" t="s">
        <v>2</v>
      </c>
      <c r="B98" t="s">
        <v>7</v>
      </c>
      <c r="C98" t="s">
        <v>39</v>
      </c>
      <c r="D98" t="s">
        <v>27</v>
      </c>
      <c r="E98" t="s">
        <v>16</v>
      </c>
      <c r="F98" t="s">
        <v>42</v>
      </c>
      <c r="G98" t="s">
        <v>35</v>
      </c>
      <c r="H98">
        <v>2021</v>
      </c>
      <c r="I98" t="s">
        <v>49</v>
      </c>
      <c r="J98">
        <f>(81.1-33.8)/1.35</f>
        <v>35.037037037037031</v>
      </c>
    </row>
    <row r="99" spans="1:13" x14ac:dyDescent="0.35">
      <c r="A99" t="s">
        <v>2</v>
      </c>
      <c r="B99" t="s">
        <v>7</v>
      </c>
      <c r="C99" t="s">
        <v>40</v>
      </c>
      <c r="D99" t="s">
        <v>27</v>
      </c>
      <c r="E99" t="s">
        <v>16</v>
      </c>
      <c r="F99" t="s">
        <v>42</v>
      </c>
      <c r="G99" t="s">
        <v>35</v>
      </c>
      <c r="H99">
        <v>2021</v>
      </c>
      <c r="I99" t="s">
        <v>49</v>
      </c>
      <c r="J99">
        <f>(96.3-45.3)/1.35</f>
        <v>37.777777777777779</v>
      </c>
    </row>
    <row r="100" spans="1:13" x14ac:dyDescent="0.35">
      <c r="A100" t="s">
        <v>2</v>
      </c>
      <c r="B100" t="s">
        <v>7</v>
      </c>
      <c r="C100" t="s">
        <v>41</v>
      </c>
      <c r="D100" t="s">
        <v>27</v>
      </c>
      <c r="E100" t="s">
        <v>16</v>
      </c>
      <c r="F100" t="s">
        <v>42</v>
      </c>
      <c r="G100" t="s">
        <v>35</v>
      </c>
      <c r="H100">
        <v>2021</v>
      </c>
      <c r="I100" t="s">
        <v>49</v>
      </c>
      <c r="J100">
        <f>(103.1-50.4)/1.35</f>
        <v>39.037037037037031</v>
      </c>
    </row>
    <row r="101" spans="1:13" ht="29" x14ac:dyDescent="0.35">
      <c r="A101" t="s">
        <v>2</v>
      </c>
      <c r="B101" t="s">
        <v>7</v>
      </c>
      <c r="C101" t="s">
        <v>33</v>
      </c>
      <c r="D101" t="s">
        <v>27</v>
      </c>
      <c r="E101" t="s">
        <v>15</v>
      </c>
      <c r="F101" t="s">
        <v>29</v>
      </c>
      <c r="G101" t="s">
        <v>30</v>
      </c>
      <c r="I101" t="s">
        <v>84</v>
      </c>
      <c r="J101" s="21">
        <v>0.53600000000000003</v>
      </c>
      <c r="M101" s="5" t="s">
        <v>85</v>
      </c>
    </row>
    <row r="102" spans="1:13" x14ac:dyDescent="0.35">
      <c r="A102" t="s">
        <v>2</v>
      </c>
      <c r="B102" t="s">
        <v>7</v>
      </c>
      <c r="C102" t="s">
        <v>37</v>
      </c>
      <c r="D102" t="s">
        <v>27</v>
      </c>
      <c r="E102" t="s">
        <v>15</v>
      </c>
      <c r="F102" t="s">
        <v>29</v>
      </c>
      <c r="G102" t="s">
        <v>30</v>
      </c>
      <c r="I102" t="s">
        <v>84</v>
      </c>
      <c r="J102" s="21">
        <v>0.33600000000000002</v>
      </c>
    </row>
    <row r="103" spans="1:13" x14ac:dyDescent="0.35">
      <c r="A103" t="s">
        <v>2</v>
      </c>
      <c r="B103" t="s">
        <v>7</v>
      </c>
      <c r="C103" t="s">
        <v>38</v>
      </c>
      <c r="D103" t="s">
        <v>27</v>
      </c>
      <c r="E103" t="s">
        <v>15</v>
      </c>
      <c r="F103" t="s">
        <v>29</v>
      </c>
      <c r="G103" t="s">
        <v>30</v>
      </c>
      <c r="I103" t="s">
        <v>84</v>
      </c>
      <c r="J103" s="21">
        <v>0.44800000000000001</v>
      </c>
    </row>
    <row r="104" spans="1:13" x14ac:dyDescent="0.35">
      <c r="A104" t="s">
        <v>2</v>
      </c>
      <c r="B104" t="s">
        <v>7</v>
      </c>
      <c r="C104" t="s">
        <v>39</v>
      </c>
      <c r="D104" t="s">
        <v>27</v>
      </c>
      <c r="E104" t="s">
        <v>15</v>
      </c>
      <c r="F104" t="s">
        <v>29</v>
      </c>
      <c r="G104" t="s">
        <v>30</v>
      </c>
      <c r="I104" t="s">
        <v>84</v>
      </c>
      <c r="J104" s="21">
        <v>0.54600000000000004</v>
      </c>
    </row>
    <row r="105" spans="1:13" x14ac:dyDescent="0.35">
      <c r="A105" t="s">
        <v>2</v>
      </c>
      <c r="B105" t="s">
        <v>7</v>
      </c>
      <c r="C105" t="s">
        <v>40</v>
      </c>
      <c r="D105" t="s">
        <v>27</v>
      </c>
      <c r="E105" t="s">
        <v>15</v>
      </c>
      <c r="F105" t="s">
        <v>29</v>
      </c>
      <c r="G105" t="s">
        <v>30</v>
      </c>
      <c r="I105" t="s">
        <v>84</v>
      </c>
      <c r="J105" s="21">
        <v>0.63300000000000001</v>
      </c>
    </row>
    <row r="106" spans="1:13" x14ac:dyDescent="0.35">
      <c r="A106" t="s">
        <v>2</v>
      </c>
      <c r="B106" t="s">
        <v>7</v>
      </c>
      <c r="C106" t="s">
        <v>41</v>
      </c>
      <c r="D106" t="s">
        <v>27</v>
      </c>
      <c r="E106" t="s">
        <v>15</v>
      </c>
      <c r="F106" t="s">
        <v>29</v>
      </c>
      <c r="G106" t="s">
        <v>30</v>
      </c>
      <c r="I106" t="s">
        <v>84</v>
      </c>
      <c r="J106" s="21">
        <v>0.67600000000000005</v>
      </c>
    </row>
  </sheetData>
  <autoFilter ref="A1:M106" xr:uid="{4F7501F0-08E1-4A63-A382-F6741C91E79A}"/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Q8"/>
  <sheetViews>
    <sheetView workbookViewId="0">
      <selection activeCell="F1" sqref="F1:M1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15.54296875" bestFit="1" customWidth="1"/>
    <col min="4" max="5" width="15.54296875" customWidth="1"/>
    <col min="6" max="6" width="9.7265625" bestFit="1" customWidth="1"/>
    <col min="14" max="17" width="15.81640625" bestFit="1" customWidth="1"/>
  </cols>
  <sheetData>
    <row r="1" spans="1:17" x14ac:dyDescent="0.35">
      <c r="A1" s="3" t="s">
        <v>0</v>
      </c>
      <c r="B1" s="33" t="s">
        <v>1</v>
      </c>
      <c r="C1" s="33"/>
      <c r="D1" s="33"/>
      <c r="E1" s="33"/>
      <c r="F1" s="33" t="s">
        <v>2</v>
      </c>
      <c r="G1" s="33"/>
      <c r="H1" s="33"/>
      <c r="I1" s="33"/>
      <c r="J1" s="33"/>
      <c r="K1" s="33"/>
      <c r="L1" s="33"/>
      <c r="M1" s="33"/>
      <c r="N1" s="34" t="s">
        <v>3</v>
      </c>
      <c r="O1" s="34"/>
      <c r="P1" s="34"/>
      <c r="Q1" s="34"/>
    </row>
    <row r="2" spans="1:17" x14ac:dyDescent="0.35">
      <c r="A2" s="3" t="s">
        <v>4</v>
      </c>
      <c r="B2" s="33" t="s">
        <v>5</v>
      </c>
      <c r="C2" s="33"/>
      <c r="D2" s="33"/>
      <c r="E2" s="33"/>
      <c r="F2" s="33" t="s">
        <v>6</v>
      </c>
      <c r="G2" s="33"/>
      <c r="H2" s="33"/>
      <c r="I2" s="33"/>
      <c r="J2" s="33" t="s">
        <v>7</v>
      </c>
      <c r="K2" s="33"/>
      <c r="L2" s="33"/>
      <c r="M2" s="33"/>
      <c r="N2" s="33" t="s">
        <v>7</v>
      </c>
      <c r="O2" s="33"/>
      <c r="P2" s="33"/>
      <c r="Q2" s="33"/>
    </row>
    <row r="3" spans="1:17" x14ac:dyDescent="0.35">
      <c r="A3" s="3" t="s">
        <v>89</v>
      </c>
      <c r="B3" s="33" t="s">
        <v>90</v>
      </c>
      <c r="C3" s="33"/>
      <c r="D3" s="33" t="s">
        <v>91</v>
      </c>
      <c r="E3" s="33"/>
      <c r="F3" s="33" t="s">
        <v>90</v>
      </c>
      <c r="G3" s="33"/>
      <c r="H3" s="33" t="s">
        <v>91</v>
      </c>
      <c r="I3" s="33"/>
      <c r="J3" s="33" t="s">
        <v>90</v>
      </c>
      <c r="K3" s="33"/>
      <c r="L3" s="33" t="s">
        <v>91</v>
      </c>
      <c r="M3" s="33"/>
      <c r="N3" s="33" t="s">
        <v>90</v>
      </c>
      <c r="O3" s="33"/>
      <c r="P3" s="33" t="s">
        <v>91</v>
      </c>
      <c r="Q3" s="33"/>
    </row>
    <row r="4" spans="1:17" x14ac:dyDescent="0.35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  <c r="N4" s="2" t="s">
        <v>9</v>
      </c>
      <c r="O4" s="1" t="s">
        <v>10</v>
      </c>
      <c r="P4" s="2" t="s">
        <v>9</v>
      </c>
      <c r="Q4" s="1" t="s">
        <v>10</v>
      </c>
    </row>
    <row r="5" spans="1:17" x14ac:dyDescent="0.35">
      <c r="A5" s="1" t="s">
        <v>11</v>
      </c>
      <c r="B5" s="1"/>
      <c r="C5" s="1"/>
      <c r="D5" s="1"/>
      <c r="E5" s="1"/>
      <c r="F5" s="1"/>
      <c r="G5" s="1"/>
    </row>
    <row r="6" spans="1:17" x14ac:dyDescent="0.35">
      <c r="A6" t="s">
        <v>92</v>
      </c>
      <c r="B6" t="s">
        <v>93</v>
      </c>
      <c r="C6" t="s">
        <v>93</v>
      </c>
      <c r="D6" t="s">
        <v>94</v>
      </c>
      <c r="E6" t="s">
        <v>94</v>
      </c>
      <c r="F6" t="s">
        <v>93</v>
      </c>
      <c r="G6" t="s">
        <v>93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93</v>
      </c>
      <c r="K6" t="s">
        <v>93</v>
      </c>
      <c r="L6" t="s">
        <v>93</v>
      </c>
      <c r="M6" t="s">
        <v>93</v>
      </c>
      <c r="N6" t="s">
        <v>13</v>
      </c>
      <c r="O6" t="s">
        <v>13</v>
      </c>
      <c r="P6" t="s">
        <v>13</v>
      </c>
      <c r="Q6" t="s">
        <v>13</v>
      </c>
    </row>
    <row r="7" spans="1:17" x14ac:dyDescent="0.35">
      <c r="A7" t="s">
        <v>95</v>
      </c>
      <c r="B7" t="s">
        <v>93</v>
      </c>
      <c r="C7" t="s">
        <v>93</v>
      </c>
      <c r="D7" t="s">
        <v>94</v>
      </c>
      <c r="E7" t="s">
        <v>94</v>
      </c>
      <c r="F7" t="s">
        <v>93</v>
      </c>
      <c r="G7" t="s">
        <v>93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93</v>
      </c>
      <c r="K7" t="s">
        <v>93</v>
      </c>
      <c r="L7" t="s">
        <v>93</v>
      </c>
      <c r="M7" t="s">
        <v>93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96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96</v>
      </c>
    </row>
    <row r="8" spans="1:17" x14ac:dyDescent="0.35">
      <c r="A8" t="s">
        <v>97</v>
      </c>
      <c r="B8" t="s">
        <v>93</v>
      </c>
      <c r="C8" t="s">
        <v>93</v>
      </c>
      <c r="D8" t="s">
        <v>94</v>
      </c>
      <c r="E8" t="s">
        <v>94</v>
      </c>
      <c r="F8" t="s">
        <v>93</v>
      </c>
      <c r="G8" t="s">
        <v>93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93</v>
      </c>
      <c r="K8" t="s">
        <v>93</v>
      </c>
      <c r="L8" t="s">
        <v>93</v>
      </c>
      <c r="M8" t="s">
        <v>93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96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96</v>
      </c>
    </row>
  </sheetData>
  <mergeCells count="15">
    <mergeCell ref="N1:Q1"/>
    <mergeCell ref="N2:Q2"/>
    <mergeCell ref="N3:O3"/>
    <mergeCell ref="P3:Q3"/>
    <mergeCell ref="B3:C3"/>
    <mergeCell ref="D3:E3"/>
    <mergeCell ref="B1:E1"/>
    <mergeCell ref="B2:E2"/>
    <mergeCell ref="F2:I2"/>
    <mergeCell ref="F3:G3"/>
    <mergeCell ref="H3:I3"/>
    <mergeCell ref="J2:M2"/>
    <mergeCell ref="J3:K3"/>
    <mergeCell ref="L3:M3"/>
    <mergeCell ref="F1:M1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25"/>
  <sheetViews>
    <sheetView topLeftCell="D1" workbookViewId="0">
      <pane ySplit="1" topLeftCell="A2" activePane="bottomLeft" state="frozen"/>
      <selection pane="bottomLeft" activeCell="B24" sqref="B24"/>
    </sheetView>
  </sheetViews>
  <sheetFormatPr defaultRowHeight="14.5" x14ac:dyDescent="0.35"/>
  <cols>
    <col min="1" max="1" width="8" bestFit="1" customWidth="1"/>
    <col min="3" max="3" width="9.54296875" bestFit="1" customWidth="1"/>
    <col min="4" max="4" width="18.26953125" bestFit="1" customWidth="1"/>
    <col min="5" max="5" width="52.7265625" bestFit="1" customWidth="1"/>
    <col min="6" max="6" width="19" customWidth="1"/>
    <col min="9" max="9" width="11.81640625" bestFit="1" customWidth="1"/>
    <col min="12" max="12" width="50.453125" customWidth="1"/>
  </cols>
  <sheetData>
    <row r="1" spans="1:12" x14ac:dyDescent="0.35">
      <c r="A1" s="1" t="s">
        <v>0</v>
      </c>
      <c r="B1" s="1" t="s">
        <v>4</v>
      </c>
      <c r="C1" s="1" t="s">
        <v>89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 x14ac:dyDescent="0.35">
      <c r="A2" t="s">
        <v>1</v>
      </c>
      <c r="B2" t="s">
        <v>5</v>
      </c>
      <c r="C2" t="s">
        <v>90</v>
      </c>
      <c r="D2" t="s">
        <v>27</v>
      </c>
      <c r="E2" t="s">
        <v>92</v>
      </c>
      <c r="F2" t="s">
        <v>29</v>
      </c>
      <c r="G2" s="8" t="s">
        <v>30</v>
      </c>
      <c r="I2" t="s">
        <v>47</v>
      </c>
      <c r="J2" s="7">
        <v>0</v>
      </c>
    </row>
    <row r="3" spans="1:12" x14ac:dyDescent="0.35">
      <c r="A3" t="s">
        <v>1</v>
      </c>
      <c r="B3" t="s">
        <v>5</v>
      </c>
      <c r="C3" t="s">
        <v>90</v>
      </c>
      <c r="D3" t="s">
        <v>27</v>
      </c>
      <c r="E3" t="s">
        <v>95</v>
      </c>
      <c r="F3" t="s">
        <v>98</v>
      </c>
      <c r="G3" s="8" t="s">
        <v>99</v>
      </c>
      <c r="I3" t="s">
        <v>47</v>
      </c>
      <c r="J3" s="10">
        <v>0</v>
      </c>
    </row>
    <row r="4" spans="1:12" x14ac:dyDescent="0.35">
      <c r="A4" t="s">
        <v>2</v>
      </c>
      <c r="B4" t="s">
        <v>7</v>
      </c>
      <c r="C4" t="s">
        <v>90</v>
      </c>
      <c r="D4" t="s">
        <v>27</v>
      </c>
      <c r="E4" t="s">
        <v>92</v>
      </c>
      <c r="F4" t="s">
        <v>29</v>
      </c>
      <c r="G4" s="8" t="s">
        <v>30</v>
      </c>
      <c r="I4" t="s">
        <v>47</v>
      </c>
      <c r="J4" s="7">
        <v>0</v>
      </c>
      <c r="L4" t="s">
        <v>100</v>
      </c>
    </row>
    <row r="5" spans="1:12" x14ac:dyDescent="0.35">
      <c r="A5" t="s">
        <v>2</v>
      </c>
      <c r="B5" t="s">
        <v>7</v>
      </c>
      <c r="C5" t="s">
        <v>90</v>
      </c>
      <c r="D5" t="s">
        <v>27</v>
      </c>
      <c r="E5" t="s">
        <v>95</v>
      </c>
      <c r="F5" t="s">
        <v>98</v>
      </c>
      <c r="G5" s="8" t="s">
        <v>99</v>
      </c>
      <c r="I5" t="s">
        <v>47</v>
      </c>
      <c r="J5" s="10">
        <v>0</v>
      </c>
      <c r="L5" t="s">
        <v>100</v>
      </c>
    </row>
    <row r="6" spans="1:12" x14ac:dyDescent="0.35">
      <c r="A6" t="s">
        <v>2</v>
      </c>
      <c r="B6" t="s">
        <v>7</v>
      </c>
      <c r="C6" t="s">
        <v>91</v>
      </c>
      <c r="D6" t="s">
        <v>27</v>
      </c>
      <c r="E6" t="s">
        <v>92</v>
      </c>
      <c r="F6" t="s">
        <v>29</v>
      </c>
      <c r="G6" s="8" t="s">
        <v>30</v>
      </c>
      <c r="I6" t="s">
        <v>47</v>
      </c>
      <c r="J6" s="7">
        <v>0</v>
      </c>
      <c r="L6" t="s">
        <v>100</v>
      </c>
    </row>
    <row r="7" spans="1:12" x14ac:dyDescent="0.35">
      <c r="A7" t="s">
        <v>2</v>
      </c>
      <c r="B7" t="s">
        <v>7</v>
      </c>
      <c r="C7" t="s">
        <v>91</v>
      </c>
      <c r="D7" t="s">
        <v>27</v>
      </c>
      <c r="E7" t="s">
        <v>95</v>
      </c>
      <c r="F7" t="s">
        <v>98</v>
      </c>
      <c r="G7" s="8" t="s">
        <v>99</v>
      </c>
      <c r="I7" t="s">
        <v>47</v>
      </c>
      <c r="J7" s="10">
        <v>0</v>
      </c>
      <c r="L7" t="s">
        <v>100</v>
      </c>
    </row>
    <row r="8" spans="1:12" x14ac:dyDescent="0.35">
      <c r="A8" t="s">
        <v>2</v>
      </c>
      <c r="B8" t="s">
        <v>6</v>
      </c>
      <c r="C8" t="s">
        <v>91</v>
      </c>
      <c r="D8" t="s">
        <v>33</v>
      </c>
      <c r="E8" t="s">
        <v>92</v>
      </c>
      <c r="F8" t="s">
        <v>29</v>
      </c>
      <c r="G8" s="8" t="s">
        <v>30</v>
      </c>
      <c r="I8" t="s">
        <v>47</v>
      </c>
      <c r="J8" s="7">
        <v>0.61875637104994907</v>
      </c>
      <c r="L8" s="9" t="s">
        <v>101</v>
      </c>
    </row>
    <row r="9" spans="1:12" x14ac:dyDescent="0.35">
      <c r="A9" t="s">
        <v>2</v>
      </c>
      <c r="B9" t="s">
        <v>6</v>
      </c>
      <c r="C9" t="s">
        <v>91</v>
      </c>
      <c r="D9" t="s">
        <v>37</v>
      </c>
      <c r="E9" t="s">
        <v>92</v>
      </c>
      <c r="F9" t="s">
        <v>29</v>
      </c>
      <c r="G9" s="8" t="s">
        <v>30</v>
      </c>
      <c r="I9" t="s">
        <v>47</v>
      </c>
      <c r="J9" s="7">
        <v>0.51921079958463134</v>
      </c>
      <c r="L9" s="9"/>
    </row>
    <row r="10" spans="1:12" x14ac:dyDescent="0.35">
      <c r="A10" t="s">
        <v>2</v>
      </c>
      <c r="B10" t="s">
        <v>6</v>
      </c>
      <c r="C10" t="s">
        <v>91</v>
      </c>
      <c r="D10" t="s">
        <v>38</v>
      </c>
      <c r="E10" t="s">
        <v>92</v>
      </c>
      <c r="F10" t="s">
        <v>29</v>
      </c>
      <c r="G10" s="8" t="s">
        <v>30</v>
      </c>
      <c r="I10" t="s">
        <v>47</v>
      </c>
      <c r="J10" s="7">
        <v>0.58409785932721714</v>
      </c>
      <c r="L10" s="9"/>
    </row>
    <row r="11" spans="1:12" x14ac:dyDescent="0.35">
      <c r="A11" t="s">
        <v>2</v>
      </c>
      <c r="B11" t="s">
        <v>6</v>
      </c>
      <c r="C11" t="s">
        <v>91</v>
      </c>
      <c r="D11" t="s">
        <v>39</v>
      </c>
      <c r="E11" t="s">
        <v>92</v>
      </c>
      <c r="F11" t="s">
        <v>29</v>
      </c>
      <c r="G11" s="8" t="s">
        <v>30</v>
      </c>
      <c r="I11" t="s">
        <v>47</v>
      </c>
      <c r="J11" s="7">
        <v>0.63810483870967738</v>
      </c>
      <c r="L11" s="9"/>
    </row>
    <row r="12" spans="1:12" x14ac:dyDescent="0.35">
      <c r="A12" t="s">
        <v>2</v>
      </c>
      <c r="B12" t="s">
        <v>6</v>
      </c>
      <c r="C12" t="s">
        <v>91</v>
      </c>
      <c r="D12" t="s">
        <v>40</v>
      </c>
      <c r="E12" t="s">
        <v>92</v>
      </c>
      <c r="F12" t="s">
        <v>29</v>
      </c>
      <c r="G12" s="8" t="s">
        <v>30</v>
      </c>
      <c r="I12" t="s">
        <v>47</v>
      </c>
      <c r="J12" s="7">
        <v>0.66937119675456391</v>
      </c>
      <c r="L12" s="9"/>
    </row>
    <row r="13" spans="1:12" x14ac:dyDescent="0.35">
      <c r="A13" t="s">
        <v>2</v>
      </c>
      <c r="B13" t="s">
        <v>6</v>
      </c>
      <c r="C13" t="s">
        <v>91</v>
      </c>
      <c r="D13" t="s">
        <v>41</v>
      </c>
      <c r="E13" t="s">
        <v>92</v>
      </c>
      <c r="F13" t="s">
        <v>29</v>
      </c>
      <c r="G13" s="8" t="s">
        <v>30</v>
      </c>
      <c r="I13" t="s">
        <v>47</v>
      </c>
      <c r="J13" s="7">
        <v>0.69979716024340777</v>
      </c>
      <c r="L13" s="9"/>
    </row>
    <row r="14" spans="1:12" ht="101.5" x14ac:dyDescent="0.35">
      <c r="A14" t="s">
        <v>2</v>
      </c>
      <c r="B14" t="s">
        <v>6</v>
      </c>
      <c r="C14" t="s">
        <v>91</v>
      </c>
      <c r="D14" t="s">
        <v>27</v>
      </c>
      <c r="E14" t="s">
        <v>95</v>
      </c>
      <c r="F14" t="s">
        <v>98</v>
      </c>
      <c r="G14" s="8" t="s">
        <v>99</v>
      </c>
      <c r="I14" t="s">
        <v>47</v>
      </c>
      <c r="J14" s="10">
        <v>420</v>
      </c>
      <c r="L14" s="32" t="s">
        <v>102</v>
      </c>
    </row>
    <row r="15" spans="1:12" x14ac:dyDescent="0.35">
      <c r="A15" t="s">
        <v>2</v>
      </c>
      <c r="B15" t="s">
        <v>6</v>
      </c>
      <c r="C15" t="s">
        <v>90</v>
      </c>
      <c r="D15" t="s">
        <v>27</v>
      </c>
      <c r="E15" t="s">
        <v>92</v>
      </c>
      <c r="F15" t="s">
        <v>29</v>
      </c>
      <c r="G15" s="8" t="s">
        <v>30</v>
      </c>
      <c r="I15" t="s">
        <v>47</v>
      </c>
      <c r="J15" s="7">
        <v>0</v>
      </c>
      <c r="L15" s="9" t="s">
        <v>103</v>
      </c>
    </row>
    <row r="16" spans="1:12" x14ac:dyDescent="0.35">
      <c r="A16" t="s">
        <v>2</v>
      </c>
      <c r="B16" t="s">
        <v>6</v>
      </c>
      <c r="C16" t="s">
        <v>90</v>
      </c>
      <c r="D16" t="s">
        <v>27</v>
      </c>
      <c r="E16" t="s">
        <v>95</v>
      </c>
      <c r="F16" t="s">
        <v>98</v>
      </c>
      <c r="G16" s="8" t="s">
        <v>99</v>
      </c>
      <c r="I16" t="s">
        <v>47</v>
      </c>
      <c r="J16" s="10">
        <v>0</v>
      </c>
      <c r="L16" s="9"/>
    </row>
    <row r="17" spans="1:12" ht="43.5" x14ac:dyDescent="0.35">
      <c r="A17" t="s">
        <v>3</v>
      </c>
      <c r="B17" t="s">
        <v>7</v>
      </c>
      <c r="C17" t="s">
        <v>91</v>
      </c>
      <c r="D17" t="s">
        <v>27</v>
      </c>
      <c r="E17" t="s">
        <v>95</v>
      </c>
      <c r="F17" t="s">
        <v>98</v>
      </c>
      <c r="G17" t="s">
        <v>99</v>
      </c>
      <c r="I17" t="s">
        <v>104</v>
      </c>
      <c r="J17">
        <v>42.5</v>
      </c>
      <c r="L17" s="5" t="s">
        <v>105</v>
      </c>
    </row>
    <row r="18" spans="1:12" ht="43.5" x14ac:dyDescent="0.35">
      <c r="A18" t="s">
        <v>3</v>
      </c>
      <c r="B18" t="s">
        <v>7</v>
      </c>
      <c r="C18" t="s">
        <v>90</v>
      </c>
      <c r="D18" t="s">
        <v>27</v>
      </c>
      <c r="E18" t="s">
        <v>95</v>
      </c>
      <c r="F18" t="s">
        <v>98</v>
      </c>
      <c r="G18" t="s">
        <v>99</v>
      </c>
      <c r="I18" t="s">
        <v>104</v>
      </c>
      <c r="J18">
        <v>0.125</v>
      </c>
      <c r="L18" s="32" t="s">
        <v>106</v>
      </c>
    </row>
    <row r="19" spans="1:12" x14ac:dyDescent="0.35">
      <c r="A19" t="s">
        <v>2</v>
      </c>
      <c r="B19" t="s">
        <v>6</v>
      </c>
      <c r="C19" t="s">
        <v>91</v>
      </c>
      <c r="D19" t="s">
        <v>27</v>
      </c>
      <c r="E19" t="s">
        <v>97</v>
      </c>
      <c r="F19" t="s">
        <v>29</v>
      </c>
      <c r="G19" s="8" t="s">
        <v>30</v>
      </c>
      <c r="I19" t="s">
        <v>47</v>
      </c>
      <c r="J19" s="20">
        <v>0</v>
      </c>
      <c r="L19" t="s">
        <v>107</v>
      </c>
    </row>
    <row r="20" spans="1:12" x14ac:dyDescent="0.35">
      <c r="A20" t="s">
        <v>2</v>
      </c>
      <c r="B20" t="s">
        <v>6</v>
      </c>
      <c r="C20" t="s">
        <v>90</v>
      </c>
      <c r="D20" t="s">
        <v>27</v>
      </c>
      <c r="E20" t="s">
        <v>97</v>
      </c>
      <c r="F20" t="s">
        <v>29</v>
      </c>
      <c r="G20" s="8" t="s">
        <v>30</v>
      </c>
      <c r="I20" t="s">
        <v>47</v>
      </c>
      <c r="J20" s="20">
        <v>0</v>
      </c>
      <c r="L20" t="s">
        <v>107</v>
      </c>
    </row>
    <row r="21" spans="1:12" x14ac:dyDescent="0.35">
      <c r="A21" t="s">
        <v>3</v>
      </c>
      <c r="B21" t="s">
        <v>7</v>
      </c>
      <c r="C21" t="s">
        <v>91</v>
      </c>
      <c r="D21" t="s">
        <v>27</v>
      </c>
      <c r="E21" t="s">
        <v>97</v>
      </c>
      <c r="F21" t="s">
        <v>29</v>
      </c>
      <c r="G21" s="8" t="s">
        <v>30</v>
      </c>
      <c r="J21" s="7">
        <v>0.8</v>
      </c>
      <c r="L21" t="s">
        <v>108</v>
      </c>
    </row>
    <row r="22" spans="1:12" x14ac:dyDescent="0.35">
      <c r="A22" t="s">
        <v>3</v>
      </c>
      <c r="B22" t="s">
        <v>7</v>
      </c>
      <c r="C22" t="s">
        <v>90</v>
      </c>
      <c r="D22" t="s">
        <v>27</v>
      </c>
      <c r="E22" t="s">
        <v>97</v>
      </c>
      <c r="F22" t="s">
        <v>29</v>
      </c>
      <c r="G22" s="8" t="s">
        <v>30</v>
      </c>
      <c r="J22" s="7">
        <v>0.8</v>
      </c>
      <c r="L22" t="s">
        <v>108</v>
      </c>
    </row>
    <row r="23" spans="1:12" x14ac:dyDescent="0.35">
      <c r="A23" t="s">
        <v>1</v>
      </c>
      <c r="B23" t="s">
        <v>5</v>
      </c>
      <c r="C23" t="s">
        <v>90</v>
      </c>
      <c r="D23" t="s">
        <v>27</v>
      </c>
      <c r="E23" t="s">
        <v>97</v>
      </c>
      <c r="F23" t="s">
        <v>29</v>
      </c>
      <c r="G23" s="8" t="s">
        <v>30</v>
      </c>
      <c r="J23" s="7">
        <v>0.8</v>
      </c>
      <c r="L23" t="s">
        <v>109</v>
      </c>
    </row>
    <row r="24" spans="1:12" x14ac:dyDescent="0.35">
      <c r="A24" t="s">
        <v>2</v>
      </c>
      <c r="B24" t="s">
        <v>7</v>
      </c>
      <c r="C24" t="s">
        <v>90</v>
      </c>
      <c r="D24" t="s">
        <v>27</v>
      </c>
      <c r="E24" t="s">
        <v>97</v>
      </c>
      <c r="F24" t="s">
        <v>29</v>
      </c>
      <c r="G24" s="8" t="s">
        <v>30</v>
      </c>
      <c r="J24" s="7">
        <v>0.8</v>
      </c>
      <c r="L24" t="s">
        <v>109</v>
      </c>
    </row>
    <row r="25" spans="1:12" x14ac:dyDescent="0.35">
      <c r="A25" t="s">
        <v>2</v>
      </c>
      <c r="B25" t="s">
        <v>7</v>
      </c>
      <c r="C25" t="s">
        <v>91</v>
      </c>
      <c r="D25" t="s">
        <v>27</v>
      </c>
      <c r="E25" t="s">
        <v>97</v>
      </c>
      <c r="F25" t="s">
        <v>29</v>
      </c>
      <c r="G25" s="8" t="s">
        <v>30</v>
      </c>
      <c r="J25" s="7">
        <v>0.8</v>
      </c>
      <c r="L25" t="s">
        <v>109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12.26953125" customWidth="1"/>
    <col min="4" max="4" width="9.7265625" bestFit="1" customWidth="1"/>
    <col min="8" max="8" width="29" customWidth="1"/>
  </cols>
  <sheetData>
    <row r="1" spans="1:8" x14ac:dyDescent="0.35">
      <c r="A1" s="3" t="s">
        <v>0</v>
      </c>
      <c r="B1" s="33" t="s">
        <v>1</v>
      </c>
      <c r="C1" s="33"/>
      <c r="D1" s="33" t="s">
        <v>2</v>
      </c>
      <c r="E1" s="33"/>
      <c r="F1" s="34" t="s">
        <v>3</v>
      </c>
      <c r="G1" s="34"/>
      <c r="H1" s="1" t="s">
        <v>26</v>
      </c>
    </row>
    <row r="2" spans="1:8" x14ac:dyDescent="0.35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 x14ac:dyDescent="0.35">
      <c r="A3" s="1" t="s">
        <v>11</v>
      </c>
      <c r="B3" s="1"/>
      <c r="D3" s="1"/>
      <c r="E3" s="1"/>
    </row>
    <row r="4" spans="1:8" x14ac:dyDescent="0.35">
      <c r="A4" s="4" t="s">
        <v>110</v>
      </c>
      <c r="B4" t="s">
        <v>94</v>
      </c>
      <c r="C4" t="s">
        <v>94</v>
      </c>
      <c r="D4" t="s">
        <v>111</v>
      </c>
      <c r="E4" t="s">
        <v>112</v>
      </c>
      <c r="F4" t="s">
        <v>111</v>
      </c>
      <c r="G4" t="s">
        <v>113</v>
      </c>
    </row>
    <row r="5" spans="1:8" x14ac:dyDescent="0.35">
      <c r="A5" t="s">
        <v>114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35">
      <c r="A6" t="s">
        <v>115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35">
      <c r="A7" t="s">
        <v>116</v>
      </c>
      <c r="B7" t="s">
        <v>94</v>
      </c>
      <c r="C7" t="s">
        <v>94</v>
      </c>
      <c r="D7" t="s">
        <v>111</v>
      </c>
      <c r="E7" t="s">
        <v>112</v>
      </c>
      <c r="F7" t="s">
        <v>111</v>
      </c>
      <c r="G7" t="s">
        <v>113</v>
      </c>
    </row>
    <row r="8" spans="1:8" x14ac:dyDescent="0.35">
      <c r="A8" t="s">
        <v>117</v>
      </c>
      <c r="B8" t="s">
        <v>94</v>
      </c>
      <c r="C8" t="s">
        <v>94</v>
      </c>
      <c r="D8" t="s">
        <v>111</v>
      </c>
      <c r="E8" t="s">
        <v>112</v>
      </c>
      <c r="F8" t="s">
        <v>111</v>
      </c>
      <c r="G8" t="s">
        <v>113</v>
      </c>
    </row>
    <row r="9" spans="1:8" x14ac:dyDescent="0.35">
      <c r="A9" t="s">
        <v>118</v>
      </c>
      <c r="B9" t="s">
        <v>94</v>
      </c>
      <c r="C9" t="s">
        <v>94</v>
      </c>
      <c r="D9" t="s">
        <v>111</v>
      </c>
      <c r="E9" t="s">
        <v>112</v>
      </c>
      <c r="F9" t="s">
        <v>111</v>
      </c>
      <c r="G9" t="s">
        <v>113</v>
      </c>
      <c r="H9" t="s">
        <v>119</v>
      </c>
    </row>
    <row r="10" spans="1:8" x14ac:dyDescent="0.35">
      <c r="A10" t="s">
        <v>120</v>
      </c>
      <c r="B10" t="s">
        <v>94</v>
      </c>
      <c r="C10" t="s">
        <v>94</v>
      </c>
      <c r="D10" t="s">
        <v>111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111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121</v>
      </c>
    </row>
    <row r="11" spans="1:8" x14ac:dyDescent="0.35">
      <c r="A11" t="s">
        <v>122</v>
      </c>
      <c r="B11" t="s">
        <v>94</v>
      </c>
      <c r="C11" t="s">
        <v>94</v>
      </c>
      <c r="D11" t="s">
        <v>111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111</v>
      </c>
      <c r="G11" t="s">
        <v>113</v>
      </c>
      <c r="H11" t="s">
        <v>123</v>
      </c>
    </row>
    <row r="12" spans="1:8" x14ac:dyDescent="0.35">
      <c r="A12" t="s">
        <v>124</v>
      </c>
      <c r="B12" t="s">
        <v>94</v>
      </c>
      <c r="C12" t="s">
        <v>94</v>
      </c>
      <c r="D12" t="s">
        <v>111</v>
      </c>
      <c r="E12" t="s">
        <v>112</v>
      </c>
      <c r="F12" t="s">
        <v>111</v>
      </c>
      <c r="G12" t="s">
        <v>113</v>
      </c>
    </row>
    <row r="13" spans="1:8" x14ac:dyDescent="0.35">
      <c r="A13" t="s">
        <v>125</v>
      </c>
      <c r="B13" t="s">
        <v>94</v>
      </c>
      <c r="C13" t="s">
        <v>94</v>
      </c>
      <c r="D13" t="s">
        <v>111</v>
      </c>
      <c r="E13" t="s">
        <v>112</v>
      </c>
      <c r="F13" t="s">
        <v>111</v>
      </c>
      <c r="G13" t="s">
        <v>113</v>
      </c>
      <c r="H13" t="s">
        <v>126</v>
      </c>
    </row>
    <row r="14" spans="1:8" x14ac:dyDescent="0.35">
      <c r="A14" t="s">
        <v>127</v>
      </c>
      <c r="B14" t="s">
        <v>94</v>
      </c>
      <c r="C14" t="s">
        <v>94</v>
      </c>
      <c r="D14" t="s">
        <v>111</v>
      </c>
      <c r="E14" t="s">
        <v>112</v>
      </c>
      <c r="F14" t="s">
        <v>111</v>
      </c>
      <c r="G14" t="s">
        <v>113</v>
      </c>
      <c r="H14" t="s">
        <v>128</v>
      </c>
    </row>
    <row r="15" spans="1:8" x14ac:dyDescent="0.35">
      <c r="A15" t="s">
        <v>129</v>
      </c>
      <c r="B15" t="s">
        <v>111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111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111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defaultRowHeight="14.5" x14ac:dyDescent="0.35"/>
  <cols>
    <col min="1" max="1" width="8" bestFit="1" customWidth="1"/>
    <col min="3" max="3" width="40.453125" customWidth="1"/>
    <col min="4" max="4" width="19" customWidth="1"/>
    <col min="7" max="7" width="34.1796875" customWidth="1"/>
    <col min="10" max="10" width="50.453125" customWidth="1"/>
  </cols>
  <sheetData>
    <row r="1" spans="1:10" x14ac:dyDescent="0.35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6" x14ac:dyDescent="0.4">
      <c r="A2" t="s">
        <v>1</v>
      </c>
      <c r="B2" t="s">
        <v>130</v>
      </c>
      <c r="C2" s="9" t="s">
        <v>131</v>
      </c>
      <c r="E2" t="s">
        <v>132</v>
      </c>
      <c r="G2" t="s">
        <v>132</v>
      </c>
      <c r="J2" s="11" t="s">
        <v>133</v>
      </c>
    </row>
    <row r="3" spans="1:10" ht="32.25" customHeight="1" x14ac:dyDescent="0.35">
      <c r="A3" t="s">
        <v>1</v>
      </c>
      <c r="B3" t="s">
        <v>37</v>
      </c>
      <c r="C3" s="9" t="s">
        <v>131</v>
      </c>
      <c r="E3" t="s">
        <v>132</v>
      </c>
      <c r="G3" t="s">
        <v>132</v>
      </c>
      <c r="J3" s="13" t="s">
        <v>134</v>
      </c>
    </row>
    <row r="4" spans="1:10" x14ac:dyDescent="0.35">
      <c r="A4" t="s">
        <v>1</v>
      </c>
      <c r="B4" t="s">
        <v>38</v>
      </c>
      <c r="C4" s="9" t="s">
        <v>131</v>
      </c>
      <c r="E4" t="s">
        <v>132</v>
      </c>
      <c r="G4" t="s">
        <v>132</v>
      </c>
    </row>
    <row r="5" spans="1:10" x14ac:dyDescent="0.35">
      <c r="A5" t="s">
        <v>1</v>
      </c>
      <c r="B5" t="s">
        <v>39</v>
      </c>
      <c r="C5" s="9" t="s">
        <v>131</v>
      </c>
      <c r="E5" t="s">
        <v>132</v>
      </c>
      <c r="G5" t="s">
        <v>132</v>
      </c>
    </row>
    <row r="6" spans="1:10" x14ac:dyDescent="0.35">
      <c r="A6" t="s">
        <v>1</v>
      </c>
      <c r="B6" t="s">
        <v>40</v>
      </c>
      <c r="C6" s="9" t="s">
        <v>131</v>
      </c>
      <c r="E6" t="s">
        <v>132</v>
      </c>
      <c r="G6" t="s">
        <v>132</v>
      </c>
    </row>
    <row r="7" spans="1:10" x14ac:dyDescent="0.35">
      <c r="A7" t="s">
        <v>1</v>
      </c>
      <c r="B7" t="s">
        <v>41</v>
      </c>
      <c r="C7" s="9" t="s">
        <v>131</v>
      </c>
      <c r="E7" t="s">
        <v>132</v>
      </c>
      <c r="G7" t="s">
        <v>132</v>
      </c>
    </row>
    <row r="8" spans="1:10" x14ac:dyDescent="0.35">
      <c r="A8" t="s">
        <v>135</v>
      </c>
      <c r="B8" t="s">
        <v>130</v>
      </c>
      <c r="C8" s="9" t="s">
        <v>131</v>
      </c>
      <c r="E8" t="s">
        <v>132</v>
      </c>
      <c r="G8" t="s">
        <v>132</v>
      </c>
    </row>
    <row r="9" spans="1:10" x14ac:dyDescent="0.35">
      <c r="A9" t="s">
        <v>135</v>
      </c>
      <c r="B9" t="s">
        <v>37</v>
      </c>
      <c r="C9" s="9" t="s">
        <v>131</v>
      </c>
      <c r="E9" t="s">
        <v>132</v>
      </c>
      <c r="G9" t="s">
        <v>132</v>
      </c>
    </row>
    <row r="10" spans="1:10" x14ac:dyDescent="0.35">
      <c r="A10" t="s">
        <v>135</v>
      </c>
      <c r="B10" t="s">
        <v>38</v>
      </c>
      <c r="C10" s="9" t="s">
        <v>131</v>
      </c>
      <c r="E10" t="s">
        <v>132</v>
      </c>
      <c r="G10" t="s">
        <v>132</v>
      </c>
    </row>
    <row r="11" spans="1:10" x14ac:dyDescent="0.35">
      <c r="A11" t="s">
        <v>135</v>
      </c>
      <c r="B11" t="s">
        <v>39</v>
      </c>
      <c r="C11" s="9" t="s">
        <v>131</v>
      </c>
      <c r="E11" t="s">
        <v>132</v>
      </c>
      <c r="G11" t="s">
        <v>132</v>
      </c>
    </row>
    <row r="12" spans="1:10" x14ac:dyDescent="0.35">
      <c r="A12" t="s">
        <v>135</v>
      </c>
      <c r="B12" t="s">
        <v>40</v>
      </c>
      <c r="C12" s="9" t="s">
        <v>131</v>
      </c>
      <c r="E12" t="s">
        <v>132</v>
      </c>
      <c r="G12" t="s">
        <v>132</v>
      </c>
    </row>
    <row r="13" spans="1:10" x14ac:dyDescent="0.35">
      <c r="A13" t="s">
        <v>135</v>
      </c>
      <c r="B13" t="s">
        <v>41</v>
      </c>
      <c r="C13" s="9" t="s">
        <v>131</v>
      </c>
      <c r="E13" t="s">
        <v>132</v>
      </c>
      <c r="G13" t="s">
        <v>132</v>
      </c>
    </row>
    <row r="14" spans="1:10" x14ac:dyDescent="0.35">
      <c r="A14" t="s">
        <v>3</v>
      </c>
      <c r="B14" t="s">
        <v>130</v>
      </c>
      <c r="C14" s="9" t="s">
        <v>131</v>
      </c>
      <c r="E14" t="s">
        <v>132</v>
      </c>
      <c r="G14" t="s">
        <v>132</v>
      </c>
    </row>
    <row r="15" spans="1:10" x14ac:dyDescent="0.35">
      <c r="A15" t="s">
        <v>3</v>
      </c>
      <c r="B15" t="s">
        <v>37</v>
      </c>
      <c r="C15" s="9" t="s">
        <v>131</v>
      </c>
      <c r="E15" t="s">
        <v>132</v>
      </c>
      <c r="G15" t="s">
        <v>132</v>
      </c>
    </row>
    <row r="16" spans="1:10" x14ac:dyDescent="0.35">
      <c r="A16" t="s">
        <v>3</v>
      </c>
      <c r="B16" t="s">
        <v>38</v>
      </c>
      <c r="C16" s="9" t="s">
        <v>131</v>
      </c>
      <c r="E16" t="s">
        <v>132</v>
      </c>
      <c r="G16" t="s">
        <v>132</v>
      </c>
    </row>
    <row r="17" spans="1:10" x14ac:dyDescent="0.35">
      <c r="A17" t="s">
        <v>3</v>
      </c>
      <c r="B17" t="s">
        <v>39</v>
      </c>
      <c r="C17" s="9" t="s">
        <v>131</v>
      </c>
      <c r="E17" t="s">
        <v>132</v>
      </c>
      <c r="G17" t="s">
        <v>132</v>
      </c>
    </row>
    <row r="18" spans="1:10" x14ac:dyDescent="0.35">
      <c r="A18" t="s">
        <v>3</v>
      </c>
      <c r="B18" t="s">
        <v>40</v>
      </c>
      <c r="C18" s="9" t="s">
        <v>131</v>
      </c>
      <c r="E18" t="s">
        <v>132</v>
      </c>
      <c r="G18" t="s">
        <v>132</v>
      </c>
    </row>
    <row r="19" spans="1:10" x14ac:dyDescent="0.35">
      <c r="A19" t="s">
        <v>3</v>
      </c>
      <c r="B19" t="s">
        <v>41</v>
      </c>
      <c r="C19" s="9" t="s">
        <v>131</v>
      </c>
      <c r="E19" t="s">
        <v>132</v>
      </c>
      <c r="G19" t="s">
        <v>132</v>
      </c>
    </row>
    <row r="20" spans="1:10" ht="16" x14ac:dyDescent="0.4">
      <c r="A20" t="s">
        <v>1</v>
      </c>
      <c r="B20" t="s">
        <v>130</v>
      </c>
      <c r="C20" s="9" t="s">
        <v>136</v>
      </c>
      <c r="E20" s="8" t="s">
        <v>137</v>
      </c>
      <c r="G20" t="s">
        <v>132</v>
      </c>
      <c r="J20" s="11" t="s">
        <v>138</v>
      </c>
    </row>
    <row r="21" spans="1:10" x14ac:dyDescent="0.35">
      <c r="A21" t="s">
        <v>1</v>
      </c>
      <c r="B21" t="s">
        <v>37</v>
      </c>
      <c r="C21" s="9" t="s">
        <v>136</v>
      </c>
      <c r="E21" s="8" t="s">
        <v>137</v>
      </c>
      <c r="G21" t="s">
        <v>132</v>
      </c>
      <c r="J21" s="8" t="s">
        <v>134</v>
      </c>
    </row>
    <row r="22" spans="1:10" x14ac:dyDescent="0.35">
      <c r="A22" t="s">
        <v>1</v>
      </c>
      <c r="B22" t="s">
        <v>38</v>
      </c>
      <c r="C22" s="9" t="s">
        <v>136</v>
      </c>
      <c r="E22" s="8" t="s">
        <v>137</v>
      </c>
      <c r="G22" t="s">
        <v>132</v>
      </c>
    </row>
    <row r="23" spans="1:10" x14ac:dyDescent="0.35">
      <c r="A23" t="s">
        <v>1</v>
      </c>
      <c r="B23" t="s">
        <v>39</v>
      </c>
      <c r="C23" s="9" t="s">
        <v>136</v>
      </c>
      <c r="E23" s="8" t="s">
        <v>137</v>
      </c>
      <c r="G23" t="s">
        <v>132</v>
      </c>
    </row>
    <row r="24" spans="1:10" x14ac:dyDescent="0.35">
      <c r="A24" t="s">
        <v>1</v>
      </c>
      <c r="B24" t="s">
        <v>40</v>
      </c>
      <c r="C24" s="9" t="s">
        <v>136</v>
      </c>
      <c r="E24" s="8" t="s">
        <v>137</v>
      </c>
      <c r="G24" t="s">
        <v>132</v>
      </c>
    </row>
    <row r="25" spans="1:10" x14ac:dyDescent="0.35">
      <c r="A25" t="s">
        <v>1</v>
      </c>
      <c r="B25" t="s">
        <v>41</v>
      </c>
      <c r="C25" s="9" t="s">
        <v>136</v>
      </c>
      <c r="E25" s="8" t="s">
        <v>137</v>
      </c>
      <c r="G25" t="s">
        <v>132</v>
      </c>
    </row>
    <row r="26" spans="1:10" x14ac:dyDescent="0.35">
      <c r="A26" t="s">
        <v>135</v>
      </c>
      <c r="B26" t="s">
        <v>130</v>
      </c>
      <c r="C26" s="9" t="s">
        <v>136</v>
      </c>
      <c r="E26" s="8" t="s">
        <v>137</v>
      </c>
      <c r="G26" t="s">
        <v>132</v>
      </c>
    </row>
    <row r="27" spans="1:10" x14ac:dyDescent="0.35">
      <c r="A27" t="s">
        <v>135</v>
      </c>
      <c r="B27" t="s">
        <v>37</v>
      </c>
      <c r="C27" s="9" t="s">
        <v>136</v>
      </c>
      <c r="E27" s="8" t="s">
        <v>137</v>
      </c>
      <c r="G27" t="s">
        <v>132</v>
      </c>
    </row>
    <row r="28" spans="1:10" x14ac:dyDescent="0.35">
      <c r="A28" t="s">
        <v>135</v>
      </c>
      <c r="B28" t="s">
        <v>38</v>
      </c>
      <c r="C28" s="9" t="s">
        <v>136</v>
      </c>
      <c r="E28" s="8" t="s">
        <v>137</v>
      </c>
      <c r="G28" t="s">
        <v>132</v>
      </c>
    </row>
    <row r="29" spans="1:10" x14ac:dyDescent="0.35">
      <c r="A29" t="s">
        <v>135</v>
      </c>
      <c r="B29" t="s">
        <v>39</v>
      </c>
      <c r="C29" s="9" t="s">
        <v>136</v>
      </c>
      <c r="E29" s="8" t="s">
        <v>137</v>
      </c>
      <c r="G29" t="s">
        <v>132</v>
      </c>
    </row>
    <row r="30" spans="1:10" x14ac:dyDescent="0.35">
      <c r="A30" t="s">
        <v>135</v>
      </c>
      <c r="B30" t="s">
        <v>40</v>
      </c>
      <c r="C30" s="9" t="s">
        <v>136</v>
      </c>
      <c r="E30" s="8" t="s">
        <v>137</v>
      </c>
      <c r="G30" t="s">
        <v>132</v>
      </c>
    </row>
    <row r="31" spans="1:10" x14ac:dyDescent="0.35">
      <c r="A31" t="s">
        <v>135</v>
      </c>
      <c r="B31" t="s">
        <v>41</v>
      </c>
      <c r="C31" s="9" t="s">
        <v>136</v>
      </c>
      <c r="E31" s="8" t="s">
        <v>137</v>
      </c>
      <c r="G31" t="s">
        <v>132</v>
      </c>
    </row>
    <row r="32" spans="1:10" x14ac:dyDescent="0.35">
      <c r="A32" t="s">
        <v>3</v>
      </c>
      <c r="B32" t="s">
        <v>130</v>
      </c>
      <c r="C32" s="9" t="s">
        <v>136</v>
      </c>
      <c r="E32" s="8" t="s">
        <v>137</v>
      </c>
      <c r="G32" t="s">
        <v>132</v>
      </c>
    </row>
    <row r="33" spans="1:7" x14ac:dyDescent="0.35">
      <c r="A33" t="s">
        <v>3</v>
      </c>
      <c r="B33" t="s">
        <v>37</v>
      </c>
      <c r="C33" s="9" t="s">
        <v>136</v>
      </c>
      <c r="E33" s="8" t="s">
        <v>137</v>
      </c>
      <c r="G33" t="s">
        <v>132</v>
      </c>
    </row>
    <row r="34" spans="1:7" x14ac:dyDescent="0.35">
      <c r="A34" t="s">
        <v>3</v>
      </c>
      <c r="B34" t="s">
        <v>38</v>
      </c>
      <c r="C34" s="9" t="s">
        <v>136</v>
      </c>
      <c r="E34" s="8" t="s">
        <v>137</v>
      </c>
      <c r="G34" t="s">
        <v>132</v>
      </c>
    </row>
    <row r="35" spans="1:7" x14ac:dyDescent="0.35">
      <c r="A35" t="s">
        <v>3</v>
      </c>
      <c r="B35" t="s">
        <v>39</v>
      </c>
      <c r="C35" s="9" t="s">
        <v>136</v>
      </c>
      <c r="E35" s="8" t="s">
        <v>137</v>
      </c>
      <c r="G35" t="s">
        <v>132</v>
      </c>
    </row>
    <row r="36" spans="1:7" x14ac:dyDescent="0.35">
      <c r="A36" t="s">
        <v>3</v>
      </c>
      <c r="B36" t="s">
        <v>40</v>
      </c>
      <c r="C36" s="9" t="s">
        <v>136</v>
      </c>
      <c r="E36" s="8" t="s">
        <v>137</v>
      </c>
      <c r="G36" t="s">
        <v>132</v>
      </c>
    </row>
    <row r="37" spans="1:7" x14ac:dyDescent="0.35">
      <c r="A37" t="s">
        <v>3</v>
      </c>
      <c r="B37" t="s">
        <v>41</v>
      </c>
      <c r="C37" s="9" t="s">
        <v>136</v>
      </c>
      <c r="E37" s="8" t="s">
        <v>137</v>
      </c>
      <c r="G37" t="s">
        <v>132</v>
      </c>
    </row>
    <row r="38" spans="1:7" x14ac:dyDescent="0.35">
      <c r="A38" t="s">
        <v>1</v>
      </c>
      <c r="B38" t="s">
        <v>130</v>
      </c>
      <c r="C38" s="9" t="s">
        <v>139</v>
      </c>
      <c r="G38" s="9" t="s">
        <v>140</v>
      </c>
    </row>
    <row r="39" spans="1:7" x14ac:dyDescent="0.35">
      <c r="A39" t="s">
        <v>1</v>
      </c>
      <c r="B39" t="s">
        <v>37</v>
      </c>
      <c r="C39" s="9" t="s">
        <v>139</v>
      </c>
      <c r="G39" s="6" t="s">
        <v>141</v>
      </c>
    </row>
    <row r="40" spans="1:7" x14ac:dyDescent="0.35">
      <c r="A40" t="s">
        <v>1</v>
      </c>
      <c r="B40" t="s">
        <v>38</v>
      </c>
      <c r="C40" s="9" t="s">
        <v>139</v>
      </c>
      <c r="G40" s="6" t="s">
        <v>141</v>
      </c>
    </row>
    <row r="41" spans="1:7" x14ac:dyDescent="0.35">
      <c r="A41" t="s">
        <v>1</v>
      </c>
      <c r="B41" t="s">
        <v>39</v>
      </c>
      <c r="C41" s="9" t="s">
        <v>139</v>
      </c>
      <c r="G41" s="6" t="s">
        <v>141</v>
      </c>
    </row>
    <row r="42" spans="1:7" x14ac:dyDescent="0.35">
      <c r="A42" t="s">
        <v>1</v>
      </c>
      <c r="B42" t="s">
        <v>40</v>
      </c>
      <c r="C42" s="9" t="s">
        <v>139</v>
      </c>
      <c r="G42" s="6" t="s">
        <v>141</v>
      </c>
    </row>
    <row r="43" spans="1:7" x14ac:dyDescent="0.35">
      <c r="A43" t="s">
        <v>1</v>
      </c>
      <c r="B43" t="s">
        <v>41</v>
      </c>
      <c r="C43" s="9" t="s">
        <v>139</v>
      </c>
      <c r="G43" s="6" t="s">
        <v>141</v>
      </c>
    </row>
    <row r="44" spans="1:7" x14ac:dyDescent="0.35">
      <c r="A44" t="s">
        <v>135</v>
      </c>
      <c r="B44" t="s">
        <v>130</v>
      </c>
      <c r="C44" s="9" t="s">
        <v>139</v>
      </c>
      <c r="G44" s="9" t="s">
        <v>142</v>
      </c>
    </row>
    <row r="45" spans="1:7" x14ac:dyDescent="0.35">
      <c r="A45" t="s">
        <v>135</v>
      </c>
      <c r="B45" t="s">
        <v>37</v>
      </c>
      <c r="C45" s="9" t="s">
        <v>139</v>
      </c>
      <c r="G45" s="14" t="s">
        <v>143</v>
      </c>
    </row>
    <row r="46" spans="1:7" x14ac:dyDescent="0.35">
      <c r="A46" t="s">
        <v>135</v>
      </c>
      <c r="B46" t="s">
        <v>38</v>
      </c>
      <c r="C46" s="9" t="s">
        <v>139</v>
      </c>
      <c r="G46" s="14" t="s">
        <v>144</v>
      </c>
    </row>
    <row r="47" spans="1:7" x14ac:dyDescent="0.35">
      <c r="A47" t="s">
        <v>135</v>
      </c>
      <c r="B47" t="s">
        <v>39</v>
      </c>
      <c r="C47" s="9" t="s">
        <v>139</v>
      </c>
      <c r="G47" s="14" t="s">
        <v>144</v>
      </c>
    </row>
    <row r="48" spans="1:7" x14ac:dyDescent="0.35">
      <c r="A48" t="s">
        <v>135</v>
      </c>
      <c r="B48" t="s">
        <v>40</v>
      </c>
      <c r="C48" s="9" t="s">
        <v>139</v>
      </c>
      <c r="G48" s="14" t="s">
        <v>144</v>
      </c>
    </row>
    <row r="49" spans="1:10" x14ac:dyDescent="0.35">
      <c r="A49" t="s">
        <v>135</v>
      </c>
      <c r="B49" t="s">
        <v>41</v>
      </c>
      <c r="C49" s="9" t="s">
        <v>139</v>
      </c>
      <c r="G49" s="14" t="s">
        <v>143</v>
      </c>
    </row>
    <row r="50" spans="1:10" x14ac:dyDescent="0.35">
      <c r="A50" t="s">
        <v>3</v>
      </c>
      <c r="B50" t="s">
        <v>130</v>
      </c>
      <c r="C50" s="9" t="s">
        <v>139</v>
      </c>
      <c r="G50" s="9" t="s">
        <v>145</v>
      </c>
    </row>
    <row r="51" spans="1:10" x14ac:dyDescent="0.35">
      <c r="A51" t="s">
        <v>3</v>
      </c>
      <c r="B51" t="s">
        <v>37</v>
      </c>
      <c r="C51" s="9" t="s">
        <v>139</v>
      </c>
      <c r="G51" t="s">
        <v>132</v>
      </c>
    </row>
    <row r="52" spans="1:10" x14ac:dyDescent="0.35">
      <c r="A52" t="s">
        <v>3</v>
      </c>
      <c r="B52" t="s">
        <v>38</v>
      </c>
      <c r="C52" s="9" t="s">
        <v>139</v>
      </c>
      <c r="G52" t="s">
        <v>132</v>
      </c>
    </row>
    <row r="53" spans="1:10" x14ac:dyDescent="0.35">
      <c r="A53" t="s">
        <v>3</v>
      </c>
      <c r="B53" t="s">
        <v>39</v>
      </c>
      <c r="C53" s="9" t="s">
        <v>139</v>
      </c>
      <c r="G53" t="s">
        <v>132</v>
      </c>
    </row>
    <row r="54" spans="1:10" x14ac:dyDescent="0.35">
      <c r="A54" t="s">
        <v>3</v>
      </c>
      <c r="B54" t="s">
        <v>40</v>
      </c>
      <c r="C54" s="9" t="s">
        <v>139</v>
      </c>
      <c r="G54" t="s">
        <v>132</v>
      </c>
    </row>
    <row r="55" spans="1:10" x14ac:dyDescent="0.35">
      <c r="A55" t="s">
        <v>3</v>
      </c>
      <c r="B55" t="s">
        <v>41</v>
      </c>
      <c r="C55" s="9" t="s">
        <v>139</v>
      </c>
      <c r="G55" t="s">
        <v>132</v>
      </c>
    </row>
    <row r="56" spans="1:10" x14ac:dyDescent="0.35">
      <c r="A56" t="s">
        <v>1</v>
      </c>
      <c r="B56" t="s">
        <v>130</v>
      </c>
      <c r="C56" t="s">
        <v>146</v>
      </c>
      <c r="G56" t="s">
        <v>111</v>
      </c>
    </row>
    <row r="57" spans="1:10" ht="43.5" x14ac:dyDescent="0.35">
      <c r="A57" t="s">
        <v>1</v>
      </c>
      <c r="B57" t="s">
        <v>37</v>
      </c>
      <c r="C57" t="s">
        <v>146</v>
      </c>
      <c r="J57" s="13" t="s">
        <v>147</v>
      </c>
    </row>
    <row r="58" spans="1:10" ht="16" x14ac:dyDescent="0.4">
      <c r="A58" t="s">
        <v>1</v>
      </c>
      <c r="B58" t="s">
        <v>38</v>
      </c>
      <c r="C58" t="s">
        <v>146</v>
      </c>
      <c r="J58" s="12" t="s">
        <v>148</v>
      </c>
    </row>
    <row r="59" spans="1:10" ht="16" x14ac:dyDescent="0.4">
      <c r="A59" t="s">
        <v>1</v>
      </c>
      <c r="B59" t="s">
        <v>39</v>
      </c>
      <c r="C59" t="s">
        <v>146</v>
      </c>
      <c r="J59" s="12"/>
    </row>
    <row r="60" spans="1:10" x14ac:dyDescent="0.35">
      <c r="A60" t="s">
        <v>1</v>
      </c>
      <c r="B60" t="s">
        <v>40</v>
      </c>
      <c r="C60" t="s">
        <v>146</v>
      </c>
    </row>
    <row r="61" spans="1:10" x14ac:dyDescent="0.35">
      <c r="A61" t="s">
        <v>1</v>
      </c>
      <c r="B61" t="s">
        <v>41</v>
      </c>
      <c r="C61" t="s">
        <v>146</v>
      </c>
    </row>
    <row r="62" spans="1:10" x14ac:dyDescent="0.35">
      <c r="A62" t="s">
        <v>135</v>
      </c>
      <c r="B62" t="s">
        <v>130</v>
      </c>
      <c r="C62" t="s">
        <v>146</v>
      </c>
      <c r="G62" t="s">
        <v>111</v>
      </c>
    </row>
    <row r="63" spans="1:10" x14ac:dyDescent="0.35">
      <c r="A63" t="s">
        <v>135</v>
      </c>
      <c r="B63" t="s">
        <v>37</v>
      </c>
      <c r="C63" t="s">
        <v>146</v>
      </c>
    </row>
    <row r="64" spans="1:10" x14ac:dyDescent="0.35">
      <c r="A64" t="s">
        <v>135</v>
      </c>
      <c r="B64" t="s">
        <v>38</v>
      </c>
      <c r="C64" t="s">
        <v>146</v>
      </c>
    </row>
    <row r="65" spans="1:10" x14ac:dyDescent="0.35">
      <c r="A65" t="s">
        <v>135</v>
      </c>
      <c r="B65" t="s">
        <v>39</v>
      </c>
      <c r="C65" t="s">
        <v>146</v>
      </c>
    </row>
    <row r="66" spans="1:10" x14ac:dyDescent="0.35">
      <c r="A66" t="s">
        <v>135</v>
      </c>
      <c r="B66" t="s">
        <v>40</v>
      </c>
      <c r="C66" t="s">
        <v>146</v>
      </c>
    </row>
    <row r="67" spans="1:10" x14ac:dyDescent="0.35">
      <c r="A67" t="s">
        <v>135</v>
      </c>
      <c r="B67" t="s">
        <v>41</v>
      </c>
      <c r="C67" t="s">
        <v>146</v>
      </c>
    </row>
    <row r="68" spans="1:10" x14ac:dyDescent="0.35">
      <c r="A68" t="s">
        <v>3</v>
      </c>
      <c r="B68" t="s">
        <v>130</v>
      </c>
      <c r="C68" t="s">
        <v>146</v>
      </c>
      <c r="G68" s="15" t="s">
        <v>111</v>
      </c>
    </row>
    <row r="69" spans="1:10" x14ac:dyDescent="0.35">
      <c r="A69" t="s">
        <v>3</v>
      </c>
      <c r="B69" t="s">
        <v>37</v>
      </c>
      <c r="C69" t="s">
        <v>146</v>
      </c>
    </row>
    <row r="70" spans="1:10" x14ac:dyDescent="0.35">
      <c r="A70" t="s">
        <v>3</v>
      </c>
      <c r="B70" t="s">
        <v>38</v>
      </c>
      <c r="C70" t="s">
        <v>146</v>
      </c>
    </row>
    <row r="71" spans="1:10" x14ac:dyDescent="0.35">
      <c r="A71" t="s">
        <v>3</v>
      </c>
      <c r="B71" t="s">
        <v>39</v>
      </c>
      <c r="C71" t="s">
        <v>146</v>
      </c>
    </row>
    <row r="72" spans="1:10" x14ac:dyDescent="0.35">
      <c r="A72" t="s">
        <v>3</v>
      </c>
      <c r="B72" t="s">
        <v>40</v>
      </c>
      <c r="C72" t="s">
        <v>146</v>
      </c>
    </row>
    <row r="73" spans="1:10" x14ac:dyDescent="0.35">
      <c r="A73" t="s">
        <v>3</v>
      </c>
      <c r="B73" t="s">
        <v>41</v>
      </c>
      <c r="C73" t="s">
        <v>146</v>
      </c>
    </row>
    <row r="74" spans="1:10" ht="29.5" x14ac:dyDescent="0.4">
      <c r="A74" t="s">
        <v>1</v>
      </c>
      <c r="B74" t="s">
        <v>130</v>
      </c>
      <c r="C74" t="s">
        <v>149</v>
      </c>
      <c r="D74" t="s">
        <v>150</v>
      </c>
      <c r="G74" s="12" t="s">
        <v>151</v>
      </c>
      <c r="J74" s="14" t="s">
        <v>152</v>
      </c>
    </row>
    <row r="75" spans="1:10" x14ac:dyDescent="0.35">
      <c r="A75" t="s">
        <v>135</v>
      </c>
      <c r="B75" t="s">
        <v>130</v>
      </c>
      <c r="C75" t="s">
        <v>149</v>
      </c>
      <c r="D75" t="s">
        <v>150</v>
      </c>
      <c r="J75" t="s">
        <v>153</v>
      </c>
    </row>
    <row r="76" spans="1:10" x14ac:dyDescent="0.35">
      <c r="A76" t="s">
        <v>3</v>
      </c>
      <c r="B76" t="s">
        <v>130</v>
      </c>
      <c r="C76" t="s">
        <v>149</v>
      </c>
      <c r="D76" t="s">
        <v>150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"/>
    </sheetView>
  </sheetViews>
  <sheetFormatPr defaultRowHeight="14.5" x14ac:dyDescent="0.35"/>
  <cols>
    <col min="1" max="1" width="52.453125" bestFit="1" customWidth="1"/>
    <col min="2" max="2" width="12.453125" bestFit="1" customWidth="1"/>
    <col min="3" max="3" width="9.7265625" bestFit="1" customWidth="1"/>
    <col min="5" max="5" width="29" customWidth="1"/>
  </cols>
  <sheetData>
    <row r="1" spans="1:5" x14ac:dyDescent="0.3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 x14ac:dyDescent="0.35">
      <c r="A2" s="1" t="s">
        <v>11</v>
      </c>
      <c r="B2" s="1"/>
      <c r="C2" s="1"/>
    </row>
    <row r="3" spans="1:5" x14ac:dyDescent="0.35">
      <c r="A3" s="4" t="s">
        <v>154</v>
      </c>
      <c r="B3" t="s">
        <v>94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35">
      <c r="A4" s="26" t="s">
        <v>155</v>
      </c>
      <c r="B4" t="s">
        <v>94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4" activePane="bottomLeft" state="frozen"/>
      <selection pane="bottomLeft" activeCell="I4" sqref="I4"/>
    </sheetView>
  </sheetViews>
  <sheetFormatPr defaultRowHeight="14.5" x14ac:dyDescent="0.35"/>
  <cols>
    <col min="1" max="1" width="8" bestFit="1" customWidth="1"/>
    <col min="2" max="2" width="46.453125" bestFit="1" customWidth="1"/>
    <col min="3" max="3" width="19" customWidth="1"/>
    <col min="4" max="4" width="18.26953125" customWidth="1"/>
    <col min="6" max="6" width="34.1796875" customWidth="1"/>
    <col min="8" max="8" width="13.1796875" bestFit="1" customWidth="1"/>
    <col min="9" max="9" width="50.453125" customWidth="1"/>
  </cols>
  <sheetData>
    <row r="1" spans="1:9" x14ac:dyDescent="0.35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01.5" x14ac:dyDescent="0.35">
      <c r="A2" t="s">
        <v>7</v>
      </c>
      <c r="B2" t="s">
        <v>154</v>
      </c>
      <c r="C2" t="s">
        <v>156</v>
      </c>
      <c r="D2" t="s">
        <v>157</v>
      </c>
      <c r="E2" t="s">
        <v>158</v>
      </c>
      <c r="F2" s="5" t="s">
        <v>159</v>
      </c>
      <c r="G2" s="26">
        <v>3.25</v>
      </c>
      <c r="H2" s="26" t="s">
        <v>160</v>
      </c>
      <c r="I2" s="5" t="s">
        <v>161</v>
      </c>
    </row>
    <row r="3" spans="1:9" x14ac:dyDescent="0.35">
      <c r="A3" t="s">
        <v>5</v>
      </c>
      <c r="B3" t="s">
        <v>154</v>
      </c>
      <c r="C3" t="s">
        <v>156</v>
      </c>
      <c r="D3" t="s">
        <v>157</v>
      </c>
      <c r="E3">
        <v>2021</v>
      </c>
      <c r="F3" t="s">
        <v>162</v>
      </c>
      <c r="G3">
        <v>4.4000000000000004</v>
      </c>
      <c r="H3" t="s">
        <v>163</v>
      </c>
      <c r="I3" s="6" t="s">
        <v>164</v>
      </c>
    </row>
    <row r="4" spans="1:9" x14ac:dyDescent="0.35">
      <c r="A4" t="s">
        <v>6</v>
      </c>
      <c r="B4" t="s">
        <v>154</v>
      </c>
      <c r="C4" t="s">
        <v>156</v>
      </c>
      <c r="D4" t="s">
        <v>157</v>
      </c>
      <c r="E4">
        <v>2012</v>
      </c>
      <c r="F4" t="s">
        <v>165</v>
      </c>
      <c r="G4">
        <v>4.2</v>
      </c>
      <c r="H4" t="s">
        <v>166</v>
      </c>
      <c r="I4" s="6" t="s">
        <v>167</v>
      </c>
    </row>
    <row r="5" spans="1:9" x14ac:dyDescent="0.35">
      <c r="A5" t="s">
        <v>7</v>
      </c>
      <c r="B5" t="s">
        <v>155</v>
      </c>
      <c r="C5" t="s">
        <v>156</v>
      </c>
      <c r="D5" t="s">
        <v>168</v>
      </c>
      <c r="E5">
        <v>2013</v>
      </c>
      <c r="F5" t="s">
        <v>169</v>
      </c>
      <c r="G5">
        <v>1.67</v>
      </c>
      <c r="H5" t="s">
        <v>170</v>
      </c>
      <c r="I5" s="6" t="s">
        <v>171</v>
      </c>
    </row>
    <row r="6" spans="1:9" x14ac:dyDescent="0.35">
      <c r="A6" t="s">
        <v>6</v>
      </c>
      <c r="B6" t="s">
        <v>155</v>
      </c>
      <c r="C6" t="s">
        <v>156</v>
      </c>
      <c r="D6" t="s">
        <v>168</v>
      </c>
      <c r="E6">
        <v>2013</v>
      </c>
      <c r="F6" t="s">
        <v>169</v>
      </c>
      <c r="G6">
        <v>1.67</v>
      </c>
      <c r="H6" t="s">
        <v>170</v>
      </c>
      <c r="I6" s="6" t="s">
        <v>171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"/>
    </sheetView>
  </sheetViews>
  <sheetFormatPr defaultRowHeight="14.5" x14ac:dyDescent="0.35"/>
  <cols>
    <col min="1" max="1" width="56.453125" bestFit="1" customWidth="1"/>
    <col min="2" max="2" width="32.26953125" bestFit="1" customWidth="1"/>
    <col min="4" max="4" width="12.453125" bestFit="1" customWidth="1"/>
    <col min="5" max="5" width="150" bestFit="1" customWidth="1"/>
  </cols>
  <sheetData>
    <row r="1" spans="1:9" x14ac:dyDescent="0.35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 x14ac:dyDescent="0.35">
      <c r="A2" s="26" t="s">
        <v>172</v>
      </c>
      <c r="B2" s="26"/>
      <c r="C2" s="26"/>
      <c r="D2" s="26"/>
      <c r="E2" s="26"/>
      <c r="F2" s="26"/>
      <c r="G2" s="26"/>
      <c r="H2" s="23"/>
      <c r="I2" s="23"/>
    </row>
    <row r="3" spans="1:9" x14ac:dyDescent="0.35">
      <c r="A3" s="26" t="s">
        <v>173</v>
      </c>
      <c r="B3" s="26" t="s">
        <v>174</v>
      </c>
      <c r="C3" s="26" t="s">
        <v>175</v>
      </c>
      <c r="D3" s="26">
        <v>2018</v>
      </c>
      <c r="E3" s="26" t="s">
        <v>176</v>
      </c>
      <c r="F3" s="26">
        <v>4.3</v>
      </c>
      <c r="G3" s="26" t="s">
        <v>177</v>
      </c>
      <c r="H3" s="24" t="s">
        <v>178</v>
      </c>
      <c r="I3" s="23"/>
    </row>
    <row r="4" spans="1:9" x14ac:dyDescent="0.35">
      <c r="A4" s="26" t="s">
        <v>179</v>
      </c>
      <c r="B4" s="26" t="s">
        <v>180</v>
      </c>
      <c r="C4" s="26" t="s">
        <v>181</v>
      </c>
      <c r="D4" s="26">
        <v>2015</v>
      </c>
      <c r="E4" s="25" t="s">
        <v>182</v>
      </c>
      <c r="F4" s="26">
        <v>6</v>
      </c>
      <c r="G4" s="27" t="s">
        <v>183</v>
      </c>
      <c r="H4" s="23"/>
      <c r="I4" s="23"/>
    </row>
    <row r="5" spans="1:9" x14ac:dyDescent="0.35">
      <c r="A5" s="26" t="s">
        <v>184</v>
      </c>
      <c r="B5" s="26"/>
      <c r="C5" s="26"/>
      <c r="D5" s="26"/>
      <c r="E5" s="26"/>
      <c r="F5" s="26"/>
      <c r="G5" s="26"/>
      <c r="H5" s="23"/>
      <c r="I5" s="23"/>
    </row>
    <row r="6" spans="1:9" x14ac:dyDescent="0.35">
      <c r="A6" s="26" t="s">
        <v>185</v>
      </c>
      <c r="B6" s="26" t="s">
        <v>186</v>
      </c>
      <c r="C6" s="26"/>
      <c r="D6" s="26"/>
      <c r="E6" s="26" t="s">
        <v>187</v>
      </c>
      <c r="F6" s="26" t="s">
        <v>188</v>
      </c>
      <c r="G6" s="26"/>
      <c r="H6" s="23"/>
      <c r="I6" s="23"/>
    </row>
    <row r="7" spans="1:9" x14ac:dyDescent="0.35">
      <c r="A7" s="26" t="s">
        <v>185</v>
      </c>
      <c r="B7" s="26" t="s">
        <v>186</v>
      </c>
      <c r="C7" s="26"/>
      <c r="D7" s="26"/>
      <c r="E7" s="26" t="s">
        <v>189</v>
      </c>
      <c r="F7" s="26" t="s">
        <v>190</v>
      </c>
      <c r="G7" s="26"/>
      <c r="H7" s="23"/>
      <c r="I7" s="23"/>
    </row>
    <row r="8" spans="1:9" x14ac:dyDescent="0.35">
      <c r="A8" s="26" t="s">
        <v>191</v>
      </c>
      <c r="B8" s="26" t="s">
        <v>150</v>
      </c>
      <c r="C8" s="26"/>
      <c r="D8" s="26"/>
      <c r="E8" s="26" t="s">
        <v>192</v>
      </c>
      <c r="F8" s="26" t="s">
        <v>193</v>
      </c>
      <c r="G8" s="26"/>
      <c r="H8" s="23" t="s">
        <v>194</v>
      </c>
      <c r="I8" s="23"/>
    </row>
    <row r="9" spans="1:9" x14ac:dyDescent="0.35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35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35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35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35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35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J8"/>
  <sheetViews>
    <sheetView workbookViewId="0">
      <selection activeCell="D9" sqref="D9"/>
    </sheetView>
  </sheetViews>
  <sheetFormatPr defaultRowHeight="14.5" x14ac:dyDescent="0.35"/>
  <cols>
    <col min="1" max="1" width="52.453125" bestFit="1" customWidth="1"/>
    <col min="2" max="2" width="52.453125" customWidth="1"/>
    <col min="3" max="3" width="21" bestFit="1" customWidth="1"/>
    <col min="4" max="4" width="22.26953125" bestFit="1" customWidth="1"/>
    <col min="5" max="6" width="11.453125" bestFit="1" customWidth="1"/>
    <col min="7" max="8" width="11.453125" customWidth="1"/>
    <col min="9" max="10" width="11.453125" bestFit="1" customWidth="1"/>
  </cols>
  <sheetData>
    <row r="1" spans="1:10" x14ac:dyDescent="0.35">
      <c r="A1" s="3" t="s">
        <v>0</v>
      </c>
      <c r="B1" s="33" t="s">
        <v>1</v>
      </c>
      <c r="C1" s="33"/>
      <c r="D1" s="33"/>
      <c r="E1" s="33" t="s">
        <v>2</v>
      </c>
      <c r="F1" s="33"/>
      <c r="G1" s="33"/>
      <c r="H1" s="33"/>
      <c r="I1" s="33" t="s">
        <v>3</v>
      </c>
      <c r="J1" s="33"/>
    </row>
    <row r="2" spans="1:10" x14ac:dyDescent="0.35">
      <c r="A2" s="3" t="s">
        <v>4</v>
      </c>
      <c r="B2" s="33" t="s">
        <v>5</v>
      </c>
      <c r="C2" s="33"/>
      <c r="D2" s="33"/>
      <c r="E2" s="33" t="s">
        <v>6</v>
      </c>
      <c r="F2" s="33"/>
      <c r="G2" s="33" t="s">
        <v>7</v>
      </c>
      <c r="H2" s="33"/>
      <c r="I2" s="33" t="s">
        <v>7</v>
      </c>
      <c r="J2" s="33"/>
    </row>
    <row r="3" spans="1:10" x14ac:dyDescent="0.35">
      <c r="A3" s="3" t="s">
        <v>89</v>
      </c>
      <c r="B3" s="33" t="s">
        <v>90</v>
      </c>
      <c r="C3" s="33"/>
      <c r="D3" s="33"/>
      <c r="E3" s="28" t="s">
        <v>90</v>
      </c>
      <c r="F3" s="28" t="s">
        <v>91</v>
      </c>
      <c r="G3" s="28" t="s">
        <v>90</v>
      </c>
      <c r="H3" s="28" t="s">
        <v>91</v>
      </c>
      <c r="I3" s="28" t="s">
        <v>90</v>
      </c>
      <c r="J3" s="28" t="s">
        <v>91</v>
      </c>
    </row>
    <row r="4" spans="1:10" x14ac:dyDescent="0.35">
      <c r="A4" s="30" t="s">
        <v>195</v>
      </c>
      <c r="B4" s="31" t="s">
        <v>196</v>
      </c>
      <c r="C4" s="31" t="s">
        <v>197</v>
      </c>
      <c r="D4" t="s">
        <v>229</v>
      </c>
      <c r="E4" s="31" t="s">
        <v>198</v>
      </c>
      <c r="F4" s="31" t="s">
        <v>198</v>
      </c>
      <c r="G4" s="31" t="s">
        <v>198</v>
      </c>
      <c r="H4" s="31" t="s">
        <v>198</v>
      </c>
      <c r="I4" s="31" t="s">
        <v>198</v>
      </c>
      <c r="J4" s="31" t="s">
        <v>198</v>
      </c>
    </row>
    <row r="5" spans="1:10" x14ac:dyDescent="0.35">
      <c r="A5" s="1" t="s">
        <v>11</v>
      </c>
      <c r="B5" s="1"/>
      <c r="C5" s="1"/>
      <c r="E5" s="1"/>
      <c r="I5" s="1"/>
    </row>
    <row r="6" spans="1:10" x14ac:dyDescent="0.35">
      <c r="A6" t="s">
        <v>199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230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x14ac:dyDescent="0.35">
      <c r="A7" t="s">
        <v>200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230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x14ac:dyDescent="0.35">
      <c r="A8" t="s">
        <v>201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230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I1:J1"/>
    <mergeCell ref="I2:J2"/>
    <mergeCell ref="E2:F2"/>
    <mergeCell ref="G2:H2"/>
    <mergeCell ref="E1:H1"/>
    <mergeCell ref="B1:D1"/>
    <mergeCell ref="B2:D2"/>
  </mergeCells>
  <conditionalFormatting sqref="B6:C8 E6:J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28"/>
  <sheetViews>
    <sheetView zoomScale="80" zoomScaleNormal="80" workbookViewId="0">
      <pane ySplit="1" topLeftCell="A4" activePane="bottomLeft" state="frozen"/>
      <selection pane="bottomLeft" activeCell="E2" sqref="E2"/>
    </sheetView>
  </sheetViews>
  <sheetFormatPr defaultRowHeight="14.5" x14ac:dyDescent="0.35"/>
  <cols>
    <col min="1" max="1" width="8" bestFit="1" customWidth="1"/>
    <col min="3" max="3" width="10.26953125" bestFit="1" customWidth="1"/>
    <col min="4" max="4" width="26.7265625" customWidth="1"/>
    <col min="5" max="5" width="52.7265625" bestFit="1" customWidth="1"/>
    <col min="6" max="6" width="19" customWidth="1"/>
    <col min="8" max="8" width="25.81640625" bestFit="1" customWidth="1"/>
    <col min="10" max="10" width="50.453125" customWidth="1"/>
  </cols>
  <sheetData>
    <row r="1" spans="1:10" x14ac:dyDescent="0.35">
      <c r="A1" s="1" t="s">
        <v>0</v>
      </c>
      <c r="B1" s="1" t="s">
        <v>4</v>
      </c>
      <c r="C1" s="1" t="s">
        <v>89</v>
      </c>
      <c r="D1" s="1" t="s">
        <v>195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 x14ac:dyDescent="0.35">
      <c r="A2" t="s">
        <v>2</v>
      </c>
      <c r="B2" t="s">
        <v>6</v>
      </c>
      <c r="C2" t="s">
        <v>91</v>
      </c>
      <c r="D2" t="s">
        <v>198</v>
      </c>
      <c r="E2" t="s">
        <v>200</v>
      </c>
      <c r="F2" t="s">
        <v>29</v>
      </c>
      <c r="G2" t="s">
        <v>30</v>
      </c>
      <c r="H2" t="s">
        <v>107</v>
      </c>
      <c r="I2" s="7">
        <v>0.9</v>
      </c>
    </row>
    <row r="3" spans="1:10" x14ac:dyDescent="0.35">
      <c r="A3" t="s">
        <v>2</v>
      </c>
      <c r="B3" t="s">
        <v>6</v>
      </c>
      <c r="C3" t="s">
        <v>90</v>
      </c>
      <c r="D3" t="s">
        <v>198</v>
      </c>
      <c r="E3" t="s">
        <v>200</v>
      </c>
      <c r="F3" t="s">
        <v>29</v>
      </c>
      <c r="G3" t="s">
        <v>30</v>
      </c>
      <c r="H3" t="s">
        <v>107</v>
      </c>
      <c r="I3" s="7">
        <v>0.9</v>
      </c>
    </row>
    <row r="4" spans="1:10" x14ac:dyDescent="0.35">
      <c r="A4" t="s">
        <v>2</v>
      </c>
      <c r="B4" t="s">
        <v>7</v>
      </c>
      <c r="C4" t="s">
        <v>91</v>
      </c>
      <c r="D4" t="s">
        <v>198</v>
      </c>
      <c r="E4" t="s">
        <v>200</v>
      </c>
      <c r="F4" t="s">
        <v>29</v>
      </c>
      <c r="G4" t="s">
        <v>30</v>
      </c>
      <c r="H4" t="s">
        <v>100</v>
      </c>
      <c r="I4" s="7">
        <v>0.9</v>
      </c>
    </row>
    <row r="5" spans="1:10" x14ac:dyDescent="0.35">
      <c r="A5" t="s">
        <v>2</v>
      </c>
      <c r="B5" t="s">
        <v>7</v>
      </c>
      <c r="C5" t="s">
        <v>90</v>
      </c>
      <c r="D5" t="s">
        <v>198</v>
      </c>
      <c r="E5" t="s">
        <v>200</v>
      </c>
      <c r="F5" t="s">
        <v>29</v>
      </c>
      <c r="G5" t="s">
        <v>30</v>
      </c>
      <c r="H5" t="s">
        <v>100</v>
      </c>
      <c r="I5" s="7">
        <v>0.9</v>
      </c>
    </row>
    <row r="6" spans="1:10" x14ac:dyDescent="0.35">
      <c r="A6" t="s">
        <v>1</v>
      </c>
      <c r="B6" t="s">
        <v>5</v>
      </c>
      <c r="C6" t="s">
        <v>90</v>
      </c>
      <c r="D6" t="s">
        <v>196</v>
      </c>
      <c r="E6" t="s">
        <v>200</v>
      </c>
      <c r="F6" t="s">
        <v>29</v>
      </c>
      <c r="G6" t="s">
        <v>30</v>
      </c>
      <c r="H6" t="s">
        <v>202</v>
      </c>
      <c r="I6" s="7">
        <v>0.8</v>
      </c>
      <c r="J6" t="s">
        <v>203</v>
      </c>
    </row>
    <row r="7" spans="1:10" x14ac:dyDescent="0.35">
      <c r="A7" t="s">
        <v>1</v>
      </c>
      <c r="B7" t="s">
        <v>5</v>
      </c>
      <c r="C7" t="s">
        <v>90</v>
      </c>
      <c r="D7" t="s">
        <v>197</v>
      </c>
      <c r="E7" t="s">
        <v>200</v>
      </c>
      <c r="F7" t="s">
        <v>29</v>
      </c>
      <c r="G7" t="s">
        <v>30</v>
      </c>
      <c r="H7" t="s">
        <v>202</v>
      </c>
      <c r="I7" s="7">
        <v>0.8</v>
      </c>
      <c r="J7" t="s">
        <v>203</v>
      </c>
    </row>
    <row r="8" spans="1:10" x14ac:dyDescent="0.35">
      <c r="A8" t="s">
        <v>1</v>
      </c>
      <c r="B8" t="s">
        <v>5</v>
      </c>
      <c r="C8" t="s">
        <v>90</v>
      </c>
      <c r="D8" t="s">
        <v>229</v>
      </c>
      <c r="E8" t="s">
        <v>200</v>
      </c>
      <c r="F8" t="s">
        <v>29</v>
      </c>
      <c r="G8" t="s">
        <v>30</v>
      </c>
      <c r="H8" t="s">
        <v>231</v>
      </c>
      <c r="I8" s="7">
        <v>0.8</v>
      </c>
      <c r="J8" t="s">
        <v>232</v>
      </c>
    </row>
    <row r="9" spans="1:10" x14ac:dyDescent="0.35">
      <c r="A9" t="s">
        <v>3</v>
      </c>
      <c r="B9" t="s">
        <v>7</v>
      </c>
      <c r="C9" t="s">
        <v>91</v>
      </c>
      <c r="D9" t="s">
        <v>198</v>
      </c>
      <c r="E9" t="s">
        <v>200</v>
      </c>
      <c r="F9" t="s">
        <v>29</v>
      </c>
      <c r="G9" t="s">
        <v>30</v>
      </c>
      <c r="H9" t="s">
        <v>202</v>
      </c>
      <c r="I9" s="7">
        <v>0.8</v>
      </c>
      <c r="J9" t="s">
        <v>203</v>
      </c>
    </row>
    <row r="10" spans="1:10" x14ac:dyDescent="0.35">
      <c r="A10" t="s">
        <v>3</v>
      </c>
      <c r="B10" t="s">
        <v>7</v>
      </c>
      <c r="C10" t="s">
        <v>90</v>
      </c>
      <c r="D10" t="s">
        <v>198</v>
      </c>
      <c r="E10" t="s">
        <v>200</v>
      </c>
      <c r="F10" t="s">
        <v>29</v>
      </c>
      <c r="G10" t="s">
        <v>30</v>
      </c>
      <c r="H10" t="s">
        <v>202</v>
      </c>
      <c r="I10" s="7">
        <v>0.8</v>
      </c>
      <c r="J10" t="s">
        <v>203</v>
      </c>
    </row>
    <row r="11" spans="1:10" x14ac:dyDescent="0.35">
      <c r="A11" t="s">
        <v>2</v>
      </c>
      <c r="B11" t="s">
        <v>6</v>
      </c>
      <c r="C11" t="s">
        <v>91</v>
      </c>
      <c r="D11" t="s">
        <v>198</v>
      </c>
      <c r="E11" t="s">
        <v>201</v>
      </c>
      <c r="F11" t="s">
        <v>29</v>
      </c>
      <c r="G11" t="s">
        <v>30</v>
      </c>
      <c r="H11" t="s">
        <v>107</v>
      </c>
      <c r="I11" s="7">
        <v>0.9</v>
      </c>
    </row>
    <row r="12" spans="1:10" x14ac:dyDescent="0.35">
      <c r="A12" t="s">
        <v>2</v>
      </c>
      <c r="B12" t="s">
        <v>6</v>
      </c>
      <c r="C12" t="s">
        <v>90</v>
      </c>
      <c r="D12" t="s">
        <v>198</v>
      </c>
      <c r="E12" t="s">
        <v>201</v>
      </c>
      <c r="F12" t="s">
        <v>29</v>
      </c>
      <c r="G12" t="s">
        <v>30</v>
      </c>
      <c r="H12" t="s">
        <v>107</v>
      </c>
      <c r="I12" s="7">
        <v>0.9</v>
      </c>
    </row>
    <row r="13" spans="1:10" x14ac:dyDescent="0.35">
      <c r="A13" t="s">
        <v>2</v>
      </c>
      <c r="B13" t="s">
        <v>7</v>
      </c>
      <c r="C13" t="s">
        <v>91</v>
      </c>
      <c r="D13" t="s">
        <v>198</v>
      </c>
      <c r="E13" t="s">
        <v>201</v>
      </c>
      <c r="F13" t="s">
        <v>29</v>
      </c>
      <c r="G13" t="s">
        <v>30</v>
      </c>
      <c r="H13" t="s">
        <v>100</v>
      </c>
      <c r="I13" s="7">
        <v>0.9</v>
      </c>
    </row>
    <row r="14" spans="1:10" x14ac:dyDescent="0.35">
      <c r="A14" t="s">
        <v>2</v>
      </c>
      <c r="B14" t="s">
        <v>7</v>
      </c>
      <c r="C14" t="s">
        <v>90</v>
      </c>
      <c r="D14" t="s">
        <v>198</v>
      </c>
      <c r="E14" t="s">
        <v>201</v>
      </c>
      <c r="F14" t="s">
        <v>29</v>
      </c>
      <c r="G14" t="s">
        <v>30</v>
      </c>
      <c r="H14" t="s">
        <v>100</v>
      </c>
      <c r="I14" s="7">
        <v>0.9</v>
      </c>
    </row>
    <row r="15" spans="1:10" x14ac:dyDescent="0.35">
      <c r="A15" t="s">
        <v>1</v>
      </c>
      <c r="B15" t="s">
        <v>5</v>
      </c>
      <c r="C15" t="s">
        <v>90</v>
      </c>
      <c r="D15" t="s">
        <v>196</v>
      </c>
      <c r="E15" t="s">
        <v>201</v>
      </c>
      <c r="F15" t="s">
        <v>29</v>
      </c>
      <c r="G15" t="s">
        <v>30</v>
      </c>
      <c r="H15" t="s">
        <v>107</v>
      </c>
      <c r="I15" s="7">
        <v>0.9</v>
      </c>
    </row>
    <row r="16" spans="1:10" x14ac:dyDescent="0.35">
      <c r="A16" t="s">
        <v>1</v>
      </c>
      <c r="B16" t="s">
        <v>5</v>
      </c>
      <c r="C16" t="s">
        <v>90</v>
      </c>
      <c r="D16" t="s">
        <v>197</v>
      </c>
      <c r="E16" t="s">
        <v>201</v>
      </c>
      <c r="F16" t="s">
        <v>29</v>
      </c>
      <c r="G16" t="s">
        <v>30</v>
      </c>
      <c r="H16" t="s">
        <v>107</v>
      </c>
      <c r="I16" s="7">
        <v>0.9</v>
      </c>
    </row>
    <row r="17" spans="1:10" x14ac:dyDescent="0.35">
      <c r="A17" t="s">
        <v>1</v>
      </c>
      <c r="B17" t="s">
        <v>5</v>
      </c>
      <c r="C17" t="s">
        <v>90</v>
      </c>
      <c r="D17" t="s">
        <v>229</v>
      </c>
      <c r="E17" t="s">
        <v>201</v>
      </c>
      <c r="F17" t="s">
        <v>29</v>
      </c>
      <c r="G17" t="s">
        <v>30</v>
      </c>
      <c r="H17" t="s">
        <v>234</v>
      </c>
      <c r="I17" s="7">
        <v>0.9</v>
      </c>
      <c r="J17" t="s">
        <v>235</v>
      </c>
    </row>
    <row r="18" spans="1:10" x14ac:dyDescent="0.35">
      <c r="A18" t="s">
        <v>3</v>
      </c>
      <c r="B18" t="s">
        <v>7</v>
      </c>
      <c r="C18" t="s">
        <v>91</v>
      </c>
      <c r="D18" t="s">
        <v>198</v>
      </c>
      <c r="E18" t="s">
        <v>201</v>
      </c>
      <c r="F18" t="s">
        <v>29</v>
      </c>
      <c r="G18" t="s">
        <v>30</v>
      </c>
      <c r="H18" t="s">
        <v>202</v>
      </c>
      <c r="I18" s="7">
        <v>0.8</v>
      </c>
    </row>
    <row r="19" spans="1:10" x14ac:dyDescent="0.35">
      <c r="A19" t="s">
        <v>3</v>
      </c>
      <c r="B19" t="s">
        <v>7</v>
      </c>
      <c r="C19" t="s">
        <v>90</v>
      </c>
      <c r="D19" t="s">
        <v>198</v>
      </c>
      <c r="E19" t="s">
        <v>201</v>
      </c>
      <c r="F19" t="s">
        <v>29</v>
      </c>
      <c r="G19" t="s">
        <v>30</v>
      </c>
      <c r="H19" t="s">
        <v>202</v>
      </c>
      <c r="I19" s="7">
        <v>0.8</v>
      </c>
    </row>
    <row r="20" spans="1:10" ht="43.5" x14ac:dyDescent="0.35">
      <c r="A20" t="s">
        <v>2</v>
      </c>
      <c r="B20" t="s">
        <v>6</v>
      </c>
      <c r="C20" t="s">
        <v>91</v>
      </c>
      <c r="D20" t="s">
        <v>198</v>
      </c>
      <c r="E20" t="s">
        <v>199</v>
      </c>
      <c r="F20" t="s">
        <v>98</v>
      </c>
      <c r="G20" t="s">
        <v>99</v>
      </c>
      <c r="H20" t="s">
        <v>202</v>
      </c>
      <c r="I20">
        <v>1320</v>
      </c>
      <c r="J20" s="5" t="s">
        <v>204</v>
      </c>
    </row>
    <row r="21" spans="1:10" ht="43.5" x14ac:dyDescent="0.35">
      <c r="A21" t="s">
        <v>2</v>
      </c>
      <c r="B21" t="s">
        <v>6</v>
      </c>
      <c r="C21" t="s">
        <v>90</v>
      </c>
      <c r="D21" t="s">
        <v>198</v>
      </c>
      <c r="E21" t="s">
        <v>199</v>
      </c>
      <c r="F21" t="s">
        <v>98</v>
      </c>
      <c r="G21" t="s">
        <v>99</v>
      </c>
      <c r="H21" t="s">
        <v>202</v>
      </c>
      <c r="I21">
        <v>24</v>
      </c>
      <c r="J21" s="5" t="s">
        <v>205</v>
      </c>
    </row>
    <row r="22" spans="1:10" ht="29" x14ac:dyDescent="0.35">
      <c r="A22" t="s">
        <v>2</v>
      </c>
      <c r="B22" t="s">
        <v>7</v>
      </c>
      <c r="C22" t="s">
        <v>91</v>
      </c>
      <c r="D22" t="s">
        <v>198</v>
      </c>
      <c r="E22" t="s">
        <v>199</v>
      </c>
      <c r="F22" t="s">
        <v>98</v>
      </c>
      <c r="G22" t="s">
        <v>99</v>
      </c>
      <c r="H22" t="s">
        <v>82</v>
      </c>
      <c r="I22">
        <v>40</v>
      </c>
      <c r="J22" s="14" t="s">
        <v>206</v>
      </c>
    </row>
    <row r="23" spans="1:10" ht="29" x14ac:dyDescent="0.35">
      <c r="A23" t="s">
        <v>2</v>
      </c>
      <c r="B23" t="s">
        <v>7</v>
      </c>
      <c r="C23" t="s">
        <v>90</v>
      </c>
      <c r="D23" t="s">
        <v>198</v>
      </c>
      <c r="E23" t="s">
        <v>199</v>
      </c>
      <c r="F23" t="s">
        <v>98</v>
      </c>
      <c r="G23" t="s">
        <v>99</v>
      </c>
      <c r="H23" t="s">
        <v>82</v>
      </c>
      <c r="I23">
        <v>1.69</v>
      </c>
      <c r="J23" s="14" t="s">
        <v>207</v>
      </c>
    </row>
    <row r="24" spans="1:10" x14ac:dyDescent="0.35">
      <c r="A24" t="s">
        <v>1</v>
      </c>
      <c r="B24" t="s">
        <v>5</v>
      </c>
      <c r="C24" t="s">
        <v>90</v>
      </c>
      <c r="D24" t="s">
        <v>196</v>
      </c>
      <c r="E24" t="s">
        <v>199</v>
      </c>
      <c r="F24" t="s">
        <v>98</v>
      </c>
      <c r="G24" t="s">
        <v>99</v>
      </c>
      <c r="H24" t="s">
        <v>202</v>
      </c>
      <c r="I24">
        <v>14.084507042253522</v>
      </c>
      <c r="J24" t="s">
        <v>208</v>
      </c>
    </row>
    <row r="25" spans="1:10" x14ac:dyDescent="0.35">
      <c r="A25" t="s">
        <v>1</v>
      </c>
      <c r="B25" t="s">
        <v>5</v>
      </c>
      <c r="C25" t="s">
        <v>90</v>
      </c>
      <c r="D25" t="s">
        <v>197</v>
      </c>
      <c r="E25" t="s">
        <v>199</v>
      </c>
      <c r="F25" t="s">
        <v>98</v>
      </c>
      <c r="G25" t="s">
        <v>99</v>
      </c>
      <c r="H25" t="s">
        <v>202</v>
      </c>
      <c r="I25">
        <v>56.338028169014088</v>
      </c>
      <c r="J25" t="s">
        <v>209</v>
      </c>
    </row>
    <row r="26" spans="1:10" x14ac:dyDescent="0.35">
      <c r="A26" t="s">
        <v>1</v>
      </c>
      <c r="B26" t="s">
        <v>5</v>
      </c>
      <c r="C26" t="s">
        <v>90</v>
      </c>
      <c r="D26" t="s">
        <v>229</v>
      </c>
      <c r="E26" t="s">
        <v>199</v>
      </c>
      <c r="F26" t="s">
        <v>98</v>
      </c>
      <c r="G26" t="s">
        <v>99</v>
      </c>
      <c r="H26" t="s">
        <v>231</v>
      </c>
      <c r="I26">
        <v>45</v>
      </c>
      <c r="J26" t="s">
        <v>233</v>
      </c>
    </row>
    <row r="27" spans="1:10" x14ac:dyDescent="0.35">
      <c r="A27" t="s">
        <v>3</v>
      </c>
      <c r="B27" t="s">
        <v>7</v>
      </c>
      <c r="C27" t="s">
        <v>91</v>
      </c>
      <c r="D27" t="s">
        <v>198</v>
      </c>
      <c r="E27" t="s">
        <v>199</v>
      </c>
      <c r="F27" t="s">
        <v>98</v>
      </c>
      <c r="G27" t="s">
        <v>99</v>
      </c>
      <c r="H27" t="s">
        <v>210</v>
      </c>
      <c r="I27">
        <v>42.5</v>
      </c>
      <c r="J27" t="s">
        <v>211</v>
      </c>
    </row>
    <row r="28" spans="1:10" x14ac:dyDescent="0.35">
      <c r="A28" t="s">
        <v>3</v>
      </c>
      <c r="B28" t="s">
        <v>7</v>
      </c>
      <c r="C28" t="s">
        <v>90</v>
      </c>
      <c r="D28" t="s">
        <v>198</v>
      </c>
      <c r="E28" t="s">
        <v>199</v>
      </c>
      <c r="F28" t="s">
        <v>98</v>
      </c>
      <c r="G28" t="s">
        <v>99</v>
      </c>
      <c r="H28" s="6" t="s">
        <v>212</v>
      </c>
      <c r="I28">
        <v>1.3</v>
      </c>
      <c r="J28" s="6" t="s">
        <v>213</v>
      </c>
    </row>
  </sheetData>
  <autoFilter ref="A1:J28" xr:uid="{797B3B46-8F2E-4C67-A115-D7583B1B84DB}"/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hyperlinks>
    <hyperlink ref="J28" r:id="rId1" xr:uid="{8B29D165-A493-48F3-B663-85CB453EE758}"/>
    <hyperlink ref="H28" r:id="rId2" xr:uid="{3DC1B296-F88E-408E-956F-0351AD5F515E}"/>
    <hyperlink ref="J22" r:id="rId3" xr:uid="{EA845FCE-F931-471E-B7AD-CCDF4F57AEA4}"/>
    <hyperlink ref="J23" r:id="rId4" xr:uid="{E1E2866D-3A5C-4D33-8B50-C6AA8A296518}"/>
  </hyperlinks>
  <pageMargins left="0.7" right="0.7" top="0.75" bottom="0.75" header="0.3" footer="0.3"/>
  <pageSetup orientation="portrait" horizontalDpi="0" verticalDpi="0" r:id="rId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Progress'!$B$4:$J$4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4.5" x14ac:dyDescent="0.35"/>
  <cols>
    <col min="2" max="2" width="40.54296875" bestFit="1" customWidth="1"/>
    <col min="5" max="5" width="10.453125" bestFit="1" customWidth="1"/>
    <col min="6" max="6" width="14.1796875" bestFit="1" customWidth="1"/>
  </cols>
  <sheetData>
    <row r="1" spans="1:6" x14ac:dyDescent="0.35">
      <c r="A1" s="1" t="s">
        <v>214</v>
      </c>
      <c r="B1" s="1" t="s">
        <v>215</v>
      </c>
      <c r="C1" s="1" t="s">
        <v>216</v>
      </c>
      <c r="D1" s="1" t="s">
        <v>217</v>
      </c>
      <c r="E1" s="1" t="s">
        <v>21</v>
      </c>
      <c r="F1" s="1" t="s">
        <v>218</v>
      </c>
    </row>
    <row r="2" spans="1:6" ht="43.5" x14ac:dyDescent="0.35">
      <c r="A2" t="s">
        <v>49</v>
      </c>
      <c r="B2" s="5" t="s">
        <v>219</v>
      </c>
      <c r="C2" s="6" t="s">
        <v>51</v>
      </c>
      <c r="D2" t="s">
        <v>220</v>
      </c>
      <c r="E2">
        <v>2021</v>
      </c>
    </row>
    <row r="3" spans="1:6" x14ac:dyDescent="0.35">
      <c r="A3" t="s">
        <v>221</v>
      </c>
      <c r="B3" t="s">
        <v>222</v>
      </c>
    </row>
    <row r="4" spans="1:6" x14ac:dyDescent="0.35">
      <c r="A4" t="s">
        <v>223</v>
      </c>
      <c r="B4" t="s">
        <v>224</v>
      </c>
      <c r="C4" s="6" t="s">
        <v>225</v>
      </c>
      <c r="D4" t="s">
        <v>226</v>
      </c>
      <c r="E4" s="16" t="s">
        <v>227</v>
      </c>
      <c r="F4" t="s">
        <v>228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02FEEF7-88D6-41D4-B999-EFF8511D95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a3940c-c740-4699-845a-46837f99845a"/>
    <ds:schemaRef ds:uri="539a68f6-d0ac-4a73-9041-e1fa437c4cee"/>
    <ds:schemaRef ds:uri="ab06a5aa-8e31-4bdb-9b13-38c58a92ec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149C33-81B0-4C8D-A8B9-4C0F99EB683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73999B-2FEB-4E5B-A6C7-6E33DD5EA2F7}">
  <ds:schemaRefs>
    <ds:schemaRef ds:uri="http://schemas.microsoft.com/office/2006/metadata/properties"/>
    <ds:schemaRef ds:uri="http://schemas.microsoft.com/office/infopath/2007/PartnerControls"/>
    <ds:schemaRef ds:uri="ab06a5aa-8e31-4bdb-9b13-38c58a92ec8a"/>
    <ds:schemaRef ds:uri="19a3940c-c740-4699-845a-46837f99845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Abraham D Flaxman</cp:lastModifiedBy>
  <cp:revision/>
  <dcterms:created xsi:type="dcterms:W3CDTF">2024-07-16T18:29:07Z</dcterms:created>
  <dcterms:modified xsi:type="dcterms:W3CDTF">2026-09-07T00:21:56Z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