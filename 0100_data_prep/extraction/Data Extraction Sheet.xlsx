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dbs/repos/vivarium_gates_lsff_2026/0100_data_prep/extraction/"/>
    </mc:Choice>
  </mc:AlternateContent>
  <xr:revisionPtr revIDLastSave="0" documentId="13_ncr:1_{CC47DF2E-8939-6F43-BF05-6887AE0015CB}" xr6:coauthVersionLast="47" xr6:coauthVersionMax="47" xr10:uidLastSave="{00000000-0000-0000-0000-000000000000}"/>
  <bookViews>
    <workbookView xWindow="0" yWindow="660" windowWidth="30240" windowHeight="17580" firstSheet="1" activeTab="1" xr2:uid="{00000000-000D-0000-FFFF-FFFF00000000}"/>
  </bookViews>
  <sheets>
    <sheet name="Country-Vehicle Progress" sheetId="1" r:id="rId1"/>
    <sheet name="Country-Vehicle Extraction" sheetId="2" r:id="rId2"/>
    <sheet name="Country-Vehicle-Fortif Progress" sheetId="3" r:id="rId3"/>
    <sheet name="Country-Vehicle-Fort Extraction" sheetId="4" r:id="rId4"/>
    <sheet name="Country Progress" sheetId="5" r:id="rId5"/>
    <sheet name="Country Extraction" sheetId="6" r:id="rId6"/>
    <sheet name="Vehicle Progress" sheetId="7" r:id="rId7"/>
    <sheet name="Vehicle Extraction" sheetId="8" r:id="rId8"/>
    <sheet name="Universal" sheetId="9" r:id="rId9"/>
    <sheet name="Scenario Definition Progress" sheetId="10" r:id="rId10"/>
    <sheet name="Scenario Definition Extraction" sheetId="11" r:id="rId11"/>
    <sheet name="Data 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0" l="1"/>
  <c r="I8" i="10"/>
  <c r="H8" i="10"/>
  <c r="G8" i="10"/>
  <c r="F8" i="10"/>
  <c r="E8" i="10"/>
  <c r="C8" i="10"/>
  <c r="B8" i="10"/>
  <c r="J7" i="10"/>
  <c r="I7" i="10"/>
  <c r="H7" i="10"/>
  <c r="G7" i="10"/>
  <c r="F7" i="10"/>
  <c r="E7" i="10"/>
  <c r="C7" i="10"/>
  <c r="B7" i="10"/>
  <c r="J6" i="10"/>
  <c r="I6" i="10"/>
  <c r="H6" i="10"/>
  <c r="G6" i="10"/>
  <c r="F6" i="10"/>
  <c r="E6" i="10"/>
  <c r="C6" i="10"/>
  <c r="B6" i="10"/>
  <c r="D4" i="7"/>
  <c r="C4" i="7"/>
  <c r="D3" i="7"/>
  <c r="C3" i="7"/>
  <c r="G15" i="5"/>
  <c r="E15" i="5"/>
  <c r="C15" i="5"/>
  <c r="E11" i="5"/>
  <c r="G10" i="5"/>
  <c r="E10" i="5"/>
  <c r="G6" i="5"/>
  <c r="F6" i="5"/>
  <c r="E6" i="5"/>
  <c r="D6" i="5"/>
  <c r="C6" i="5"/>
  <c r="B6" i="5"/>
  <c r="G5" i="5"/>
  <c r="F5" i="5"/>
  <c r="E5" i="5"/>
  <c r="D5" i="5"/>
  <c r="C5" i="5"/>
  <c r="B5" i="5"/>
  <c r="P8" i="3"/>
  <c r="N8" i="3"/>
  <c r="I8" i="3"/>
  <c r="H8" i="3"/>
  <c r="P7" i="3"/>
  <c r="N7" i="3"/>
  <c r="I7" i="3"/>
  <c r="H7" i="3"/>
  <c r="I6" i="3"/>
  <c r="H6" i="3"/>
  <c r="H9" i="1"/>
  <c r="G9" i="1"/>
  <c r="F9" i="1"/>
  <c r="E9" i="1"/>
  <c r="D9" i="1"/>
  <c r="C9" i="1"/>
  <c r="B9" i="1"/>
  <c r="C8" i="1"/>
  <c r="B8" i="1"/>
  <c r="G7" i="1"/>
  <c r="F7" i="1"/>
  <c r="E7" i="1"/>
  <c r="D7" i="1"/>
  <c r="C7" i="1"/>
  <c r="B7" i="1"/>
  <c r="E6" i="1"/>
  <c r="D6" i="1"/>
  <c r="C6" i="1"/>
  <c r="B6" i="1"/>
  <c r="G5" i="1"/>
  <c r="F5" i="1"/>
  <c r="E5" i="1"/>
  <c r="D5" i="1"/>
  <c r="C5" i="1"/>
  <c r="B5" i="1"/>
  <c r="J80" i="2"/>
  <c r="J79" i="2"/>
  <c r="J78" i="2"/>
  <c r="J77" i="2"/>
  <c r="J76" i="2"/>
  <c r="J75" i="2"/>
  <c r="J74" i="2"/>
  <c r="J73" i="2"/>
  <c r="J72" i="2"/>
  <c r="J71" i="2"/>
  <c r="J70" i="2"/>
  <c r="J69" i="2"/>
  <c r="J62" i="2"/>
  <c r="J61" i="2"/>
  <c r="J60" i="2"/>
  <c r="J59" i="2"/>
  <c r="J58" i="2"/>
  <c r="J57" i="2"/>
  <c r="J48" i="2"/>
  <c r="J47" i="2"/>
  <c r="J46" i="2"/>
  <c r="E8" i="1" s="1"/>
  <c r="F8" i="1" l="1"/>
  <c r="G6" i="1"/>
  <c r="D8" i="1"/>
  <c r="F6" i="1"/>
  <c r="G8" i="1"/>
</calcChain>
</file>

<file path=xl/sharedStrings.xml><?xml version="1.0" encoding="utf-8"?>
<sst xmlns="http://schemas.openxmlformats.org/spreadsheetml/2006/main" count="2176" uniqueCount="257">
  <si>
    <t>Country</t>
  </si>
  <si>
    <t>Vehicle</t>
  </si>
  <si>
    <t>Quintile</t>
  </si>
  <si>
    <t>Sex</t>
  </si>
  <si>
    <t>Data need</t>
  </si>
  <si>
    <t>Data point name</t>
  </si>
  <si>
    <t>Units</t>
  </si>
  <si>
    <t>Year</t>
  </si>
  <si>
    <t>Data source</t>
  </si>
  <si>
    <t>Value</t>
  </si>
  <si>
    <t>CI</t>
  </si>
  <si>
    <t>SE</t>
  </si>
  <si>
    <t>Notes</t>
  </si>
  <si>
    <t>Ethiopia</t>
  </si>
  <si>
    <t>Salt</t>
  </si>
  <si>
    <t>All (assumed same)</t>
  </si>
  <si>
    <t>Female</t>
  </si>
  <si>
    <t>Vehicle consumption by WRA -- any</t>
  </si>
  <si>
    <t>percentage</t>
  </si>
  <si>
    <t>%</t>
  </si>
  <si>
    <t>EPHI data sent by Andy Garcia</t>
  </si>
  <si>
    <t>Total population (?), not WRA specifically; Not stratified by wealth quintile</t>
  </si>
  <si>
    <t>Total</t>
  </si>
  <si>
    <t>Vehicle consumption by WRA -- amount</t>
  </si>
  <si>
    <t>mean</t>
  </si>
  <si>
    <t>g/day</t>
  </si>
  <si>
    <t>2022 National Nutrition Survey; Total population (?), not WRA specifically</t>
  </si>
  <si>
    <t>Lowest</t>
  </si>
  <si>
    <t>Second</t>
  </si>
  <si>
    <t>Middle</t>
  </si>
  <si>
    <t>Fourth</t>
  </si>
  <si>
    <t>Highest</t>
  </si>
  <si>
    <t>standard deviation</t>
  </si>
  <si>
    <t>Survey in Addis Ababa</t>
  </si>
  <si>
    <t>https://www.ncbi.nlm.nih.gov/pmc/articles/PMC10195378/; among all adults</t>
  </si>
  <si>
    <t>Vehicle consumption by U5 children -- any</t>
  </si>
  <si>
    <t>Total population (?), not U5 specifically</t>
  </si>
  <si>
    <t>Vehicle consumption by U5 children -- amount</t>
  </si>
  <si>
    <t>2022 National Nutrition Survey; Total population (?), not U5 specifically</t>
  </si>
  <si>
    <t>Vehicle "fortifiability" (essentially amount industrially produced)</t>
  </si>
  <si>
    <t>Assumption</t>
  </si>
  <si>
    <t>"Almost all households in Ethiopia have access to iodized salt." ~ National Food and Nutrition Strategy Baseline Survey</t>
  </si>
  <si>
    <t>Nigeria</t>
  </si>
  <si>
    <t>Bouillon</t>
  </si>
  <si>
    <t>NFCMS</t>
  </si>
  <si>
    <t>[97.5,98.8]</t>
  </si>
  <si>
    <t>https://www.unicef.org/nigeria/media/9271/file/%20National%20Food%20Consumption%20and%20Micronutrient%20Survey%20(2021).pdf</t>
  </si>
  <si>
    <t>[94.2, 98.4]</t>
  </si>
  <si>
    <t>Table 169, page 220</t>
  </si>
  <si>
    <t>[96.8, 99.3]</t>
  </si>
  <si>
    <t>95% CI</t>
  </si>
  <si>
    <t>[98.5, 99.8]</t>
  </si>
  <si>
    <t>These numbers are for non-pregnant WRA, not all WRA</t>
  </si>
  <si>
    <t>[97.8, 99.4]</t>
  </si>
  <si>
    <t>[97.5, 99.7]</t>
  </si>
  <si>
    <t>[6.0, 6.6]</t>
  </si>
  <si>
    <t>Table 170, page 222</t>
  </si>
  <si>
    <t>[7.7, 9.0]</t>
  </si>
  <si>
    <t>[7.3, 8.7]</t>
  </si>
  <si>
    <t xml:space="preserve">Pregnant and non-pregnant WRA have been stratified in the NFCMS final report, these are the non-pregnant numbers  </t>
  </si>
  <si>
    <t>[5.3, 6.5]</t>
  </si>
  <si>
    <t>Also, these numbers are across all women, not just those who consume bouillon</t>
  </si>
  <si>
    <t>[4.3, 5.4]</t>
  </si>
  <si>
    <t>[4.1, 5.2]</t>
  </si>
  <si>
    <t>Very rough estimate using SD = IQR / 1.35 (normality assumption), IQR reported in table 170</t>
  </si>
  <si>
    <t>[98.3,99.2]</t>
  </si>
  <si>
    <t>Annex 43, page 549</t>
  </si>
  <si>
    <t>Children 6-59 months old (doesn't include U6months)</t>
  </si>
  <si>
    <t>Not stratified by wealth quintile for children; wealth stratification numbers are for WRA</t>
  </si>
  <si>
    <t>[4.0, 4.5]</t>
  </si>
  <si>
    <t>Table 171, page 223</t>
  </si>
  <si>
    <t>[3.8, 4.4]</t>
  </si>
  <si>
    <t>Male</t>
  </si>
  <si>
    <t>[4.0, 4.6]</t>
  </si>
  <si>
    <t>Very rough estimate using SD = IQR / 1.35 (normality assumption), IQR reported in table 171</t>
  </si>
  <si>
    <t>Table 169, page 220 'Percentage of Non-Pregnant Women Whose Households Consumed Bouillon (purchased, branded, and labelled as fortified) by Residence, Zone, and Wealth Quintile', using 'branded' as a proxy for fortifiable and % of households as a proxy for % of product. Values obtained by dividing percent consuming branded food by percent consuming food, which is why we don't have uncertainty. A similar thing is reported in Annex 43, page 549; 'How household obtained bouillon the last time it was obtained': 'purchased', and not by wealth quintile</t>
  </si>
  <si>
    <t>India</t>
  </si>
  <si>
    <t>Rice</t>
  </si>
  <si>
    <t>Laura Key (BCG), "India_Bangladesh_data" (note in "Vehicles - preschool!Q48" of "20260416_Input data to IHME models.xlsx"</t>
  </si>
  <si>
    <t>51.3% "Industry consolidation" sent by Jonathan Gorstein in a spreadsheet on 7/19/2024 according to M4N Database, but on 8/15/2024 we agreed to consider all open-market rice unfortifiable; in 2025 or 26 Laura Key (Boston Consulting Group) put 45% in the "Vehicles - preschool" sheet entry for India Rice Industry consolidation</t>
  </si>
  <si>
    <t>BCG-measured tonnage</t>
  </si>
  <si>
    <t>"Updated for Portfolio Review - 3.92 / 5.23 MT" and is attributed to Laura Key (Boston Consulting Group), from "20260416_Input data to IHME models.xlsx" and on both the "Vehicles - WRA" and "Vehicles - Preschool" sheets, cell Q10</t>
  </si>
  <si>
    <t>Table 172, page 224; based on email from Jonathan Gorstein 8/31 we have assumed the number reported is among consumers, so have multiplied it by coverage here</t>
  </si>
  <si>
    <t>INTAKE</t>
  </si>
  <si>
    <t>INTAKE tabulation of NFCMS (?) shared by Jonathan Gorstein on 8/30; presumably in WRA</t>
  </si>
  <si>
    <t>Very rough estimate using SD = IQR / 1.35 (normality assumption), IQR reported in table 172</t>
  </si>
  <si>
    <t>Table 173, page 224; based on email from Jonathan Gorstein 8/31 we have assumed the number reported is among consumers, so have multiplied it by coverage here</t>
  </si>
  <si>
    <t>Very rough estimate using SD = IQR / 1.35 (normality assumption), IQR reported in table 173</t>
  </si>
  <si>
    <t>GF 'Input data to IHME models' workbook (2026-04-16) (NFCMS 2021), Vehicles - WRA</t>
  </si>
  <si>
    <t>Coverage 99.3</t>
  </si>
  <si>
    <t>Mean per capita salt intake; at 99.3% coverage the among-consumers vs population-mean distinction is immaterial.</t>
  </si>
  <si>
    <t>GF 'Input data to IHME models' workbook (2026-04-16) (NFCMS 2021), Vehicles - preschool</t>
  </si>
  <si>
    <t>GF 'Input data to IHME models' workbook (2026-04-16), Vehicles - WRA</t>
  </si>
  <si>
    <t>Industry consolidation 95%; consistent with GAIN's 93% coverage / 90% compliance for the iodization program.</t>
  </si>
  <si>
    <t>Wealth</t>
  </si>
  <si>
    <t>Overall</t>
  </si>
  <si>
    <t>Microdata: HCES</t>
  </si>
  <si>
    <t>Fortificant</t>
  </si>
  <si>
    <t>Folate</t>
  </si>
  <si>
    <t>Iron</t>
  </si>
  <si>
    <t>Vehicle fortification at baseline -- any</t>
  </si>
  <si>
    <t>Zero</t>
  </si>
  <si>
    <t>Not modeled</t>
  </si>
  <si>
    <t>Vehicle fortification at baseline -- amount among fortified</t>
  </si>
  <si>
    <t>N/A</t>
  </si>
  <si>
    <t>Baseline effective % of fortified</t>
  </si>
  <si>
    <t>concentration</t>
  </si>
  <si>
    <t>mcg/g</t>
  </si>
  <si>
    <t>Jonathan Gorstein, 8/30</t>
  </si>
  <si>
    <t>Assumption: labeled as fortified = fortified (basically true for salt). Divided "consumed food labeled as fortified" by "consumed food".</t>
  </si>
  <si>
    <t>Maggi cubes (most popular brand and format) claim to have 15% NRV per serving (https://www.nestle-cwa.com/en/ask-nestle/products-brands/what-is-in-the-maggi-cube), but according to Jonathan Gorstein email on July 27th it is actually 12%; https://www.wolframalpha.com/input?i=12%25+of+14mg+per+4+grams+in+mcg%2Fg</t>
  </si>
  <si>
    <t>There is some information on fraction labeled as fortified in NFCMS Table 169, but it Figure 71 shows that 95% of WRA have RBC folate insufficiency. Also: '61 percent of the non-pregnant women from households consumed bouillons that are labelled as fortified with iodine and/or iron.' There is some evidence that the rich have more bouillon labeled as fortified (Table 169).</t>
  </si>
  <si>
    <t xml:space="preserve">slide deck JG shared to ADF, credited to 
Helena.Pachon@emory.edu
</t>
  </si>
  <si>
    <t>Originally in mg/100g; https://www.wolframalpha.com/input?i=4.25+mg+per+100+grams+in+micrograms+per+gram</t>
  </si>
  <si>
    <t>Originally in mcg/100g; https://www.wolframalpha.com/input?i=12.5+mcg+per+100+grams+in+micrograms+per+gram</t>
  </si>
  <si>
    <t>Jonathan Gorstein, 8/15</t>
  </si>
  <si>
    <t>Same as intervention, for now</t>
  </si>
  <si>
    <t>Does not matter, no baseline fortification</t>
  </si>
  <si>
    <t>Nigeria mandates salt iodization, not folic acid; zero baseline FA recorded as data per the checklist.</t>
  </si>
  <si>
    <t>Pregnant people hemoglobin levels at baseline</t>
  </si>
  <si>
    <t>GBD</t>
  </si>
  <si>
    <t>DHS 2018</t>
  </si>
  <si>
    <t>DHS 2016</t>
  </si>
  <si>
    <t>Serum/plasma folate levels at baseline</t>
  </si>
  <si>
    <t>RBC folate levels at baseline</t>
  </si>
  <si>
    <t>LBWSG prevalence</t>
  </si>
  <si>
    <t>CGF prevalence</t>
  </si>
  <si>
    <t>Measles prevalence</t>
  </si>
  <si>
    <t>We have microdata on whether child has received Measles 1 vaccination.</t>
  </si>
  <si>
    <t>LRI prevalence</t>
  </si>
  <si>
    <t>We have microdata on whether child has had cough in the last two weeks, or ARI prevalence in DHS final reports.</t>
  </si>
  <si>
    <t>Malaria prevalence</t>
  </si>
  <si>
    <t>For India, we might have to use the DHS microdata for whether child has had fever in the last two weeks as a proxy for malaria.</t>
  </si>
  <si>
    <t>U5 hemoglobin levels at baseline</t>
  </si>
  <si>
    <t>Maternal disorders incidence</t>
  </si>
  <si>
    <t>Using DHS' maternal mortality ratio as a proxy for maternal disorders</t>
  </si>
  <si>
    <t>Maternal hemorrhage incidence</t>
  </si>
  <si>
    <t>Using DHS' maternal mortality ratio as a proxy for maternal hemorrhage</t>
  </si>
  <si>
    <t>Neural tube defect deaths</t>
  </si>
  <si>
    <t>All</t>
  </si>
  <si>
    <t xml:space="preserve">Serum folate levels at baseline </t>
  </si>
  <si>
    <t>?</t>
  </si>
  <si>
    <t>potential data gap!  </t>
  </si>
  <si>
    <t>Back-calculate from GBD NTDs? (and DHS NTDs for wealth quintiles?)</t>
  </si>
  <si>
    <t xml:space="preserve">Nigeria </t>
  </si>
  <si>
    <t>Red blood cell folate levels at baseline -- Also called “whole blood lysate”? </t>
  </si>
  <si>
    <t>nmol/L?</t>
  </si>
  <si>
    <t>potential data gap! </t>
  </si>
  <si>
    <t>Pregnancies longer than 7 months </t>
  </si>
  <si>
    <t>Most recent DHS for Ethiopia</t>
  </si>
  <si>
    <t>Ethiopia DHS survey report Table 8.4 </t>
  </si>
  <si>
    <t>Most recent DHS for Nigeria</t>
  </si>
  <si>
    <t xml:space="preserve">Nigeria DHS survey report -  Table 8.4 </t>
  </si>
  <si>
    <t xml:space="preserve">Nigeria DHS survey report -  Table 8.4 </t>
  </si>
  <si>
    <t>Most recent DHS for India </t>
  </si>
  <si>
    <t xml:space="preserve">Neural Tube Defect deaths </t>
  </si>
  <si>
    <t xml:space="preserve">From RBC folate levels? Or from differential folate intake? Or assume none, since they are all pretty similar in Nigeria NFCMS. </t>
  </si>
  <si>
    <t> </t>
  </si>
  <si>
    <t xml:space="preserve">NTD stillbirth to death ratio </t>
  </si>
  <si>
    <t>Ratio</t>
  </si>
  <si>
    <t>From CHAMPS? </t>
  </si>
  <si>
    <t>There is also some data on stillbirth-to-livebirth ratio among NTDs in the literature, see Blencowe et al 2018.</t>
  </si>
  <si>
    <t>Assumed no variation between quintiles</t>
  </si>
  <si>
    <t>Iron fortification/consumption effect on hemoglobin</t>
  </si>
  <si>
    <t>Iron fortification/consumption effect on birthweight</t>
  </si>
  <si>
    <t>Mean difference</t>
  </si>
  <si>
    <t>g/L</t>
  </si>
  <si>
    <t>Unpublished</t>
  </si>
  <si>
    <t>Dorbu et al. Nutritional anemia reductions due to food fortification among women of childbearing age: a systematic review and Bayesian meta-analysis. Unpublished data.</t>
  </si>
  <si>
    <t>0.9-5.71</t>
  </si>
  <si>
    <t>"This comes from a slide deck that Jonathan send to Abie.  It is credited to  Helena.Pachon@emory.edu".
There are also https://doi.org/10.1080/09637486.2020.1855126 and https://iris.who.int/bitstream/handle/10665/272535/9789241550291-eng.pdf?ua=1 which report similar-ish numbers but this is the one we got from Gates.</t>
  </si>
  <si>
    <t>Can Double Fortification of Salt with Iron and Iodine Reduce Anemia, Iron Deficiency Anemia, Iron Deficiency, Iodine Deficiency, and Functional Outcomes? Evidence of Efficacy, Effectiveness, and Safety</t>
  </si>
  <si>
    <t>2.3-6.4</t>
  </si>
  <si>
    <t>https://www.ncbi.nlm.nih.gov/pmc/articles/PMC7882357/; meta-analysis of 22 studies</t>
  </si>
  <si>
    <t>Effect of iron-fortified foods on hematologic and biological outcomes: systematic review of randomized controlled trials</t>
  </si>
  <si>
    <t>2.8-5.6</t>
  </si>
  <si>
    <t>https://www.sciencedirect.com/science/article/pii/S0002916523028915; could not find anything bouillon-specific</t>
  </si>
  <si>
    <t>g/(mg/person-day)</t>
  </si>
  <si>
    <t>Anaemia, prenatal iron use, and risk of adverse pregnancy outcomes: systematic review and meta-analysis</t>
  </si>
  <si>
    <t>0.729 to 2.611</t>
  </si>
  <si>
    <t>https://www.bmj.com/content/346/bmj.f3443; study of supplementation at higher doses than fortification; selected the effect among trials &lt;66mg/day as all fortification would fall in this range</t>
  </si>
  <si>
    <t>Folate fortification/consumption effect on serum/plasma folate</t>
  </si>
  <si>
    <t xml:space="preserve">    Rice</t>
  </si>
  <si>
    <t>Risk Difference</t>
  </si>
  <si>
    <t>nmol/L</t>
  </si>
  <si>
    <t>WHO 2018 systematic review</t>
  </si>
  <si>
    <t>2.00-6.60</t>
  </si>
  <si>
    <t>https://iris.who.int/bitstream/handle/10665/272535/9789241550291-eng.pdf?ua=1 found a single study</t>
  </si>
  <si>
    <t>Folate fortification/consumption effect on RBC folate</t>
  </si>
  <si>
    <t>Relative Risk (linear dose-response)</t>
  </si>
  <si>
    <t>percent RBC increase per 10% increase in folate intake</t>
  </si>
  <si>
    <t>Marchetta et al, 2015</t>
  </si>
  <si>
    <t>4-9</t>
  </si>
  <si>
    <t>Serum/plasma folate effect on RBC folate</t>
  </si>
  <si>
    <t>RBC folate effect on NTD incidence</t>
  </si>
  <si>
    <t>non-linear relationship</t>
  </si>
  <si>
    <t>(Daly et al, 1995)</t>
  </si>
  <si>
    <t xml:space="preserve">ln (odds of NTD risk) = 1.6563 − 1.2193 × ln (RBC) </t>
  </si>
  <si>
    <t>(Crider et al, 2014)</t>
  </si>
  <si>
    <t>ln (odds of NTD risk) = 4.57 − 1.70 × ln (RBC)</t>
  </si>
  <si>
    <t>NTD stillbirth-to-death ratio</t>
  </si>
  <si>
    <t>NTD Stillbirths paper in Lancet Global Health based on CHAMPS MITS data</t>
  </si>
  <si>
    <t>51/18</t>
  </si>
  <si>
    <t>There might be more data available since this paper was published</t>
  </si>
  <si>
    <t>Scenario</t>
  </si>
  <si>
    <t>Intervention - 25% NRV</t>
  </si>
  <si>
    <t>Intervention - 100% NRV</t>
  </si>
  <si>
    <t>Intervention - 45 ppm</t>
  </si>
  <si>
    <t>Intervention</t>
  </si>
  <si>
    <t>Vehicle fortification in intervention -- amount among fortified</t>
  </si>
  <si>
    <t>Complete</t>
  </si>
  <si>
    <t>Intervention coverage % of fortifiable</t>
  </si>
  <si>
    <t>Intervention effective % of fortified</t>
  </si>
  <si>
    <t>GF Apr-2026 workbook 'Vehicles - WRA' BI10/BL10 (2035 compliance 50%); Kathy Banke email 9/9/2026: use 2035 targets</t>
  </si>
  <si>
    <t>coverage = effectiveness = 0.715 equal split: sqrt(0.50) ~ 0.7071 rounded up because coverage x fortifiability must exceed baseline iron-labeled bouillon coverage (0.6998 in Q5 -&gt; coverage &gt;= 0.7113, asserted in the coverage notebook); product 0.5112 vs 2035 compliance target 0.50; pending GF country-team confirmation (KB email 9/9/2026)</t>
  </si>
  <si>
    <t>GF Apr-2026 workbook 'Vehicles - WRA' V10/Y10 (2035 compliance 90%); Kathy Banke email 9/9/2026: use 2035 targets</t>
  </si>
  <si>
    <t>coverage = effectiveness = sqrt(0.90) ~ 0.95, product 0.9025 realizes the 2035 compliance target</t>
  </si>
  <si>
    <t>GF Apr-2026 workbook 'Vehicles - WRA' AZ27 (2035 FA compliance 90%); Kathy Banke email 9/9/2026: use 2035 targets</t>
  </si>
  <si>
    <t>coverage = effectiveness = sqrt(0.90) ~ 0.95, product 0.9025 realizes the 2035 compliance target; applies to all three Ethiopia arms</t>
  </si>
  <si>
    <t>Same program reach as the NRV scenarios (Andy Garcia 7/26); coverage = effectiveness = sqrt(0.90) ~ 0.95, product 0.9025 realizes the 2035 compliance target; applies to all three Ethiopia arms</t>
  </si>
  <si>
    <t>GF Apr-2026 workbook 'Vehicles - WRA' V55/Y55 (2035 compliance 85%); Kathy Banke email 9/9/2026: use 2035 targets</t>
  </si>
  <si>
    <t>coverage = effectiveness = sqrt(0.85) ~ 0.92, product 0.8464 realizes the 2035 compliance target</t>
  </si>
  <si>
    <t>Andy Garcia email 7/26</t>
  </si>
  <si>
    <t>15% Nigeria-specific NRV per 2.5 grams; https://www.wolframalpha.com/input?i=15%25+of+22mg+per+2.5+grams+in+mcg%2Fg</t>
  </si>
  <si>
    <t>15% Codex (60mcg) per 2.5 grams; https://www.wolframalpha.com/input?i=15%25+of+400mcg+per+2.5+grams+in+mcg%2Fg</t>
  </si>
  <si>
    <t>Jonathan Gorstein email 8/30</t>
  </si>
  <si>
    <t>https://www.wolframalpha.com/input?i=4+mg%2F100g+in+mcg%2Fg</t>
  </si>
  <si>
    <t>https://www.wolframalpha.com/input?i=0.169+mg%2F100g+in+mcg%2Fg</t>
  </si>
  <si>
    <t>25% Codex (100mcg) per 7.1 grams</t>
  </si>
  <si>
    <t>100% Codex (400mcg) per 7.1 grams</t>
  </si>
  <si>
    <t>20260416_Input data to IHME models.xlsx spreadsheet from Jonathan Gorstein, attached to Email 4/16/2026</t>
  </si>
  <si>
    <t>45 ppm = 45 µg/g</t>
  </si>
  <si>
    <t>FSSAI</t>
  </si>
  <si>
    <t>Same as baseline, PDS rice; see county-vehicle-fort extraction</t>
  </si>
  <si>
    <t>https://nyaspubs.onlinelibrary.wiley.com/doi/full/10.1111/nyas.12478</t>
  </si>
  <si>
    <t>https://www.wolframalpha.com/input?i=0.13+mg%2F100g+in+mcg%2Fg</t>
  </si>
  <si>
    <t>GAIN compliance targets (GF Apr-2026 workbook, 'Ref' tab): Nigeria salt new compliance 90%</t>
  </si>
  <si>
    <t>GF Apr-2026 FA-compliance cells for Nigeria salt are blank on the current ('Updated 22 Jan 2026') vehicle tabs (iodine cells are xx); the GAIN compliance-targets tab (Nigeria salt: new compliance 90%) is the proxy, pending GF confirmation. Encoded as coverage = effectiveness = sqrt(0.90) ~ 0.95, product 0.9025 realizes the 90% target -- the 2035 equal-split convention adopted 2026-09-09, matching Ethiopia salt. Alternative pending the same confirmation: Alem's projections ('Notes for Discussion' tab) recommend Nigeria salt compliance 100% for both 2030 and 2035.</t>
  </si>
  <si>
    <t>Codex NRV; convention mirrors Ethiopia ('NRV per average intake')</t>
  </si>
  <si>
    <t>25% of the Codex 400 mcg NRV per 3.9 g/day mean WRA salt intake. Convention pending GF confirmation of the Nigerian salt FA standard (scenario grid lists FA @ 25% and @ 100% NRV as net-new #5/#6).</t>
  </si>
  <si>
    <t>100% of the Codex 400 mcg NRV per 3.9 g/day mean WRA salt intake. Convention pending GF confirmation of the Nigerian salt FA standard (scenario grid lists FA @ 25% and @ 100% NRV as net-new #5/#6).</t>
  </si>
  <si>
    <t>Name</t>
  </si>
  <si>
    <t>Full Title</t>
  </si>
  <si>
    <t>Link</t>
  </si>
  <si>
    <t>Authors</t>
  </si>
  <si>
    <t>In Sharepoint?</t>
  </si>
  <si>
    <t>National Food Consumption
and Micronutrient Survey
2021</t>
  </si>
  <si>
    <t>UNICEF</t>
  </si>
  <si>
    <t>HCES</t>
  </si>
  <si>
    <t>Household Consumption Expenditure Survey</t>
  </si>
  <si>
    <t>DHS</t>
  </si>
  <si>
    <t>Demographic and Health Surveys</t>
  </si>
  <si>
    <t>https://www.dhsprogram.com/pubs/pdf/DHSG4/Recode7_DHS_10Sep2018_DHSG4.pdf</t>
  </si>
  <si>
    <t>USAID</t>
  </si>
  <si>
    <t>2016; 2018</t>
  </si>
  <si>
    <t>J Drive</t>
  </si>
  <si>
    <t>Assumption: no salt-consumption SD in the GF workbook. SD = mean × CV, with CV ≈ 0.31 from the Ethiopia salt extraction (SD 2.2 g/day from the Addis Ababa 24-h recall survey, PMC10195378 / Ethiopia national mean 7.1 g/day, 2022 NNS). The Addis survey's own mean is 7.5 g/day, which would give CV ≈ 0.29.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</si>
</sst>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44444"/>
      <name val="Aptos Narrow"/>
    </font>
    <font>
      <sz val="11"/>
      <color rgb="FF000000"/>
      <name val="Aptos"/>
    </font>
    <font>
      <sz val="12"/>
      <name val="Aptos"/>
    </font>
    <font>
      <b/>
      <sz val="12"/>
      <name val="Aptos"/>
    </font>
    <font>
      <sz val="11"/>
      <name val="Aptos"/>
    </font>
    <font>
      <sz val="11"/>
      <color rgb="FF000000"/>
      <name val="Aptos Narrow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1"/>
    <xf numFmtId="9" fontId="0" fillId="0" borderId="0" xfId="0" applyNumberFormat="1"/>
    <xf numFmtId="0" fontId="6" fillId="0" borderId="0" xfId="0" applyFont="1"/>
    <xf numFmtId="0" fontId="7" fillId="0" borderId="0" xfId="0" applyFont="1"/>
    <xf numFmtId="2" fontId="0" fillId="0" borderId="0" xfId="0" applyNumberFormat="1"/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5" fillId="0" borderId="0" xfId="1" applyAlignment="1">
      <alignment wrapText="1"/>
    </xf>
    <xf numFmtId="0" fontId="1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1" applyFont="1"/>
    <xf numFmtId="9" fontId="0" fillId="0" borderId="0" xfId="0" applyNumberFormat="1" applyAlignment="1">
      <alignment wrapText="1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1" applyFont="1"/>
    <xf numFmtId="0" fontId="12" fillId="2" borderId="0" xfId="0" applyFont="1" applyFill="1"/>
    <xf numFmtId="0" fontId="12" fillId="0" borderId="0" xfId="0" applyFont="1"/>
    <xf numFmtId="49" fontId="1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3" borderId="0" xfId="0" applyNumberFormat="1" applyFill="1"/>
    <xf numFmtId="0" fontId="0" fillId="0" borderId="0" xfId="1" applyFont="1" applyAlignment="1">
      <alignment wrapText="1"/>
    </xf>
    <xf numFmtId="0" fontId="5" fillId="0" borderId="0" xfId="0" applyFont="1"/>
    <xf numFmtId="0" fontId="0" fillId="0" borderId="0" xfId="1" applyFont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cef.org/nigeria/media/9271/file/%20National%20Food%20Consumption%20and%20Micronutrient%20Survey%20(2021).pdf" TargetMode="External"/><Relationship Id="rId2" Type="http://schemas.openxmlformats.org/officeDocument/2006/relationships/hyperlink" Target="https://www.ncbi.nlm.nih.gov/pmc/articles/PMC10195378/;%20among%20all%20adults" TargetMode="External"/><Relationship Id="rId1" Type="http://schemas.openxmlformats.org/officeDocument/2006/relationships/hyperlink" Target="https://www.ncbi.nlm.nih.gov/pmc/articles/PMC10195378/;%20among%20all%20adult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file:///J:/DATA/DHS_PROG_DHS/NGA/2018/NGA_DHS7_2018_REP_QUEST_Y2019M11D05.PDF" TargetMode="External"/><Relationship Id="rId3" Type="http://schemas.openxmlformats.org/officeDocument/2006/relationships/hyperlink" Target="file:///J:/DATA/DHS_PROG_DHS/ETH/2016/ETH_DHS7_2016_REP_QUEST_Y2017M08D15.PDF" TargetMode="External"/><Relationship Id="rId7" Type="http://schemas.openxmlformats.org/officeDocument/2006/relationships/hyperlink" Target="file:///J:/DATA/DHS_PROG_DHS/NGA/2018/NGA_DHS7_2018_REP_QUEST_Y2019M11D05.PDF" TargetMode="External"/><Relationship Id="rId2" Type="http://schemas.openxmlformats.org/officeDocument/2006/relationships/hyperlink" Target="file:///J:/DATA/DHS_PROG_DHS/ETH/2016/ETH_DHS7_2016_REP_QUEST_Y2017M08D15.PDF" TargetMode="External"/><Relationship Id="rId1" Type="http://schemas.openxmlformats.org/officeDocument/2006/relationships/hyperlink" Target="file:///J:/DATA/DHS_PROG_DHS/ETH/2016/ETH_DHS7_2016_REP_QUEST_Y2017M08D15.PDF" TargetMode="External"/><Relationship Id="rId6" Type="http://schemas.openxmlformats.org/officeDocument/2006/relationships/hyperlink" Target="file:///J:/DATA/DHS_PROG_DHS/NGA/2018/NGA_DHS7_2018_REP_QUEST_Y2019M11D05.PDF" TargetMode="External"/><Relationship Id="rId11" Type="http://schemas.openxmlformats.org/officeDocument/2006/relationships/hyperlink" Target="https://pubmed.ncbi.nlm.nih.gov/29363759/" TargetMode="External"/><Relationship Id="rId5" Type="http://schemas.openxmlformats.org/officeDocument/2006/relationships/hyperlink" Target="file:///J:/DATA/DHS_PROG_DHS/ETH/2016/ETH_DHS7_2016_REP_QUEST_Y2017M08D15.PDF" TargetMode="External"/><Relationship Id="rId10" Type="http://schemas.openxmlformats.org/officeDocument/2006/relationships/hyperlink" Target="file:///J:/DATA/DHS_PROG_DHS/NGA/2018/NGA_DHS7_2018_REP_QUEST_Y2019M11D05.PDF" TargetMode="External"/><Relationship Id="rId4" Type="http://schemas.openxmlformats.org/officeDocument/2006/relationships/hyperlink" Target="file:///J:/DATA/DHS_PROG_DHS/ETH/2016/ETH_DHS7_2016_REP_QUEST_Y2017M08D15.PDF" TargetMode="External"/><Relationship Id="rId9" Type="http://schemas.openxmlformats.org/officeDocument/2006/relationships/hyperlink" Target="file:///J:/DATA/DHS_PROG_DHS/NGA/2018/NGA_DHS7_2018_REP_QUEST_Y2019M11D05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j.com/content/346/bmj.f3443;%20study%20of%20supplementation%20at%20higher%20doses%20than%20fortification;%20selected%20the%20effect%20among%20trials%20%3c66mg/day%20as%20all%20fortification%20would%20fall%20in%20this%20range" TargetMode="External"/><Relationship Id="rId2" Type="http://schemas.openxmlformats.org/officeDocument/2006/relationships/hyperlink" Target="https://www.sciencedirect.com/science/article/pii/S0002916523028915;%20could%20not%20find%20anything%20bouillon-specific" TargetMode="External"/><Relationship Id="rId1" Type="http://schemas.openxmlformats.org/officeDocument/2006/relationships/hyperlink" Target="https://www.ncbi.nlm.nih.gov/pmc/articles/PMC7882357/;%20meta-analysis%20of%2022%20studies" TargetMode="External"/><Relationship Id="rId4" Type="http://schemas.openxmlformats.org/officeDocument/2006/relationships/hyperlink" Target="https://www.bmj.com/content/346/bmj.f3443;%20study%20of%20supplementation%20at%20higher%20doses%20than%20fortification;%20selected%20the%20effect%20among%20trials%20%3c66mg/day%20as%20all%20fortification%20would%20fall%20in%20this%20rang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ris.who.int/bitstream/handle/10665/272535/9789241550291-eng.pdf?ua=1%20found%20a%20single%20study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nyaspubs.onlinelibrary.wiley.com/doi/full/10.1111/nyas.12478" TargetMode="External"/><Relationship Id="rId2" Type="http://schemas.openxmlformats.org/officeDocument/2006/relationships/hyperlink" Target="https://www.wolframalpha.com/input?i=0.169+mg%2F100g+in+mcg%2Fg" TargetMode="External"/><Relationship Id="rId1" Type="http://schemas.openxmlformats.org/officeDocument/2006/relationships/hyperlink" Target="https://www.wolframalpha.com/input?i=4+mg%2F100g+in+mcg%2Fg" TargetMode="External"/><Relationship Id="rId4" Type="http://schemas.openxmlformats.org/officeDocument/2006/relationships/hyperlink" Target="https://www.wolframalpha.com/input?i=0.13+mg%2F100g+in+mcg%2Fg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hsprogram.com/pubs/pdf/DHSG4/Recode7_DHS_10Sep2018_DHSG4.pdf" TargetMode="External"/><Relationship Id="rId1" Type="http://schemas.openxmlformats.org/officeDocument/2006/relationships/hyperlink" Target="https://www.unicef.org/nigeria/media/9271/file/%20National%20Food%20Consumption%20and%20Micronutrient%20Survey%20(202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58.33203125" bestFit="1" customWidth="1"/>
    <col min="2" max="2" width="12.5" bestFit="1" customWidth="1"/>
    <col min="3" max="3" width="15.5" bestFit="1" customWidth="1"/>
    <col min="4" max="4" width="9.6640625" bestFit="1" customWidth="1"/>
    <col min="8" max="9" width="15.83203125" bestFit="1" customWidth="1"/>
  </cols>
  <sheetData>
    <row r="1" spans="1:9" ht="15" customHeight="1" x14ac:dyDescent="0.2">
      <c r="A1" s="3" t="s">
        <v>0</v>
      </c>
      <c r="B1" s="41" t="s">
        <v>13</v>
      </c>
      <c r="C1" s="42"/>
      <c r="D1" s="41" t="s">
        <v>42</v>
      </c>
      <c r="E1" s="42"/>
      <c r="F1" s="42"/>
      <c r="G1" s="42"/>
      <c r="H1" s="41" t="s">
        <v>76</v>
      </c>
      <c r="I1" s="42"/>
    </row>
    <row r="2" spans="1:9" ht="15" customHeight="1" x14ac:dyDescent="0.2">
      <c r="A2" s="3" t="s">
        <v>1</v>
      </c>
      <c r="B2" s="41" t="s">
        <v>14</v>
      </c>
      <c r="C2" s="42"/>
      <c r="D2" s="41" t="s">
        <v>43</v>
      </c>
      <c r="E2" s="42"/>
      <c r="F2" s="41" t="s">
        <v>77</v>
      </c>
      <c r="G2" s="42"/>
      <c r="H2" s="41" t="s">
        <v>77</v>
      </c>
      <c r="I2" s="42"/>
    </row>
    <row r="3" spans="1:9" ht="15" customHeight="1" x14ac:dyDescent="0.2">
      <c r="A3" s="3" t="s">
        <v>94</v>
      </c>
      <c r="B3" s="2" t="s">
        <v>95</v>
      </c>
      <c r="C3" s="1" t="s">
        <v>2</v>
      </c>
      <c r="D3" s="2" t="s">
        <v>95</v>
      </c>
      <c r="E3" s="1" t="s">
        <v>2</v>
      </c>
      <c r="F3" s="2" t="s">
        <v>95</v>
      </c>
      <c r="G3" s="1" t="s">
        <v>2</v>
      </c>
      <c r="H3" s="2" t="s">
        <v>95</v>
      </c>
      <c r="I3" s="1" t="s">
        <v>2</v>
      </c>
    </row>
    <row r="4" spans="1:9" ht="15" customHeight="1" x14ac:dyDescent="0.2">
      <c r="A4" s="1" t="s">
        <v>4</v>
      </c>
      <c r="B4" s="1"/>
      <c r="C4" s="1"/>
      <c r="D4" s="1"/>
      <c r="E4" s="1"/>
      <c r="F4" s="1"/>
      <c r="G4" s="1"/>
    </row>
    <row r="5" spans="1:9" ht="15" customHeight="1" x14ac:dyDescent="0.2">
      <c r="A5" t="s">
        <v>17</v>
      </c>
      <c r="B5" t="str">
        <f>IF(COUNTIFS('Country-Vehicle Extraction'!$A$2:$A$979, B$1,  'Country-Vehicle Extraction'!$B$2:$B$979, B$2,  'Country-Vehicle Extraction'!$C$2:$C$979, "Total",  'Country-Vehicle Extraction'!$E$2:$E$979, $A5, 'Country-Vehicle Extraction'!$J$2:$J$979, "&lt;&gt;") = 0, "Missing", "Complete")</f>
        <v>Missing</v>
      </c>
      <c r="C5" t="str">
        <f>IF(COUNTIFS('Country-Vehicle Extraction'!$A$2:$A$979, B$1,  'Country-Vehicle Extraction'!$B$2:$B$979, B$2,  'Country-Vehicle Extraction'!$C$2:$C$979, "&lt;&gt;All",  'Country-Vehicle Extraction'!E$2:E$979, $A5, 'Country-Vehicle Extraction'!$J$2:$J$979, "&lt;&gt;") = 0, "Missing", "Complete")</f>
        <v>Complete</v>
      </c>
      <c r="D5" t="str">
        <f>IF(COUNTIFS('Country-Vehicle Extraction'!$A$2:$A$979, D$1,  'Country-Vehicle Extraction'!$B$2:$B$979, D$2,  'Country-Vehicle Extraction'!$C$2:$C$979, "Total",  'Country-Vehicle Extraction'!$E$2:$E$979, $A5, 'Country-Vehicle Extraction'!$J$2:$J$979, "&lt;&gt;") = 0, "Missing", "Complete")</f>
        <v>Complete</v>
      </c>
      <c r="E5" t="str">
        <f>IF(COUNTIFS('Country-Vehicle Extraction'!$A$2:$A$979, D$1,  'Country-Vehicle Extraction'!$B$2:$B$979, D$2,  'Country-Vehicle Extraction'!$C$2:$C$979, "&lt;&gt;All",  'Country-Vehicle Extraction'!$E$2:$E$979, $A5, 'Country-Vehicle Extraction'!$J$2:$J$979, "&lt;&gt;") = 0, "Missing", "Complete")</f>
        <v>Complete</v>
      </c>
      <c r="F5" t="str">
        <f>IF(COUNTIFS('Country-Vehicle Extraction'!$A$2:$A$979, D$1,  'Country-Vehicle Extraction'!$B$2:$B$979, F$2,  'Country-Vehicle Extraction'!$C$2:$C$979, "Total",  'Country-Vehicle Extraction'!$E$2:$E$979, $A5, 'Country-Vehicle Extraction'!$J$2:$J$979, "&lt;&gt;") = 0, "Missing", "Complete")</f>
        <v>Complete</v>
      </c>
      <c r="G5" t="str">
        <f>IF(COUNTIFS('Country-Vehicle Extraction'!$A$2:$A$979, D$1,  'Country-Vehicle Extraction'!$B$2:$B$979, F$2,  'Country-Vehicle Extraction'!$C$2:$C$979, "&lt;&gt;All",  'Country-Vehicle Extraction'!$E$2:$E$979, $A5, 'Country-Vehicle Extraction'!$J$2:$J$979, "&lt;&gt;") = 0, "Missing", "Complete")</f>
        <v>Complete</v>
      </c>
      <c r="H5" t="s">
        <v>96</v>
      </c>
      <c r="I5" t="s">
        <v>96</v>
      </c>
    </row>
    <row r="6" spans="1:9" ht="15" customHeight="1" x14ac:dyDescent="0.2">
      <c r="A6" t="s">
        <v>23</v>
      </c>
      <c r="B6" t="str">
        <f>IF(COUNTIFS('Country-Vehicle Extraction'!$A$2:$A$979, B$1,  'Country-Vehicle Extraction'!$B$2:$B$979, B$2,  'Country-Vehicle Extraction'!$C$2:$C$979, "Total",  'Country-Vehicle Extraction'!$E$2:$E$979, $A6, 'Country-Vehicle Extraction'!$J$2:$J$979, "&lt;&gt;") = 0, "Missing", "Complete")</f>
        <v>Complete</v>
      </c>
      <c r="C6" t="str">
        <f>IF(COUNTIFS('Country-Vehicle Extraction'!$A$2:$A$979, B$1,  'Country-Vehicle Extraction'!$B$2:$B$979, B$2,  'Country-Vehicle Extraction'!$C$2:$C$979, "&lt;&gt;All",  'Country-Vehicle Extraction'!E$2:E$979, $A6, 'Country-Vehicle Extraction'!$J$2:$J$979, "&lt;&gt;") = 0, "Missing", "Complete")</f>
        <v>Complete</v>
      </c>
      <c r="D6" t="str">
        <f>IF(COUNTIFS('Country-Vehicle Extraction'!$A$2:$A$979, D$1,  'Country-Vehicle Extraction'!$B$2:$B$979, D$2,  'Country-Vehicle Extraction'!$C$2:$C$979, "Total",  'Country-Vehicle Extraction'!$E$2:$E$979, $A6, 'Country-Vehicle Extraction'!$J$2:$J$979, "&lt;&gt;") = 0, "Missing", "Complete")</f>
        <v>Complete</v>
      </c>
      <c r="E6" t="str">
        <f>IF(COUNTIFS('Country-Vehicle Extraction'!$A$2:$A$979, D$1,  'Country-Vehicle Extraction'!$B$2:$B$979, D$2,  'Country-Vehicle Extraction'!$C$2:$C$979, "&lt;&gt;All",  'Country-Vehicle Extraction'!$E$2:$E$979, $A6, 'Country-Vehicle Extraction'!$J$2:$J$979, "&lt;&gt;") = 0, "Missing", "Complete")</f>
        <v>Complete</v>
      </c>
      <c r="F6" t="str">
        <f>IF(COUNTIFS('Country-Vehicle Extraction'!$A$2:$A$979, D$1,  'Country-Vehicle Extraction'!$B$2:$B$979, F$2,  'Country-Vehicle Extraction'!$C$2:$C$979, "Total",  'Country-Vehicle Extraction'!$E$2:$E$979, $A6, 'Country-Vehicle Extraction'!$J$2:$J$979, "&lt;&gt;") = 0, "Missing", "Complete")</f>
        <v>Complete</v>
      </c>
      <c r="G6" t="str">
        <f>IF(COUNTIFS('Country-Vehicle Extraction'!$A$2:$A$979, D$1,  'Country-Vehicle Extraction'!$B$2:$B$979, F$2,  'Country-Vehicle Extraction'!$C$2:$C$979, "&lt;&gt;All",  'Country-Vehicle Extraction'!$E$2:$E$979, $A6, 'Country-Vehicle Extraction'!$J$2:$J$979, "&lt;&gt;") = 0, "Missing", "Complete")</f>
        <v>Complete</v>
      </c>
      <c r="H6" t="s">
        <v>96</v>
      </c>
      <c r="I6" t="s">
        <v>96</v>
      </c>
    </row>
    <row r="7" spans="1:9" ht="15" customHeight="1" x14ac:dyDescent="0.2">
      <c r="A7" t="s">
        <v>35</v>
      </c>
      <c r="B7" t="str">
        <f>IF(COUNTIFS('Country-Vehicle Extraction'!$A$2:$A$979, B$1,  'Country-Vehicle Extraction'!$B$2:$B$979, B$2,  'Country-Vehicle Extraction'!$C$2:$C$979, "Total",  'Country-Vehicle Extraction'!$E$2:$E$979, $A7, 'Country-Vehicle Extraction'!$J$2:$J$979, "&lt;&gt;") = 0, "Missing", "Complete")</f>
        <v>Missing</v>
      </c>
      <c r="C7" t="str">
        <f>IF(COUNTIFS('Country-Vehicle Extraction'!$A$2:$A$979, B$1,  'Country-Vehicle Extraction'!$B$2:$B$979, B$2,  'Country-Vehicle Extraction'!$C$2:$C$979, "&lt;&gt;All",  'Country-Vehicle Extraction'!E$2:E$979, $A7, 'Country-Vehicle Extraction'!$J$2:$J$979, "&lt;&gt;") = 0, "Missing", "Complete")</f>
        <v>Complete</v>
      </c>
      <c r="D7" t="str">
        <f>IF(COUNTIFS('Country-Vehicle Extraction'!$A$2:$A$979, D$1,  'Country-Vehicle Extraction'!$B$2:$B$979, D$2,  'Country-Vehicle Extraction'!$C$2:$C$979, "Total",  'Country-Vehicle Extraction'!$E$2:$E$979, $A7, 'Country-Vehicle Extraction'!$J$2:$J$979, "&lt;&gt;") = 0, "Missing", "Complete")</f>
        <v>Complete</v>
      </c>
      <c r="E7" t="str">
        <f>IF(COUNTIFS('Country-Vehicle Extraction'!$A$2:$A$979, D$1,  'Country-Vehicle Extraction'!$B$2:$B$979, D$2,  'Country-Vehicle Extraction'!$C$2:$C$979, "&lt;&gt;All",  'Country-Vehicle Extraction'!$E$2:$E$979, $A7, 'Country-Vehicle Extraction'!$J$2:$J$979, "&lt;&gt;") = 0, "Missing", "Complete")</f>
        <v>Complete</v>
      </c>
      <c r="F7" t="str">
        <f>IF(COUNTIFS('Country-Vehicle Extraction'!$A$2:$A$979, D$1,  'Country-Vehicle Extraction'!$B$2:$B$979, F$2,  'Country-Vehicle Extraction'!$C$2:$C$979, "Total",  'Country-Vehicle Extraction'!$E$2:$E$979, $A7, 'Country-Vehicle Extraction'!$J$2:$J$979, "&lt;&gt;") = 0, "Missing", "Complete")</f>
        <v>Complete</v>
      </c>
      <c r="G7" t="str">
        <f>IF(COUNTIFS('Country-Vehicle Extraction'!$A$2:$A$979, D$1,  'Country-Vehicle Extraction'!$B$2:$B$979, F$2,  'Country-Vehicle Extraction'!$C$2:$C$979, "&lt;&gt;All",  'Country-Vehicle Extraction'!$E$2:$E$979, $A7, 'Country-Vehicle Extraction'!$J$2:$J$979, "&lt;&gt;") = 0, "Missing", "Complete")</f>
        <v>Complete</v>
      </c>
      <c r="H7" t="s">
        <v>96</v>
      </c>
      <c r="I7" t="s">
        <v>96</v>
      </c>
    </row>
    <row r="8" spans="1:9" ht="15" customHeight="1" x14ac:dyDescent="0.2">
      <c r="A8" t="s">
        <v>37</v>
      </c>
      <c r="B8" t="str">
        <f>IF(COUNTIFS('Country-Vehicle Extraction'!$A$2:$A$979, B$1,  'Country-Vehicle Extraction'!$B$2:$B$979, B$2,  'Country-Vehicle Extraction'!$C$2:$C$979, "Total",  'Country-Vehicle Extraction'!$E$2:$E$979, $A8, 'Country-Vehicle Extraction'!$J$2:$J$979, "&lt;&gt;") = 0, "Missing", "Complete")</f>
        <v>Complete</v>
      </c>
      <c r="C8" t="str">
        <f>IF(COUNTIFS('Country-Vehicle Extraction'!$A$2:$A$979, B$1,  'Country-Vehicle Extraction'!$B$2:$B$979, B$2,  'Country-Vehicle Extraction'!$C$2:$C$979, "&lt;&gt;All",  'Country-Vehicle Extraction'!E$2:E$979, $A8, 'Country-Vehicle Extraction'!$J$2:$J$979, "&lt;&gt;") = 0, "Missing", "Complete")</f>
        <v>Complete</v>
      </c>
      <c r="D8" t="str">
        <f>IF(COUNTIFS('Country-Vehicle Extraction'!$A$2:$A$979, D$1,  'Country-Vehicle Extraction'!$B$2:$B$979, D$2,  'Country-Vehicle Extraction'!$C$2:$C$979, "Total",  'Country-Vehicle Extraction'!$E$2:$E$979, $A8, 'Country-Vehicle Extraction'!$J$2:$J$979, "&lt;&gt;") = 0, "Missing", "Complete")</f>
        <v>Complete</v>
      </c>
      <c r="E8" t="str">
        <f>IF(COUNTIFS('Country-Vehicle Extraction'!$A$2:$A$979, D$1,  'Country-Vehicle Extraction'!$B$2:$B$979, D$2,  'Country-Vehicle Extraction'!$C$2:$C$979, "&lt;&gt;All",  'Country-Vehicle Extraction'!$E$2:$E$979, $A8, 'Country-Vehicle Extraction'!$J$2:$J$979, "&lt;&gt;") = 0, "Missing", "Complete")</f>
        <v>Complete</v>
      </c>
      <c r="F8" t="str">
        <f>IF(COUNTIFS('Country-Vehicle Extraction'!$A$2:$A$979, D$1,  'Country-Vehicle Extraction'!$B$2:$B$979, F$2,  'Country-Vehicle Extraction'!$C$2:$C$979, "Total",  'Country-Vehicle Extraction'!$E$2:$E$979, $A8, 'Country-Vehicle Extraction'!$J$2:$J$979, "&lt;&gt;") = 0, "Missing", "Complete")</f>
        <v>Complete</v>
      </c>
      <c r="G8" t="str">
        <f>IF(COUNTIFS('Country-Vehicle Extraction'!$A$2:$A$979, D$1,  'Country-Vehicle Extraction'!$B$2:$B$979, F$2,  'Country-Vehicle Extraction'!$C$2:$C$979, "&lt;&gt;All",  'Country-Vehicle Extraction'!$E$2:$E$979, $A8, 'Country-Vehicle Extraction'!$J$2:$J$979, "&lt;&gt;") = 0, "Missing", "Complete")</f>
        <v>Complete</v>
      </c>
      <c r="H8" t="s">
        <v>96</v>
      </c>
      <c r="I8" t="s">
        <v>96</v>
      </c>
    </row>
    <row r="9" spans="1:9" ht="15" customHeight="1" x14ac:dyDescent="0.2">
      <c r="A9" t="s">
        <v>39</v>
      </c>
      <c r="B9" t="str">
        <f>IF(COUNTIFS('Country-Vehicle Extraction'!$A$2:$A$979, B$1,  'Country-Vehicle Extraction'!$B$2:$B$979, B$2,  'Country-Vehicle Extraction'!$C$2:$C$979, "Total",  'Country-Vehicle Extraction'!$E$2:$E$979, $A9, 'Country-Vehicle Extraction'!$J$2:$J$979, "&lt;&gt;") = 0, "Missing", "Complete")</f>
        <v>Missing</v>
      </c>
      <c r="C9" t="str">
        <f>IF(COUNTIFS('Country-Vehicle Extraction'!$A$2:$A$979, B$1,  'Country-Vehicle Extraction'!$B$2:$B$979, B$2,  'Country-Vehicle Extraction'!$C$2:$C$979, "&lt;&gt;All",  'Country-Vehicle Extraction'!E$2:E$979, $A9, 'Country-Vehicle Extraction'!$J$2:$J$979, "&lt;&gt;") = 0, "Missing", "Complete")</f>
        <v>Complete</v>
      </c>
      <c r="D9" t="str">
        <f>IF(COUNTIFS('Country-Vehicle Extraction'!$A$2:$A$979, D$1,  'Country-Vehicle Extraction'!$B$2:$B$979, D$2,  'Country-Vehicle Extraction'!$C$2:$C$979, "Total",  'Country-Vehicle Extraction'!$E$2:$E$979, $A9, 'Country-Vehicle Extraction'!$J$2:$J$979, "&lt;&gt;") = 0, "Missing", "Complete")</f>
        <v>Complete</v>
      </c>
      <c r="E9" t="str">
        <f>IF(COUNTIFS('Country-Vehicle Extraction'!$A$2:$A$979, D$1,  'Country-Vehicle Extraction'!$B$2:$B$979, D$2,  'Country-Vehicle Extraction'!$C$2:$C$979, "&lt;&gt;All",  'Country-Vehicle Extraction'!$E$2:$E$979, $A9, 'Country-Vehicle Extraction'!$J$2:$J$979, "&lt;&gt;") = 0, "Missing", "Complete")</f>
        <v>Complete</v>
      </c>
      <c r="F9" t="str">
        <f>IF(COUNTIFS('Country-Vehicle Extraction'!$A$2:$A$979, D$1,  'Country-Vehicle Extraction'!$B$2:$B$979, F$2,  'Country-Vehicle Extraction'!$C$2:$C$979, "Total",  'Country-Vehicle Extraction'!$E$2:$E$979, $A9, 'Country-Vehicle Extraction'!$J$2:$J$979, "&lt;&gt;") = 0, "Missing", "Complete")</f>
        <v>Missing</v>
      </c>
      <c r="G9" t="str">
        <f>IF(COUNTIFS('Country-Vehicle Extraction'!$A$2:$A$979, D$1,  'Country-Vehicle Extraction'!$B$2:$B$979, F$2,  'Country-Vehicle Extraction'!$C$2:$C$979, "&lt;&gt;All",  'Country-Vehicle Extraction'!$E$2:$E$979, $A9, 'Country-Vehicle Extraction'!$J$2:$J$979, "&lt;&gt;") = 0, "Missing", "Complete")</f>
        <v>Complete</v>
      </c>
      <c r="H9" t="str">
        <f>IF(COUNTIFS('Country-Vehicle Extraction'!$A$2:$A$979, H$1,  'Country-Vehicle Extraction'!$B$2:$B$979, H$2,  'Country-Vehicle Extraction'!$C$2:$C$979, "Total",  'Country-Vehicle Extraction'!$E$2:$E$979, $A9, 'Country-Vehicle Extraction'!$J$2:$J$979, "&lt;&gt;") = 0, "Missing", "Complete")</f>
        <v>Complete</v>
      </c>
      <c r="I9" t="s">
        <v>96</v>
      </c>
    </row>
  </sheetData>
  <mergeCells count="7">
    <mergeCell ref="F2:G2"/>
    <mergeCell ref="B2:C2"/>
    <mergeCell ref="H2:I2"/>
    <mergeCell ref="D2:E2"/>
    <mergeCell ref="H1:I1"/>
    <mergeCell ref="D1:G1"/>
    <mergeCell ref="B1:C1"/>
  </mergeCells>
  <conditionalFormatting sqref="B5:I9">
    <cfRule type="cellIs" dxfId="5" priority="1" operator="equal">
      <formula>"Missing"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3"/>
  <sheetViews>
    <sheetView tabSelected="1" topLeftCell="E1" workbookViewId="0">
      <pane ySplit="1" topLeftCell="A88" activePane="bottomLeft" state="frozen"/>
      <selection pane="bottomLeft" activeCell="M106" sqref="M106"/>
    </sheetView>
  </sheetViews>
  <sheetFormatPr baseColWidth="10" defaultColWidth="8.83203125" defaultRowHeight="15" x14ac:dyDescent="0.2"/>
  <cols>
    <col min="1" max="1" width="8" bestFit="1" customWidth="1"/>
    <col min="3" max="3" width="18.33203125" bestFit="1" customWidth="1"/>
    <col min="4" max="4" width="18.33203125" customWidth="1"/>
    <col min="5" max="5" width="60.1640625" bestFit="1" customWidth="1"/>
    <col min="6" max="6" width="19" customWidth="1"/>
    <col min="9" max="9" width="11.83203125" bestFit="1" customWidth="1"/>
    <col min="10" max="10" width="10.33203125" bestFit="1" customWidth="1"/>
    <col min="11" max="12" width="10.1640625" customWidth="1"/>
    <col min="13" max="13" width="50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s="7">
        <v>0.97</v>
      </c>
      <c r="M2" t="s">
        <v>21</v>
      </c>
    </row>
    <row r="3" spans="1:13" ht="29.25" customHeight="1" x14ac:dyDescent="0.2">
      <c r="A3" t="s">
        <v>13</v>
      </c>
      <c r="B3" t="s">
        <v>14</v>
      </c>
      <c r="C3" t="s">
        <v>22</v>
      </c>
      <c r="D3" t="s">
        <v>16</v>
      </c>
      <c r="E3" t="s">
        <v>23</v>
      </c>
      <c r="F3" t="s">
        <v>24</v>
      </c>
      <c r="G3" t="s">
        <v>25</v>
      </c>
      <c r="I3" t="s">
        <v>20</v>
      </c>
      <c r="J3" s="5">
        <v>7.1</v>
      </c>
      <c r="M3" s="5" t="s">
        <v>26</v>
      </c>
    </row>
    <row r="4" spans="1:13" x14ac:dyDescent="0.2">
      <c r="A4" t="s">
        <v>13</v>
      </c>
      <c r="B4" t="s">
        <v>14</v>
      </c>
      <c r="C4" t="s">
        <v>27</v>
      </c>
      <c r="D4" t="s">
        <v>16</v>
      </c>
      <c r="E4" t="s">
        <v>23</v>
      </c>
      <c r="F4" t="s">
        <v>24</v>
      </c>
      <c r="G4" t="s">
        <v>25</v>
      </c>
      <c r="I4" t="s">
        <v>20</v>
      </c>
      <c r="J4">
        <v>7.1</v>
      </c>
    </row>
    <row r="5" spans="1:13" x14ac:dyDescent="0.2">
      <c r="A5" t="s">
        <v>13</v>
      </c>
      <c r="B5" t="s">
        <v>14</v>
      </c>
      <c r="C5" t="s">
        <v>28</v>
      </c>
      <c r="D5" t="s">
        <v>16</v>
      </c>
      <c r="E5" t="s">
        <v>23</v>
      </c>
      <c r="F5" t="s">
        <v>24</v>
      </c>
      <c r="G5" t="s">
        <v>25</v>
      </c>
      <c r="I5" t="s">
        <v>20</v>
      </c>
      <c r="J5" s="5">
        <v>7.2</v>
      </c>
    </row>
    <row r="6" spans="1:13" x14ac:dyDescent="0.2">
      <c r="A6" t="s">
        <v>13</v>
      </c>
      <c r="B6" t="s">
        <v>14</v>
      </c>
      <c r="C6" t="s">
        <v>29</v>
      </c>
      <c r="D6" t="s">
        <v>16</v>
      </c>
      <c r="E6" t="s">
        <v>23</v>
      </c>
      <c r="F6" t="s">
        <v>24</v>
      </c>
      <c r="G6" t="s">
        <v>25</v>
      </c>
      <c r="I6" t="s">
        <v>20</v>
      </c>
      <c r="J6">
        <v>7.7</v>
      </c>
    </row>
    <row r="7" spans="1:13" x14ac:dyDescent="0.2">
      <c r="A7" t="s">
        <v>13</v>
      </c>
      <c r="B7" t="s">
        <v>14</v>
      </c>
      <c r="C7" t="s">
        <v>30</v>
      </c>
      <c r="D7" t="s">
        <v>16</v>
      </c>
      <c r="E7" t="s">
        <v>23</v>
      </c>
      <c r="F7" t="s">
        <v>24</v>
      </c>
      <c r="G7" t="s">
        <v>25</v>
      </c>
      <c r="I7" t="s">
        <v>20</v>
      </c>
      <c r="J7">
        <v>7.2</v>
      </c>
    </row>
    <row r="8" spans="1:13" x14ac:dyDescent="0.2">
      <c r="A8" t="s">
        <v>13</v>
      </c>
      <c r="B8" t="s">
        <v>14</v>
      </c>
      <c r="C8" t="s">
        <v>31</v>
      </c>
      <c r="D8" t="s">
        <v>16</v>
      </c>
      <c r="E8" t="s">
        <v>23</v>
      </c>
      <c r="F8" t="s">
        <v>24</v>
      </c>
      <c r="G8" t="s">
        <v>25</v>
      </c>
      <c r="I8" t="s">
        <v>20</v>
      </c>
      <c r="J8">
        <v>6.5</v>
      </c>
    </row>
    <row r="9" spans="1:13" x14ac:dyDescent="0.2">
      <c r="A9" t="s">
        <v>13</v>
      </c>
      <c r="B9" t="s">
        <v>14</v>
      </c>
      <c r="C9" t="s">
        <v>15</v>
      </c>
      <c r="D9" t="s">
        <v>16</v>
      </c>
      <c r="E9" t="s">
        <v>23</v>
      </c>
      <c r="F9" t="s">
        <v>32</v>
      </c>
      <c r="G9" t="s">
        <v>25</v>
      </c>
      <c r="I9" t="s">
        <v>33</v>
      </c>
      <c r="J9" s="5">
        <v>2.2000000000000002</v>
      </c>
      <c r="M9" s="6" t="s">
        <v>34</v>
      </c>
    </row>
    <row r="10" spans="1:13" x14ac:dyDescent="0.2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18</v>
      </c>
      <c r="G10" t="s">
        <v>19</v>
      </c>
      <c r="J10" s="7">
        <v>0.97</v>
      </c>
      <c r="M10" t="s">
        <v>36</v>
      </c>
    </row>
    <row r="11" spans="1:13" x14ac:dyDescent="0.2">
      <c r="A11" t="s">
        <v>13</v>
      </c>
      <c r="B11" t="s">
        <v>14</v>
      </c>
      <c r="C11" t="s">
        <v>22</v>
      </c>
      <c r="D11" t="s">
        <v>15</v>
      </c>
      <c r="E11" t="s">
        <v>37</v>
      </c>
      <c r="F11" t="s">
        <v>24</v>
      </c>
      <c r="G11" t="s">
        <v>25</v>
      </c>
      <c r="I11" t="s">
        <v>20</v>
      </c>
      <c r="J11" s="5">
        <v>7.1</v>
      </c>
      <c r="M11" t="s">
        <v>38</v>
      </c>
    </row>
    <row r="12" spans="1:13" x14ac:dyDescent="0.2">
      <c r="A12" t="s">
        <v>13</v>
      </c>
      <c r="B12" t="s">
        <v>14</v>
      </c>
      <c r="C12" t="s">
        <v>27</v>
      </c>
      <c r="D12" t="s">
        <v>15</v>
      </c>
      <c r="E12" t="s">
        <v>37</v>
      </c>
      <c r="F12" t="s">
        <v>24</v>
      </c>
      <c r="G12" t="s">
        <v>25</v>
      </c>
      <c r="I12" t="s">
        <v>20</v>
      </c>
      <c r="J12">
        <v>7.1</v>
      </c>
    </row>
    <row r="13" spans="1:13" x14ac:dyDescent="0.2">
      <c r="A13" t="s">
        <v>13</v>
      </c>
      <c r="B13" t="s">
        <v>14</v>
      </c>
      <c r="C13" t="s">
        <v>28</v>
      </c>
      <c r="D13" t="s">
        <v>15</v>
      </c>
      <c r="E13" t="s">
        <v>37</v>
      </c>
      <c r="F13" t="s">
        <v>24</v>
      </c>
      <c r="G13" t="s">
        <v>25</v>
      </c>
      <c r="I13" t="s">
        <v>20</v>
      </c>
      <c r="J13" s="5">
        <v>7.2</v>
      </c>
    </row>
    <row r="14" spans="1:13" x14ac:dyDescent="0.2">
      <c r="A14" t="s">
        <v>13</v>
      </c>
      <c r="B14" t="s">
        <v>14</v>
      </c>
      <c r="C14" t="s">
        <v>29</v>
      </c>
      <c r="D14" t="s">
        <v>15</v>
      </c>
      <c r="E14" t="s">
        <v>37</v>
      </c>
      <c r="F14" t="s">
        <v>24</v>
      </c>
      <c r="G14" t="s">
        <v>25</v>
      </c>
      <c r="I14" t="s">
        <v>20</v>
      </c>
      <c r="J14">
        <v>7.7</v>
      </c>
    </row>
    <row r="15" spans="1:13" x14ac:dyDescent="0.2">
      <c r="A15" t="s">
        <v>13</v>
      </c>
      <c r="B15" t="s">
        <v>14</v>
      </c>
      <c r="C15" t="s">
        <v>30</v>
      </c>
      <c r="D15" t="s">
        <v>15</v>
      </c>
      <c r="E15" t="s">
        <v>37</v>
      </c>
      <c r="F15" t="s">
        <v>24</v>
      </c>
      <c r="G15" t="s">
        <v>25</v>
      </c>
      <c r="I15" t="s">
        <v>20</v>
      </c>
      <c r="J15">
        <v>7.2</v>
      </c>
    </row>
    <row r="16" spans="1:13" x14ac:dyDescent="0.2">
      <c r="A16" t="s">
        <v>13</v>
      </c>
      <c r="B16" t="s">
        <v>14</v>
      </c>
      <c r="C16" t="s">
        <v>31</v>
      </c>
      <c r="D16" t="s">
        <v>15</v>
      </c>
      <c r="E16" t="s">
        <v>37</v>
      </c>
      <c r="F16" t="s">
        <v>24</v>
      </c>
      <c r="G16" t="s">
        <v>25</v>
      </c>
      <c r="I16" t="s">
        <v>20</v>
      </c>
      <c r="J16">
        <v>6.5</v>
      </c>
    </row>
    <row r="17" spans="1:13" x14ac:dyDescent="0.2">
      <c r="A17" t="s">
        <v>13</v>
      </c>
      <c r="B17" t="s">
        <v>14</v>
      </c>
      <c r="C17" t="s">
        <v>15</v>
      </c>
      <c r="D17" t="s">
        <v>15</v>
      </c>
      <c r="E17" t="s">
        <v>37</v>
      </c>
      <c r="F17" t="s">
        <v>32</v>
      </c>
      <c r="G17" t="s">
        <v>25</v>
      </c>
      <c r="I17" t="s">
        <v>33</v>
      </c>
      <c r="J17" s="5">
        <v>2.2000000000000002</v>
      </c>
      <c r="M17" s="6" t="s">
        <v>34</v>
      </c>
    </row>
    <row r="18" spans="1:13" x14ac:dyDescent="0.2">
      <c r="A18" t="s">
        <v>13</v>
      </c>
      <c r="B18" t="s">
        <v>14</v>
      </c>
      <c r="C18" t="s">
        <v>15</v>
      </c>
      <c r="D18" t="s">
        <v>15</v>
      </c>
      <c r="E18" t="s">
        <v>39</v>
      </c>
      <c r="F18" t="s">
        <v>18</v>
      </c>
      <c r="G18" t="s">
        <v>19</v>
      </c>
      <c r="I18" t="s">
        <v>40</v>
      </c>
      <c r="J18" s="7">
        <v>1</v>
      </c>
      <c r="M18" t="s">
        <v>41</v>
      </c>
    </row>
    <row r="19" spans="1:13" x14ac:dyDescent="0.2">
      <c r="A19" t="s">
        <v>42</v>
      </c>
      <c r="B19" t="s">
        <v>43</v>
      </c>
      <c r="C19" t="s">
        <v>22</v>
      </c>
      <c r="D19" t="s">
        <v>16</v>
      </c>
      <c r="E19" t="s">
        <v>17</v>
      </c>
      <c r="F19" t="s">
        <v>18</v>
      </c>
      <c r="G19" t="s">
        <v>19</v>
      </c>
      <c r="H19">
        <v>2021</v>
      </c>
      <c r="I19" t="s">
        <v>44</v>
      </c>
      <c r="J19" s="17">
        <v>0.98099999999999998</v>
      </c>
      <c r="K19" t="s">
        <v>45</v>
      </c>
      <c r="M19" s="6" t="s">
        <v>46</v>
      </c>
    </row>
    <row r="20" spans="1:13" x14ac:dyDescent="0.2">
      <c r="A20" t="s">
        <v>42</v>
      </c>
      <c r="B20" t="s">
        <v>43</v>
      </c>
      <c r="C20" t="s">
        <v>27</v>
      </c>
      <c r="D20" t="s">
        <v>16</v>
      </c>
      <c r="E20" t="s">
        <v>17</v>
      </c>
      <c r="F20" t="s">
        <v>18</v>
      </c>
      <c r="G20" t="s">
        <v>19</v>
      </c>
      <c r="H20">
        <v>2021</v>
      </c>
      <c r="I20" t="s">
        <v>44</v>
      </c>
      <c r="J20" s="17">
        <v>0.96299999999999997</v>
      </c>
      <c r="K20" t="s">
        <v>47</v>
      </c>
      <c r="M20" t="s">
        <v>48</v>
      </c>
    </row>
    <row r="21" spans="1:13" x14ac:dyDescent="0.2">
      <c r="A21" t="s">
        <v>42</v>
      </c>
      <c r="B21" t="s">
        <v>43</v>
      </c>
      <c r="C21" t="s">
        <v>28</v>
      </c>
      <c r="D21" t="s">
        <v>16</v>
      </c>
      <c r="E21" t="s">
        <v>17</v>
      </c>
      <c r="F21" t="s">
        <v>18</v>
      </c>
      <c r="G21" t="s">
        <v>19</v>
      </c>
      <c r="H21">
        <v>2021</v>
      </c>
      <c r="I21" t="s">
        <v>44</v>
      </c>
      <c r="J21" s="17">
        <v>0.98099999999999998</v>
      </c>
      <c r="K21" t="s">
        <v>49</v>
      </c>
      <c r="M21" t="s">
        <v>50</v>
      </c>
    </row>
    <row r="22" spans="1:13" x14ac:dyDescent="0.2">
      <c r="A22" t="s">
        <v>42</v>
      </c>
      <c r="B22" t="s">
        <v>43</v>
      </c>
      <c r="C22" t="s">
        <v>29</v>
      </c>
      <c r="D22" t="s">
        <v>16</v>
      </c>
      <c r="E22" t="s">
        <v>17</v>
      </c>
      <c r="F22" t="s">
        <v>18</v>
      </c>
      <c r="G22" t="s">
        <v>19</v>
      </c>
      <c r="H22">
        <v>2021</v>
      </c>
      <c r="I22" t="s">
        <v>44</v>
      </c>
      <c r="J22" s="17">
        <v>0.99199999999999999</v>
      </c>
      <c r="K22" t="s">
        <v>51</v>
      </c>
      <c r="M22" t="s">
        <v>52</v>
      </c>
    </row>
    <row r="23" spans="1:13" x14ac:dyDescent="0.2">
      <c r="A23" t="s">
        <v>42</v>
      </c>
      <c r="B23" t="s">
        <v>43</v>
      </c>
      <c r="C23" t="s">
        <v>30</v>
      </c>
      <c r="D23" t="s">
        <v>16</v>
      </c>
      <c r="E23" t="s">
        <v>17</v>
      </c>
      <c r="F23" t="s">
        <v>18</v>
      </c>
      <c r="G23" t="s">
        <v>19</v>
      </c>
      <c r="H23">
        <v>2021</v>
      </c>
      <c r="I23" t="s">
        <v>44</v>
      </c>
      <c r="J23" s="17">
        <v>0.98599999999999999</v>
      </c>
      <c r="K23" t="s">
        <v>53</v>
      </c>
    </row>
    <row r="24" spans="1:13" x14ac:dyDescent="0.2">
      <c r="A24" t="s">
        <v>42</v>
      </c>
      <c r="B24" t="s">
        <v>43</v>
      </c>
      <c r="C24" t="s">
        <v>31</v>
      </c>
      <c r="D24" t="s">
        <v>16</v>
      </c>
      <c r="E24" t="s">
        <v>17</v>
      </c>
      <c r="F24" t="s">
        <v>18</v>
      </c>
      <c r="G24" t="s">
        <v>19</v>
      </c>
      <c r="H24">
        <v>2021</v>
      </c>
      <c r="I24" t="s">
        <v>44</v>
      </c>
      <c r="J24" s="17">
        <v>0.98599999999999999</v>
      </c>
      <c r="K24" t="s">
        <v>54</v>
      </c>
    </row>
    <row r="25" spans="1:13" x14ac:dyDescent="0.2">
      <c r="A25" t="s">
        <v>42</v>
      </c>
      <c r="B25" t="s">
        <v>43</v>
      </c>
      <c r="C25" t="s">
        <v>22</v>
      </c>
      <c r="D25" t="s">
        <v>16</v>
      </c>
      <c r="E25" t="s">
        <v>23</v>
      </c>
      <c r="F25" t="s">
        <v>24</v>
      </c>
      <c r="G25" t="s">
        <v>25</v>
      </c>
      <c r="H25">
        <v>2021</v>
      </c>
      <c r="I25" t="s">
        <v>44</v>
      </c>
      <c r="J25">
        <v>6.3</v>
      </c>
      <c r="K25" t="s">
        <v>55</v>
      </c>
      <c r="L25">
        <v>0.1</v>
      </c>
      <c r="M25" t="s">
        <v>56</v>
      </c>
    </row>
    <row r="26" spans="1:13" x14ac:dyDescent="0.2">
      <c r="A26" t="s">
        <v>42</v>
      </c>
      <c r="B26" t="s">
        <v>43</v>
      </c>
      <c r="C26" t="s">
        <v>27</v>
      </c>
      <c r="D26" t="s">
        <v>16</v>
      </c>
      <c r="E26" t="s">
        <v>23</v>
      </c>
      <c r="F26" t="s">
        <v>24</v>
      </c>
      <c r="G26" t="s">
        <v>25</v>
      </c>
      <c r="H26">
        <v>2021</v>
      </c>
      <c r="I26" t="s">
        <v>44</v>
      </c>
      <c r="J26">
        <v>8.4</v>
      </c>
      <c r="K26" t="s">
        <v>57</v>
      </c>
      <c r="L26">
        <v>0.3</v>
      </c>
      <c r="M26" t="s">
        <v>50</v>
      </c>
    </row>
    <row r="27" spans="1:13" x14ac:dyDescent="0.2">
      <c r="A27" t="s">
        <v>42</v>
      </c>
      <c r="B27" t="s">
        <v>43</v>
      </c>
      <c r="C27" t="s">
        <v>28</v>
      </c>
      <c r="D27" t="s">
        <v>16</v>
      </c>
      <c r="E27" t="s">
        <v>23</v>
      </c>
      <c r="F27" t="s">
        <v>24</v>
      </c>
      <c r="G27" t="s">
        <v>25</v>
      </c>
      <c r="H27">
        <v>2021</v>
      </c>
      <c r="I27" t="s">
        <v>44</v>
      </c>
      <c r="J27" s="18">
        <v>8</v>
      </c>
      <c r="K27" t="s">
        <v>58</v>
      </c>
      <c r="L27">
        <v>0.3</v>
      </c>
      <c r="M27" t="s">
        <v>59</v>
      </c>
    </row>
    <row r="28" spans="1:13" x14ac:dyDescent="0.2">
      <c r="A28" t="s">
        <v>42</v>
      </c>
      <c r="B28" t="s">
        <v>43</v>
      </c>
      <c r="C28" t="s">
        <v>29</v>
      </c>
      <c r="D28" t="s">
        <v>16</v>
      </c>
      <c r="E28" t="s">
        <v>23</v>
      </c>
      <c r="F28" t="s">
        <v>24</v>
      </c>
      <c r="G28" t="s">
        <v>25</v>
      </c>
      <c r="H28">
        <v>2021</v>
      </c>
      <c r="I28" t="s">
        <v>44</v>
      </c>
      <c r="J28">
        <v>5.9</v>
      </c>
      <c r="K28" t="s">
        <v>60</v>
      </c>
      <c r="L28">
        <v>0.3</v>
      </c>
      <c r="M28" t="s">
        <v>61</v>
      </c>
    </row>
    <row r="29" spans="1:13" x14ac:dyDescent="0.2">
      <c r="A29" t="s">
        <v>42</v>
      </c>
      <c r="B29" t="s">
        <v>43</v>
      </c>
      <c r="C29" t="s">
        <v>30</v>
      </c>
      <c r="D29" t="s">
        <v>16</v>
      </c>
      <c r="E29" t="s">
        <v>23</v>
      </c>
      <c r="F29" t="s">
        <v>24</v>
      </c>
      <c r="G29" t="s">
        <v>25</v>
      </c>
      <c r="H29">
        <v>2021</v>
      </c>
      <c r="I29" t="s">
        <v>44</v>
      </c>
      <c r="J29">
        <v>4.9000000000000004</v>
      </c>
      <c r="K29" t="s">
        <v>62</v>
      </c>
      <c r="L29">
        <v>0.3</v>
      </c>
    </row>
    <row r="30" spans="1:13" x14ac:dyDescent="0.2">
      <c r="A30" t="s">
        <v>42</v>
      </c>
      <c r="B30" t="s">
        <v>43</v>
      </c>
      <c r="C30" t="s">
        <v>31</v>
      </c>
      <c r="D30" t="s">
        <v>16</v>
      </c>
      <c r="E30" t="s">
        <v>23</v>
      </c>
      <c r="F30" t="s">
        <v>24</v>
      </c>
      <c r="G30" t="s">
        <v>25</v>
      </c>
      <c r="H30">
        <v>2021</v>
      </c>
      <c r="I30" t="s">
        <v>44</v>
      </c>
      <c r="J30">
        <v>4.5999999999999996</v>
      </c>
      <c r="K30" t="s">
        <v>63</v>
      </c>
      <c r="L30">
        <v>0.3</v>
      </c>
    </row>
    <row r="31" spans="1:13" x14ac:dyDescent="0.2">
      <c r="A31" t="s">
        <v>42</v>
      </c>
      <c r="B31" t="s">
        <v>43</v>
      </c>
      <c r="C31" t="s">
        <v>22</v>
      </c>
      <c r="D31" t="s">
        <v>16</v>
      </c>
      <c r="E31" t="s">
        <v>23</v>
      </c>
      <c r="F31" t="s">
        <v>32</v>
      </c>
      <c r="G31" t="s">
        <v>25</v>
      </c>
      <c r="H31">
        <v>2021</v>
      </c>
      <c r="I31" t="s">
        <v>44</v>
      </c>
      <c r="J31">
        <v>3.0370370370370372</v>
      </c>
      <c r="M31" t="s">
        <v>64</v>
      </c>
    </row>
    <row r="32" spans="1:13" x14ac:dyDescent="0.2">
      <c r="A32" t="s">
        <v>42</v>
      </c>
      <c r="B32" t="s">
        <v>43</v>
      </c>
      <c r="C32" t="s">
        <v>27</v>
      </c>
      <c r="D32" t="s">
        <v>16</v>
      </c>
      <c r="E32" t="s">
        <v>23</v>
      </c>
      <c r="F32" t="s">
        <v>32</v>
      </c>
      <c r="G32" t="s">
        <v>25</v>
      </c>
      <c r="H32">
        <v>2021</v>
      </c>
      <c r="I32" t="s">
        <v>44</v>
      </c>
      <c r="J32">
        <v>3.6296296296296302</v>
      </c>
    </row>
    <row r="33" spans="1:13" x14ac:dyDescent="0.2">
      <c r="A33" t="s">
        <v>42</v>
      </c>
      <c r="B33" t="s">
        <v>43</v>
      </c>
      <c r="C33" t="s">
        <v>28</v>
      </c>
      <c r="D33" t="s">
        <v>16</v>
      </c>
      <c r="E33" t="s">
        <v>23</v>
      </c>
      <c r="F33" t="s">
        <v>32</v>
      </c>
      <c r="G33" t="s">
        <v>25</v>
      </c>
      <c r="H33">
        <v>2021</v>
      </c>
      <c r="I33" t="s">
        <v>44</v>
      </c>
      <c r="J33">
        <v>3.1111111111111112</v>
      </c>
    </row>
    <row r="34" spans="1:13" x14ac:dyDescent="0.2">
      <c r="A34" t="s">
        <v>42</v>
      </c>
      <c r="B34" t="s">
        <v>43</v>
      </c>
      <c r="C34" t="s">
        <v>29</v>
      </c>
      <c r="D34" t="s">
        <v>16</v>
      </c>
      <c r="E34" t="s">
        <v>23</v>
      </c>
      <c r="F34" t="s">
        <v>32</v>
      </c>
      <c r="G34" t="s">
        <v>25</v>
      </c>
      <c r="H34">
        <v>2021</v>
      </c>
      <c r="I34" t="s">
        <v>44</v>
      </c>
      <c r="J34" s="18">
        <v>2.9629629629629619</v>
      </c>
    </row>
    <row r="35" spans="1:13" x14ac:dyDescent="0.2">
      <c r="A35" t="s">
        <v>42</v>
      </c>
      <c r="B35" t="s">
        <v>43</v>
      </c>
      <c r="C35" t="s">
        <v>30</v>
      </c>
      <c r="D35" t="s">
        <v>16</v>
      </c>
      <c r="E35" t="s">
        <v>23</v>
      </c>
      <c r="F35" t="s">
        <v>32</v>
      </c>
      <c r="G35" t="s">
        <v>25</v>
      </c>
      <c r="H35">
        <v>2021</v>
      </c>
      <c r="I35" t="s">
        <v>44</v>
      </c>
      <c r="J35">
        <v>2.4444444444444451</v>
      </c>
    </row>
    <row r="36" spans="1:13" x14ac:dyDescent="0.2">
      <c r="A36" t="s">
        <v>42</v>
      </c>
      <c r="B36" t="s">
        <v>43</v>
      </c>
      <c r="C36" t="s">
        <v>31</v>
      </c>
      <c r="D36" t="s">
        <v>16</v>
      </c>
      <c r="E36" t="s">
        <v>23</v>
      </c>
      <c r="F36" t="s">
        <v>32</v>
      </c>
      <c r="G36" t="s">
        <v>25</v>
      </c>
      <c r="H36">
        <v>2021</v>
      </c>
      <c r="I36" t="s">
        <v>44</v>
      </c>
      <c r="J36">
        <v>1.7037037037037031</v>
      </c>
    </row>
    <row r="37" spans="1:13" x14ac:dyDescent="0.2">
      <c r="A37" t="s">
        <v>42</v>
      </c>
      <c r="B37" t="s">
        <v>43</v>
      </c>
      <c r="C37" t="s">
        <v>22</v>
      </c>
      <c r="D37" t="s">
        <v>15</v>
      </c>
      <c r="E37" t="s">
        <v>35</v>
      </c>
      <c r="F37" t="s">
        <v>18</v>
      </c>
      <c r="G37" t="s">
        <v>19</v>
      </c>
      <c r="H37">
        <v>2021</v>
      </c>
      <c r="I37" t="s">
        <v>44</v>
      </c>
      <c r="J37" s="17">
        <v>0.98799999999999999</v>
      </c>
      <c r="K37" t="s">
        <v>65</v>
      </c>
      <c r="M37" t="s">
        <v>66</v>
      </c>
    </row>
    <row r="38" spans="1:13" x14ac:dyDescent="0.2">
      <c r="A38" t="s">
        <v>42</v>
      </c>
      <c r="B38" t="s">
        <v>43</v>
      </c>
      <c r="C38" t="s">
        <v>27</v>
      </c>
      <c r="D38" t="s">
        <v>15</v>
      </c>
      <c r="E38" t="s">
        <v>35</v>
      </c>
      <c r="F38" t="s">
        <v>18</v>
      </c>
      <c r="G38" t="s">
        <v>19</v>
      </c>
      <c r="H38">
        <v>2021</v>
      </c>
      <c r="I38" t="s">
        <v>44</v>
      </c>
      <c r="J38" s="17">
        <v>0.96299999999999997</v>
      </c>
      <c r="K38" t="s">
        <v>47</v>
      </c>
      <c r="M38" s="19" t="s">
        <v>67</v>
      </c>
    </row>
    <row r="39" spans="1:13" x14ac:dyDescent="0.2">
      <c r="A39" t="s">
        <v>42</v>
      </c>
      <c r="B39" t="s">
        <v>43</v>
      </c>
      <c r="C39" t="s">
        <v>28</v>
      </c>
      <c r="D39" t="s">
        <v>15</v>
      </c>
      <c r="E39" t="s">
        <v>35</v>
      </c>
      <c r="F39" t="s">
        <v>18</v>
      </c>
      <c r="G39" t="s">
        <v>19</v>
      </c>
      <c r="H39">
        <v>2021</v>
      </c>
      <c r="I39" t="s">
        <v>44</v>
      </c>
      <c r="J39" s="17">
        <v>0.98099999999999998</v>
      </c>
      <c r="K39" t="s">
        <v>49</v>
      </c>
      <c r="M39" t="s">
        <v>68</v>
      </c>
    </row>
    <row r="40" spans="1:13" x14ac:dyDescent="0.2">
      <c r="A40" t="s">
        <v>42</v>
      </c>
      <c r="B40" t="s">
        <v>43</v>
      </c>
      <c r="C40" t="s">
        <v>29</v>
      </c>
      <c r="D40" t="s">
        <v>15</v>
      </c>
      <c r="E40" t="s">
        <v>35</v>
      </c>
      <c r="F40" t="s">
        <v>18</v>
      </c>
      <c r="G40" t="s">
        <v>19</v>
      </c>
      <c r="H40">
        <v>2021</v>
      </c>
      <c r="I40" t="s">
        <v>44</v>
      </c>
      <c r="J40" s="17">
        <v>0.99199999999999999</v>
      </c>
      <c r="K40" t="s">
        <v>51</v>
      </c>
      <c r="M40" t="s">
        <v>50</v>
      </c>
    </row>
    <row r="41" spans="1:13" x14ac:dyDescent="0.2">
      <c r="A41" t="s">
        <v>42</v>
      </c>
      <c r="B41" t="s">
        <v>43</v>
      </c>
      <c r="C41" t="s">
        <v>30</v>
      </c>
      <c r="D41" t="s">
        <v>15</v>
      </c>
      <c r="E41" t="s">
        <v>35</v>
      </c>
      <c r="F41" t="s">
        <v>18</v>
      </c>
      <c r="G41" t="s">
        <v>19</v>
      </c>
      <c r="H41">
        <v>2021</v>
      </c>
      <c r="I41" t="s">
        <v>44</v>
      </c>
      <c r="J41" s="17">
        <v>0.98599999999999999</v>
      </c>
      <c r="K41" t="s">
        <v>53</v>
      </c>
    </row>
    <row r="42" spans="1:13" x14ac:dyDescent="0.2">
      <c r="A42" t="s">
        <v>42</v>
      </c>
      <c r="B42" t="s">
        <v>43</v>
      </c>
      <c r="C42" t="s">
        <v>31</v>
      </c>
      <c r="D42" t="s">
        <v>15</v>
      </c>
      <c r="E42" t="s">
        <v>35</v>
      </c>
      <c r="F42" t="s">
        <v>18</v>
      </c>
      <c r="G42" t="s">
        <v>19</v>
      </c>
      <c r="H42">
        <v>2021</v>
      </c>
      <c r="I42" t="s">
        <v>44</v>
      </c>
      <c r="J42" s="17">
        <v>0.98599999999999999</v>
      </c>
      <c r="K42" t="s">
        <v>54</v>
      </c>
    </row>
    <row r="43" spans="1:13" x14ac:dyDescent="0.2">
      <c r="A43" t="s">
        <v>42</v>
      </c>
      <c r="B43" t="s">
        <v>43</v>
      </c>
      <c r="C43" t="s">
        <v>22</v>
      </c>
      <c r="D43" t="s">
        <v>22</v>
      </c>
      <c r="E43" t="s">
        <v>37</v>
      </c>
      <c r="F43" t="s">
        <v>24</v>
      </c>
      <c r="G43" t="s">
        <v>25</v>
      </c>
      <c r="H43">
        <v>2021</v>
      </c>
      <c r="I43" t="s">
        <v>44</v>
      </c>
      <c r="J43">
        <v>4.2</v>
      </c>
      <c r="K43" t="s">
        <v>69</v>
      </c>
      <c r="L43">
        <v>0.1</v>
      </c>
      <c r="M43" t="s">
        <v>70</v>
      </c>
    </row>
    <row r="44" spans="1:13" x14ac:dyDescent="0.2">
      <c r="A44" t="s">
        <v>42</v>
      </c>
      <c r="B44" t="s">
        <v>43</v>
      </c>
      <c r="C44" t="s">
        <v>22</v>
      </c>
      <c r="D44" t="s">
        <v>16</v>
      </c>
      <c r="E44" t="s">
        <v>37</v>
      </c>
      <c r="F44" t="s">
        <v>24</v>
      </c>
      <c r="G44" t="s">
        <v>25</v>
      </c>
      <c r="H44">
        <v>2021</v>
      </c>
      <c r="I44" t="s">
        <v>44</v>
      </c>
      <c r="J44">
        <v>4.0999999999999996</v>
      </c>
      <c r="K44" t="s">
        <v>71</v>
      </c>
      <c r="M44" t="s">
        <v>70</v>
      </c>
    </row>
    <row r="45" spans="1:13" x14ac:dyDescent="0.2">
      <c r="A45" t="s">
        <v>42</v>
      </c>
      <c r="B45" t="s">
        <v>43</v>
      </c>
      <c r="C45" t="s">
        <v>22</v>
      </c>
      <c r="D45" t="s">
        <v>72</v>
      </c>
      <c r="E45" t="s">
        <v>37</v>
      </c>
      <c r="F45" t="s">
        <v>24</v>
      </c>
      <c r="G45" t="s">
        <v>25</v>
      </c>
      <c r="H45">
        <v>2021</v>
      </c>
      <c r="I45" t="s">
        <v>44</v>
      </c>
      <c r="J45">
        <v>4.3</v>
      </c>
      <c r="K45" t="s">
        <v>73</v>
      </c>
      <c r="M45" t="s">
        <v>70</v>
      </c>
    </row>
    <row r="46" spans="1:13" x14ac:dyDescent="0.2">
      <c r="A46" t="s">
        <v>42</v>
      </c>
      <c r="B46" t="s">
        <v>43</v>
      </c>
      <c r="C46" t="s">
        <v>22</v>
      </c>
      <c r="D46" t="s">
        <v>22</v>
      </c>
      <c r="E46" t="s">
        <v>37</v>
      </c>
      <c r="F46" t="s">
        <v>32</v>
      </c>
      <c r="G46" t="s">
        <v>25</v>
      </c>
      <c r="H46">
        <v>2021</v>
      </c>
      <c r="I46" t="s">
        <v>44</v>
      </c>
      <c r="J46">
        <f>(5.5-2.5)/1.35</f>
        <v>2.2222222222222219</v>
      </c>
      <c r="M46" t="s">
        <v>74</v>
      </c>
    </row>
    <row r="47" spans="1:13" x14ac:dyDescent="0.2">
      <c r="A47" t="s">
        <v>42</v>
      </c>
      <c r="B47" t="s">
        <v>43</v>
      </c>
      <c r="C47" t="s">
        <v>22</v>
      </c>
      <c r="D47" t="s">
        <v>16</v>
      </c>
      <c r="E47" t="s">
        <v>37</v>
      </c>
      <c r="F47" t="s">
        <v>32</v>
      </c>
      <c r="G47" t="s">
        <v>25</v>
      </c>
      <c r="H47">
        <v>2021</v>
      </c>
      <c r="I47" t="s">
        <v>44</v>
      </c>
      <c r="J47">
        <f>(5.4-2.4)/1.35</f>
        <v>2.2222222222222223</v>
      </c>
      <c r="M47" t="s">
        <v>74</v>
      </c>
    </row>
    <row r="48" spans="1:13" x14ac:dyDescent="0.2">
      <c r="A48" t="s">
        <v>42</v>
      </c>
      <c r="B48" t="s">
        <v>43</v>
      </c>
      <c r="C48" t="s">
        <v>22</v>
      </c>
      <c r="D48" t="s">
        <v>72</v>
      </c>
      <c r="E48" t="s">
        <v>37</v>
      </c>
      <c r="F48" t="s">
        <v>32</v>
      </c>
      <c r="G48" t="s">
        <v>25</v>
      </c>
      <c r="H48">
        <v>2021</v>
      </c>
      <c r="I48" t="s">
        <v>44</v>
      </c>
      <c r="J48">
        <f>(5.6-2.5)/1.35</f>
        <v>2.2962962962962958</v>
      </c>
      <c r="M48" t="s">
        <v>74</v>
      </c>
    </row>
    <row r="49" spans="1:13" ht="144.75" customHeight="1" x14ac:dyDescent="0.2">
      <c r="A49" t="s">
        <v>42</v>
      </c>
      <c r="B49" t="s">
        <v>43</v>
      </c>
      <c r="C49" t="s">
        <v>22</v>
      </c>
      <c r="D49" t="s">
        <v>22</v>
      </c>
      <c r="E49" t="s">
        <v>39</v>
      </c>
      <c r="F49" t="s">
        <v>18</v>
      </c>
      <c r="G49" t="s">
        <v>19</v>
      </c>
      <c r="H49">
        <v>2021</v>
      </c>
      <c r="I49" t="s">
        <v>44</v>
      </c>
      <c r="J49" s="21">
        <v>0.97961264016309901</v>
      </c>
      <c r="K49" s="17"/>
      <c r="L49" s="17"/>
      <c r="M49" s="5" t="s">
        <v>75</v>
      </c>
    </row>
    <row r="50" spans="1:13" x14ac:dyDescent="0.2">
      <c r="A50" t="s">
        <v>42</v>
      </c>
      <c r="B50" t="s">
        <v>43</v>
      </c>
      <c r="C50" t="s">
        <v>27</v>
      </c>
      <c r="D50" t="s">
        <v>15</v>
      </c>
      <c r="E50" t="s">
        <v>39</v>
      </c>
      <c r="F50" t="s">
        <v>18</v>
      </c>
      <c r="G50" t="s">
        <v>19</v>
      </c>
      <c r="H50">
        <v>2021</v>
      </c>
      <c r="I50" t="s">
        <v>44</v>
      </c>
      <c r="J50" s="17">
        <v>0.96573208722741399</v>
      </c>
    </row>
    <row r="51" spans="1:13" x14ac:dyDescent="0.2">
      <c r="A51" t="s">
        <v>42</v>
      </c>
      <c r="B51" t="s">
        <v>43</v>
      </c>
      <c r="C51" t="s">
        <v>28</v>
      </c>
      <c r="D51" t="s">
        <v>15</v>
      </c>
      <c r="E51" t="s">
        <v>39</v>
      </c>
      <c r="F51" t="s">
        <v>18</v>
      </c>
      <c r="G51" t="s">
        <v>19</v>
      </c>
      <c r="H51">
        <v>2021</v>
      </c>
      <c r="I51" t="s">
        <v>44</v>
      </c>
      <c r="J51" s="7">
        <v>0.9785932721712538</v>
      </c>
    </row>
    <row r="52" spans="1:13" x14ac:dyDescent="0.2">
      <c r="A52" t="s">
        <v>42</v>
      </c>
      <c r="B52" t="s">
        <v>43</v>
      </c>
      <c r="C52" t="s">
        <v>29</v>
      </c>
      <c r="D52" t="s">
        <v>15</v>
      </c>
      <c r="E52" t="s">
        <v>39</v>
      </c>
      <c r="F52" t="s">
        <v>18</v>
      </c>
      <c r="G52" t="s">
        <v>19</v>
      </c>
      <c r="H52">
        <v>2021</v>
      </c>
      <c r="I52" t="s">
        <v>44</v>
      </c>
      <c r="J52" s="20">
        <v>0.98084677419354838</v>
      </c>
    </row>
    <row r="53" spans="1:13" x14ac:dyDescent="0.2">
      <c r="A53" t="s">
        <v>42</v>
      </c>
      <c r="B53" t="s">
        <v>43</v>
      </c>
      <c r="C53" t="s">
        <v>30</v>
      </c>
      <c r="D53" t="s">
        <v>15</v>
      </c>
      <c r="E53" t="s">
        <v>39</v>
      </c>
      <c r="F53" t="s">
        <v>18</v>
      </c>
      <c r="G53" t="s">
        <v>19</v>
      </c>
      <c r="H53">
        <v>2021</v>
      </c>
      <c r="I53" t="s">
        <v>44</v>
      </c>
      <c r="J53" s="7">
        <v>0.98884381338742389</v>
      </c>
    </row>
    <row r="54" spans="1:13" x14ac:dyDescent="0.2">
      <c r="A54" t="s">
        <v>42</v>
      </c>
      <c r="B54" t="s">
        <v>43</v>
      </c>
      <c r="C54" t="s">
        <v>31</v>
      </c>
      <c r="D54" t="s">
        <v>15</v>
      </c>
      <c r="E54" t="s">
        <v>39</v>
      </c>
      <c r="F54" t="s">
        <v>18</v>
      </c>
      <c r="G54" t="s">
        <v>19</v>
      </c>
      <c r="H54">
        <v>2021</v>
      </c>
      <c r="I54" t="s">
        <v>44</v>
      </c>
      <c r="J54" s="20">
        <v>0.98377281947261663</v>
      </c>
    </row>
    <row r="55" spans="1:13" ht="57.75" customHeight="1" x14ac:dyDescent="0.2">
      <c r="A55" t="s">
        <v>76</v>
      </c>
      <c r="B55" t="s">
        <v>77</v>
      </c>
      <c r="C55" t="s">
        <v>22</v>
      </c>
      <c r="D55" t="s">
        <v>15</v>
      </c>
      <c r="E55" t="s">
        <v>39</v>
      </c>
      <c r="F55" t="s">
        <v>18</v>
      </c>
      <c r="G55" t="s">
        <v>19</v>
      </c>
      <c r="H55">
        <v>2024</v>
      </c>
      <c r="I55" t="s">
        <v>78</v>
      </c>
      <c r="J55" s="21">
        <v>0.45</v>
      </c>
      <c r="M55" s="5" t="s">
        <v>79</v>
      </c>
    </row>
    <row r="56" spans="1:13" ht="15" customHeight="1" x14ac:dyDescent="0.2">
      <c r="A56" t="s">
        <v>42</v>
      </c>
      <c r="B56" t="s">
        <v>77</v>
      </c>
      <c r="C56" t="s">
        <v>15</v>
      </c>
      <c r="D56" t="s">
        <v>15</v>
      </c>
      <c r="E56" t="s">
        <v>39</v>
      </c>
      <c r="F56" t="s">
        <v>18</v>
      </c>
      <c r="G56" t="s">
        <v>19</v>
      </c>
      <c r="I56" t="s">
        <v>80</v>
      </c>
      <c r="J56" s="7">
        <v>0.74</v>
      </c>
      <c r="M56" s="5" t="s">
        <v>81</v>
      </c>
    </row>
    <row r="57" spans="1:13" ht="43.5" customHeight="1" x14ac:dyDescent="0.2">
      <c r="A57" t="s">
        <v>42</v>
      </c>
      <c r="B57" t="s">
        <v>77</v>
      </c>
      <c r="C57" t="s">
        <v>22</v>
      </c>
      <c r="D57" t="s">
        <v>16</v>
      </c>
      <c r="E57" t="s">
        <v>23</v>
      </c>
      <c r="F57" t="s">
        <v>24</v>
      </c>
      <c r="G57" t="s">
        <v>25</v>
      </c>
      <c r="H57">
        <v>2021</v>
      </c>
      <c r="I57" t="s">
        <v>44</v>
      </c>
      <c r="J57">
        <f>61.2*J63</f>
        <v>32.803200000000004</v>
      </c>
      <c r="M57" s="5" t="s">
        <v>82</v>
      </c>
    </row>
    <row r="58" spans="1:13" ht="43.5" customHeight="1" x14ac:dyDescent="0.2">
      <c r="A58" t="s">
        <v>42</v>
      </c>
      <c r="B58" t="s">
        <v>77</v>
      </c>
      <c r="C58" t="s">
        <v>27</v>
      </c>
      <c r="D58" t="s">
        <v>16</v>
      </c>
      <c r="E58" t="s">
        <v>23</v>
      </c>
      <c r="F58" t="s">
        <v>24</v>
      </c>
      <c r="G58" t="s">
        <v>25</v>
      </c>
      <c r="H58">
        <v>2021</v>
      </c>
      <c r="I58" t="s">
        <v>44</v>
      </c>
      <c r="J58">
        <f>34.2*J64</f>
        <v>11.491200000000001</v>
      </c>
      <c r="M58" s="5" t="s">
        <v>82</v>
      </c>
    </row>
    <row r="59" spans="1:13" ht="43.5" customHeight="1" x14ac:dyDescent="0.2">
      <c r="A59" t="s">
        <v>42</v>
      </c>
      <c r="B59" t="s">
        <v>77</v>
      </c>
      <c r="C59" t="s">
        <v>28</v>
      </c>
      <c r="D59" t="s">
        <v>16</v>
      </c>
      <c r="E59" t="s">
        <v>23</v>
      </c>
      <c r="F59" t="s">
        <v>24</v>
      </c>
      <c r="G59" t="s">
        <v>25</v>
      </c>
      <c r="H59">
        <v>2021</v>
      </c>
      <c r="I59" t="s">
        <v>44</v>
      </c>
      <c r="J59">
        <f>52.4*J65</f>
        <v>23.475200000000001</v>
      </c>
      <c r="M59" s="5" t="s">
        <v>82</v>
      </c>
    </row>
    <row r="60" spans="1:13" ht="43.5" customHeight="1" x14ac:dyDescent="0.2">
      <c r="A60" t="s">
        <v>42</v>
      </c>
      <c r="B60" t="s">
        <v>77</v>
      </c>
      <c r="C60" t="s">
        <v>29</v>
      </c>
      <c r="D60" t="s">
        <v>16</v>
      </c>
      <c r="E60" t="s">
        <v>23</v>
      </c>
      <c r="F60" t="s">
        <v>24</v>
      </c>
      <c r="G60" t="s">
        <v>25</v>
      </c>
      <c r="H60">
        <v>2021</v>
      </c>
      <c r="I60" t="s">
        <v>44</v>
      </c>
      <c r="J60">
        <f>60.7*J66</f>
        <v>33.142200000000003</v>
      </c>
      <c r="M60" s="5" t="s">
        <v>82</v>
      </c>
    </row>
    <row r="61" spans="1:13" ht="43.5" customHeight="1" x14ac:dyDescent="0.2">
      <c r="A61" t="s">
        <v>42</v>
      </c>
      <c r="B61" t="s">
        <v>77</v>
      </c>
      <c r="C61" t="s">
        <v>30</v>
      </c>
      <c r="D61" t="s">
        <v>16</v>
      </c>
      <c r="E61" t="s">
        <v>23</v>
      </c>
      <c r="F61" t="s">
        <v>24</v>
      </c>
      <c r="G61" t="s">
        <v>25</v>
      </c>
      <c r="H61">
        <v>2021</v>
      </c>
      <c r="I61" t="s">
        <v>44</v>
      </c>
      <c r="J61">
        <f>73.7*J67</f>
        <v>46.652100000000004</v>
      </c>
      <c r="M61" s="5" t="s">
        <v>82</v>
      </c>
    </row>
    <row r="62" spans="1:13" ht="43.5" customHeight="1" x14ac:dyDescent="0.2">
      <c r="A62" t="s">
        <v>42</v>
      </c>
      <c r="B62" t="s">
        <v>77</v>
      </c>
      <c r="C62" t="s">
        <v>31</v>
      </c>
      <c r="D62" t="s">
        <v>16</v>
      </c>
      <c r="E62" t="s">
        <v>23</v>
      </c>
      <c r="F62" t="s">
        <v>24</v>
      </c>
      <c r="G62" t="s">
        <v>25</v>
      </c>
      <c r="H62">
        <v>2021</v>
      </c>
      <c r="I62" t="s">
        <v>44</v>
      </c>
      <c r="J62">
        <f>79.5*J68</f>
        <v>53.742000000000004</v>
      </c>
      <c r="M62" s="5" t="s">
        <v>82</v>
      </c>
    </row>
    <row r="63" spans="1:13" ht="29.25" customHeight="1" x14ac:dyDescent="0.2">
      <c r="A63" t="s">
        <v>42</v>
      </c>
      <c r="B63" t="s">
        <v>77</v>
      </c>
      <c r="C63" t="s">
        <v>22</v>
      </c>
      <c r="D63" t="s">
        <v>16</v>
      </c>
      <c r="E63" t="s">
        <v>17</v>
      </c>
      <c r="F63" t="s">
        <v>18</v>
      </c>
      <c r="G63" t="s">
        <v>19</v>
      </c>
      <c r="I63" t="s">
        <v>83</v>
      </c>
      <c r="J63" s="21">
        <v>0.53600000000000003</v>
      </c>
      <c r="M63" s="5" t="s">
        <v>84</v>
      </c>
    </row>
    <row r="64" spans="1:13" x14ac:dyDescent="0.2">
      <c r="A64" t="s">
        <v>42</v>
      </c>
      <c r="B64" t="s">
        <v>77</v>
      </c>
      <c r="C64" t="s">
        <v>27</v>
      </c>
      <c r="D64" t="s">
        <v>16</v>
      </c>
      <c r="E64" t="s">
        <v>17</v>
      </c>
      <c r="F64" t="s">
        <v>18</v>
      </c>
      <c r="G64" t="s">
        <v>19</v>
      </c>
      <c r="I64" t="s">
        <v>83</v>
      </c>
      <c r="J64" s="21">
        <v>0.33600000000000002</v>
      </c>
    </row>
    <row r="65" spans="1:13" x14ac:dyDescent="0.2">
      <c r="A65" t="s">
        <v>42</v>
      </c>
      <c r="B65" t="s">
        <v>77</v>
      </c>
      <c r="C65" t="s">
        <v>28</v>
      </c>
      <c r="D65" t="s">
        <v>16</v>
      </c>
      <c r="E65" t="s">
        <v>17</v>
      </c>
      <c r="F65" t="s">
        <v>18</v>
      </c>
      <c r="G65" t="s">
        <v>19</v>
      </c>
      <c r="I65" t="s">
        <v>83</v>
      </c>
      <c r="J65" s="21">
        <v>0.44800000000000001</v>
      </c>
    </row>
    <row r="66" spans="1:13" x14ac:dyDescent="0.2">
      <c r="A66" t="s">
        <v>42</v>
      </c>
      <c r="B66" t="s">
        <v>77</v>
      </c>
      <c r="C66" t="s">
        <v>29</v>
      </c>
      <c r="D66" t="s">
        <v>16</v>
      </c>
      <c r="E66" t="s">
        <v>17</v>
      </c>
      <c r="F66" t="s">
        <v>18</v>
      </c>
      <c r="G66" t="s">
        <v>19</v>
      </c>
      <c r="I66" t="s">
        <v>83</v>
      </c>
      <c r="J66" s="21">
        <v>0.54600000000000004</v>
      </c>
    </row>
    <row r="67" spans="1:13" x14ac:dyDescent="0.2">
      <c r="A67" t="s">
        <v>42</v>
      </c>
      <c r="B67" t="s">
        <v>77</v>
      </c>
      <c r="C67" t="s">
        <v>30</v>
      </c>
      <c r="D67" t="s">
        <v>16</v>
      </c>
      <c r="E67" t="s">
        <v>17</v>
      </c>
      <c r="F67" t="s">
        <v>18</v>
      </c>
      <c r="G67" t="s">
        <v>19</v>
      </c>
      <c r="I67" t="s">
        <v>83</v>
      </c>
      <c r="J67" s="21">
        <v>0.63300000000000001</v>
      </c>
    </row>
    <row r="68" spans="1:13" x14ac:dyDescent="0.2">
      <c r="A68" t="s">
        <v>42</v>
      </c>
      <c r="B68" t="s">
        <v>77</v>
      </c>
      <c r="C68" t="s">
        <v>31</v>
      </c>
      <c r="D68" t="s">
        <v>16</v>
      </c>
      <c r="E68" t="s">
        <v>17</v>
      </c>
      <c r="F68" t="s">
        <v>18</v>
      </c>
      <c r="G68" t="s">
        <v>19</v>
      </c>
      <c r="I68" t="s">
        <v>83</v>
      </c>
      <c r="J68" s="21">
        <v>0.67600000000000005</v>
      </c>
    </row>
    <row r="69" spans="1:13" ht="29.25" customHeight="1" x14ac:dyDescent="0.2">
      <c r="A69" t="s">
        <v>42</v>
      </c>
      <c r="B69" t="s">
        <v>77</v>
      </c>
      <c r="C69" t="s">
        <v>22</v>
      </c>
      <c r="D69" t="s">
        <v>16</v>
      </c>
      <c r="E69" t="s">
        <v>23</v>
      </c>
      <c r="F69" t="s">
        <v>32</v>
      </c>
      <c r="G69" t="s">
        <v>25</v>
      </c>
      <c r="H69">
        <v>2021</v>
      </c>
      <c r="I69" t="s">
        <v>44</v>
      </c>
      <c r="J69">
        <f>(84.6-30.5)/1.35</f>
        <v>40.074074074074069</v>
      </c>
      <c r="M69" s="5" t="s">
        <v>85</v>
      </c>
    </row>
    <row r="70" spans="1:13" x14ac:dyDescent="0.2">
      <c r="A70" t="s">
        <v>42</v>
      </c>
      <c r="B70" t="s">
        <v>77</v>
      </c>
      <c r="C70" t="s">
        <v>27</v>
      </c>
      <c r="D70" t="s">
        <v>16</v>
      </c>
      <c r="E70" t="s">
        <v>23</v>
      </c>
      <c r="F70" t="s">
        <v>32</v>
      </c>
      <c r="G70" t="s">
        <v>25</v>
      </c>
      <c r="H70">
        <v>2021</v>
      </c>
      <c r="I70" t="s">
        <v>44</v>
      </c>
      <c r="J70">
        <f>(47.2-13.7)/1.35</f>
        <v>24.814814814814813</v>
      </c>
    </row>
    <row r="71" spans="1:13" x14ac:dyDescent="0.2">
      <c r="A71" t="s">
        <v>42</v>
      </c>
      <c r="B71" t="s">
        <v>77</v>
      </c>
      <c r="C71" t="s">
        <v>28</v>
      </c>
      <c r="D71" t="s">
        <v>16</v>
      </c>
      <c r="E71" t="s">
        <v>23</v>
      </c>
      <c r="F71" t="s">
        <v>32</v>
      </c>
      <c r="G71" t="s">
        <v>25</v>
      </c>
      <c r="H71">
        <v>2021</v>
      </c>
      <c r="I71" t="s">
        <v>44</v>
      </c>
      <c r="J71">
        <f>(71.4-26.4)/1.35</f>
        <v>33.333333333333336</v>
      </c>
    </row>
    <row r="72" spans="1:13" x14ac:dyDescent="0.2">
      <c r="A72" t="s">
        <v>42</v>
      </c>
      <c r="B72" t="s">
        <v>77</v>
      </c>
      <c r="C72" t="s">
        <v>29</v>
      </c>
      <c r="D72" t="s">
        <v>16</v>
      </c>
      <c r="E72" t="s">
        <v>23</v>
      </c>
      <c r="F72" t="s">
        <v>32</v>
      </c>
      <c r="G72" t="s">
        <v>25</v>
      </c>
      <c r="H72">
        <v>2021</v>
      </c>
      <c r="I72" t="s">
        <v>44</v>
      </c>
      <c r="J72">
        <f>(81.1-33.8)/1.35</f>
        <v>35.037037037037031</v>
      </c>
    </row>
    <row r="73" spans="1:13" x14ac:dyDescent="0.2">
      <c r="A73" t="s">
        <v>42</v>
      </c>
      <c r="B73" t="s">
        <v>77</v>
      </c>
      <c r="C73" t="s">
        <v>30</v>
      </c>
      <c r="D73" t="s">
        <v>16</v>
      </c>
      <c r="E73" t="s">
        <v>23</v>
      </c>
      <c r="F73" t="s">
        <v>32</v>
      </c>
      <c r="G73" t="s">
        <v>25</v>
      </c>
      <c r="H73">
        <v>2021</v>
      </c>
      <c r="I73" t="s">
        <v>44</v>
      </c>
      <c r="J73">
        <f>(96.3-45.3)/1.35</f>
        <v>37.777777777777779</v>
      </c>
    </row>
    <row r="74" spans="1:13" x14ac:dyDescent="0.2">
      <c r="A74" t="s">
        <v>42</v>
      </c>
      <c r="B74" t="s">
        <v>77</v>
      </c>
      <c r="C74" t="s">
        <v>31</v>
      </c>
      <c r="D74" t="s">
        <v>16</v>
      </c>
      <c r="E74" t="s">
        <v>23</v>
      </c>
      <c r="F74" t="s">
        <v>32</v>
      </c>
      <c r="G74" t="s">
        <v>25</v>
      </c>
      <c r="H74">
        <v>2021</v>
      </c>
      <c r="I74" t="s">
        <v>44</v>
      </c>
      <c r="J74">
        <f>(103.1-50.4)/1.35</f>
        <v>39.037037037037031</v>
      </c>
    </row>
    <row r="75" spans="1:13" ht="43.5" customHeight="1" x14ac:dyDescent="0.2">
      <c r="A75" t="s">
        <v>42</v>
      </c>
      <c r="B75" t="s">
        <v>77</v>
      </c>
      <c r="C75" t="s">
        <v>22</v>
      </c>
      <c r="D75" t="s">
        <v>22</v>
      </c>
      <c r="E75" t="s">
        <v>37</v>
      </c>
      <c r="F75" t="s">
        <v>24</v>
      </c>
      <c r="G75" t="s">
        <v>25</v>
      </c>
      <c r="H75">
        <v>2021</v>
      </c>
      <c r="I75" t="s">
        <v>44</v>
      </c>
      <c r="J75">
        <f>38.3*J81</f>
        <v>20.5288</v>
      </c>
      <c r="M75" s="5" t="s">
        <v>86</v>
      </c>
    </row>
    <row r="76" spans="1:13" ht="43.5" customHeight="1" x14ac:dyDescent="0.2">
      <c r="A76" t="s">
        <v>42</v>
      </c>
      <c r="B76" t="s">
        <v>77</v>
      </c>
      <c r="C76" t="s">
        <v>22</v>
      </c>
      <c r="D76" t="s">
        <v>16</v>
      </c>
      <c r="E76" t="s">
        <v>37</v>
      </c>
      <c r="F76" t="s">
        <v>24</v>
      </c>
      <c r="G76" t="s">
        <v>25</v>
      </c>
      <c r="H76">
        <v>2021</v>
      </c>
      <c r="I76" t="s">
        <v>44</v>
      </c>
      <c r="J76">
        <f>35.5*J81</f>
        <v>19.028000000000002</v>
      </c>
      <c r="M76" s="5" t="s">
        <v>86</v>
      </c>
    </row>
    <row r="77" spans="1:13" ht="43.5" customHeight="1" x14ac:dyDescent="0.2">
      <c r="A77" t="s">
        <v>42</v>
      </c>
      <c r="B77" t="s">
        <v>77</v>
      </c>
      <c r="C77" t="s">
        <v>22</v>
      </c>
      <c r="D77" t="s">
        <v>72</v>
      </c>
      <c r="E77" t="s">
        <v>37</v>
      </c>
      <c r="F77" t="s">
        <v>24</v>
      </c>
      <c r="G77" t="s">
        <v>25</v>
      </c>
      <c r="H77">
        <v>2021</v>
      </c>
      <c r="I77" t="s">
        <v>44</v>
      </c>
      <c r="J77">
        <f>41*J81</f>
        <v>21.976000000000003</v>
      </c>
      <c r="M77" s="5" t="s">
        <v>86</v>
      </c>
    </row>
    <row r="78" spans="1:13" ht="29.25" customHeight="1" x14ac:dyDescent="0.2">
      <c r="A78" t="s">
        <v>42</v>
      </c>
      <c r="B78" t="s">
        <v>77</v>
      </c>
      <c r="C78" t="s">
        <v>22</v>
      </c>
      <c r="D78" t="s">
        <v>22</v>
      </c>
      <c r="E78" t="s">
        <v>37</v>
      </c>
      <c r="F78" t="s">
        <v>32</v>
      </c>
      <c r="G78" t="s">
        <v>25</v>
      </c>
      <c r="H78">
        <v>2021</v>
      </c>
      <c r="I78" t="s">
        <v>44</v>
      </c>
      <c r="J78">
        <f>(53.6-19)/1.35</f>
        <v>25.62962962962963</v>
      </c>
      <c r="M78" s="5" t="s">
        <v>87</v>
      </c>
    </row>
    <row r="79" spans="1:13" ht="29.25" customHeight="1" x14ac:dyDescent="0.2">
      <c r="A79" t="s">
        <v>42</v>
      </c>
      <c r="B79" t="s">
        <v>77</v>
      </c>
      <c r="C79" t="s">
        <v>22</v>
      </c>
      <c r="D79" t="s">
        <v>16</v>
      </c>
      <c r="E79" t="s">
        <v>37</v>
      </c>
      <c r="F79" t="s">
        <v>32</v>
      </c>
      <c r="G79" t="s">
        <v>25</v>
      </c>
      <c r="H79">
        <v>2021</v>
      </c>
      <c r="I79" t="s">
        <v>44</v>
      </c>
      <c r="J79">
        <f>(49.5-17.1)/1.35</f>
        <v>23.999999999999996</v>
      </c>
      <c r="M79" s="5" t="s">
        <v>87</v>
      </c>
    </row>
    <row r="80" spans="1:13" ht="29.25" customHeight="1" x14ac:dyDescent="0.2">
      <c r="A80" t="s">
        <v>42</v>
      </c>
      <c r="B80" t="s">
        <v>77</v>
      </c>
      <c r="C80" t="s">
        <v>22</v>
      </c>
      <c r="D80" t="s">
        <v>72</v>
      </c>
      <c r="E80" t="s">
        <v>37</v>
      </c>
      <c r="F80" t="s">
        <v>32</v>
      </c>
      <c r="G80" t="s">
        <v>25</v>
      </c>
      <c r="H80">
        <v>2021</v>
      </c>
      <c r="I80" t="s">
        <v>44</v>
      </c>
      <c r="J80">
        <f>(57.6-20.7)/1.35</f>
        <v>27.333333333333336</v>
      </c>
      <c r="M80" s="5" t="s">
        <v>87</v>
      </c>
    </row>
    <row r="81" spans="1:13" ht="29.25" customHeight="1" x14ac:dyDescent="0.2">
      <c r="A81" t="s">
        <v>42</v>
      </c>
      <c r="B81" t="s">
        <v>77</v>
      </c>
      <c r="C81" t="s">
        <v>22</v>
      </c>
      <c r="D81" t="s">
        <v>15</v>
      </c>
      <c r="E81" t="s">
        <v>35</v>
      </c>
      <c r="F81" t="s">
        <v>18</v>
      </c>
      <c r="G81" t="s">
        <v>19</v>
      </c>
      <c r="I81" t="s">
        <v>83</v>
      </c>
      <c r="J81" s="21">
        <v>0.53600000000000003</v>
      </c>
      <c r="M81" s="5" t="s">
        <v>84</v>
      </c>
    </row>
    <row r="82" spans="1:13" x14ac:dyDescent="0.2">
      <c r="A82" t="s">
        <v>42</v>
      </c>
      <c r="B82" t="s">
        <v>77</v>
      </c>
      <c r="C82" t="s">
        <v>27</v>
      </c>
      <c r="D82" t="s">
        <v>15</v>
      </c>
      <c r="E82" t="s">
        <v>35</v>
      </c>
      <c r="F82" t="s">
        <v>18</v>
      </c>
      <c r="G82" t="s">
        <v>19</v>
      </c>
      <c r="I82" t="s">
        <v>83</v>
      </c>
      <c r="J82" s="21">
        <v>0.33600000000000002</v>
      </c>
    </row>
    <row r="83" spans="1:13" x14ac:dyDescent="0.2">
      <c r="A83" t="s">
        <v>42</v>
      </c>
      <c r="B83" t="s">
        <v>77</v>
      </c>
      <c r="C83" t="s">
        <v>28</v>
      </c>
      <c r="D83" t="s">
        <v>15</v>
      </c>
      <c r="E83" t="s">
        <v>35</v>
      </c>
      <c r="F83" t="s">
        <v>18</v>
      </c>
      <c r="G83" t="s">
        <v>19</v>
      </c>
      <c r="I83" t="s">
        <v>83</v>
      </c>
      <c r="J83" s="21">
        <v>0.44800000000000001</v>
      </c>
    </row>
    <row r="84" spans="1:13" x14ac:dyDescent="0.2">
      <c r="A84" t="s">
        <v>42</v>
      </c>
      <c r="B84" t="s">
        <v>77</v>
      </c>
      <c r="C84" t="s">
        <v>29</v>
      </c>
      <c r="D84" t="s">
        <v>15</v>
      </c>
      <c r="E84" t="s">
        <v>35</v>
      </c>
      <c r="F84" t="s">
        <v>18</v>
      </c>
      <c r="G84" t="s">
        <v>19</v>
      </c>
      <c r="I84" t="s">
        <v>83</v>
      </c>
      <c r="J84" s="21">
        <v>0.54600000000000004</v>
      </c>
    </row>
    <row r="85" spans="1:13" x14ac:dyDescent="0.2">
      <c r="A85" t="s">
        <v>42</v>
      </c>
      <c r="B85" t="s">
        <v>77</v>
      </c>
      <c r="C85" t="s">
        <v>30</v>
      </c>
      <c r="D85" t="s">
        <v>15</v>
      </c>
      <c r="E85" t="s">
        <v>35</v>
      </c>
      <c r="F85" t="s">
        <v>18</v>
      </c>
      <c r="G85" t="s">
        <v>19</v>
      </c>
      <c r="I85" t="s">
        <v>83</v>
      </c>
      <c r="J85" s="21">
        <v>0.63300000000000001</v>
      </c>
    </row>
    <row r="86" spans="1:13" x14ac:dyDescent="0.2">
      <c r="A86" t="s">
        <v>42</v>
      </c>
      <c r="B86" t="s">
        <v>77</v>
      </c>
      <c r="C86" t="s">
        <v>31</v>
      </c>
      <c r="D86" t="s">
        <v>15</v>
      </c>
      <c r="E86" t="s">
        <v>35</v>
      </c>
      <c r="F86" t="s">
        <v>18</v>
      </c>
      <c r="G86" t="s">
        <v>19</v>
      </c>
      <c r="I86" t="s">
        <v>83</v>
      </c>
      <c r="J86" s="21">
        <v>0.67600000000000005</v>
      </c>
    </row>
    <row r="87" spans="1:13" x14ac:dyDescent="0.2">
      <c r="A87" t="s">
        <v>42</v>
      </c>
      <c r="B87" t="s">
        <v>14</v>
      </c>
      <c r="C87" t="s">
        <v>22</v>
      </c>
      <c r="D87" t="s">
        <v>16</v>
      </c>
      <c r="E87" t="s">
        <v>17</v>
      </c>
      <c r="F87" t="s">
        <v>18</v>
      </c>
      <c r="G87" t="s">
        <v>19</v>
      </c>
      <c r="H87">
        <v>2021</v>
      </c>
      <c r="I87" t="s">
        <v>88</v>
      </c>
      <c r="J87">
        <v>0.99299999999999999</v>
      </c>
      <c r="M87" t="s">
        <v>89</v>
      </c>
    </row>
    <row r="88" spans="1:13" x14ac:dyDescent="0.2">
      <c r="A88" t="s">
        <v>42</v>
      </c>
      <c r="B88" t="s">
        <v>14</v>
      </c>
      <c r="C88" t="s">
        <v>27</v>
      </c>
      <c r="D88" t="s">
        <v>16</v>
      </c>
      <c r="E88" t="s">
        <v>17</v>
      </c>
      <c r="F88" t="s">
        <v>18</v>
      </c>
      <c r="G88" t="s">
        <v>19</v>
      </c>
      <c r="H88">
        <v>2021</v>
      </c>
      <c r="I88" t="s">
        <v>88</v>
      </c>
      <c r="J88">
        <v>0.995</v>
      </c>
    </row>
    <row r="89" spans="1:13" x14ac:dyDescent="0.2">
      <c r="A89" t="s">
        <v>42</v>
      </c>
      <c r="B89" t="s">
        <v>14</v>
      </c>
      <c r="C89" t="s">
        <v>28</v>
      </c>
      <c r="D89" t="s">
        <v>16</v>
      </c>
      <c r="E89" t="s">
        <v>17</v>
      </c>
      <c r="F89" t="s">
        <v>18</v>
      </c>
      <c r="G89" t="s">
        <v>19</v>
      </c>
      <c r="H89">
        <v>2021</v>
      </c>
      <c r="I89" t="s">
        <v>88</v>
      </c>
      <c r="J89">
        <v>0.997</v>
      </c>
    </row>
    <row r="90" spans="1:13" x14ac:dyDescent="0.2">
      <c r="A90" t="s">
        <v>42</v>
      </c>
      <c r="B90" t="s">
        <v>14</v>
      </c>
      <c r="C90" t="s">
        <v>29</v>
      </c>
      <c r="D90" t="s">
        <v>16</v>
      </c>
      <c r="E90" t="s">
        <v>17</v>
      </c>
      <c r="F90" t="s">
        <v>18</v>
      </c>
      <c r="G90" t="s">
        <v>19</v>
      </c>
      <c r="H90">
        <v>2021</v>
      </c>
      <c r="I90" t="s">
        <v>88</v>
      </c>
      <c r="J90">
        <v>0.995</v>
      </c>
    </row>
    <row r="91" spans="1:13" ht="15" customHeight="1" x14ac:dyDescent="0.2">
      <c r="A91" t="s">
        <v>42</v>
      </c>
      <c r="B91" t="s">
        <v>14</v>
      </c>
      <c r="C91" t="s">
        <v>30</v>
      </c>
      <c r="D91" t="s">
        <v>16</v>
      </c>
      <c r="E91" t="s">
        <v>17</v>
      </c>
      <c r="F91" t="s">
        <v>18</v>
      </c>
      <c r="G91" t="s">
        <v>19</v>
      </c>
      <c r="H91">
        <v>2021</v>
      </c>
      <c r="I91" t="s">
        <v>88</v>
      </c>
      <c r="J91">
        <v>0.99399999999999999</v>
      </c>
    </row>
    <row r="92" spans="1:13" ht="15" customHeight="1" x14ac:dyDescent="0.2">
      <c r="A92" t="s">
        <v>42</v>
      </c>
      <c r="B92" t="s">
        <v>14</v>
      </c>
      <c r="C92" t="s">
        <v>31</v>
      </c>
      <c r="D92" t="s">
        <v>16</v>
      </c>
      <c r="E92" t="s">
        <v>17</v>
      </c>
      <c r="F92" t="s">
        <v>18</v>
      </c>
      <c r="G92" t="s">
        <v>19</v>
      </c>
      <c r="H92">
        <v>2021</v>
      </c>
      <c r="I92" t="s">
        <v>88</v>
      </c>
      <c r="J92">
        <v>0.98499999999999999</v>
      </c>
    </row>
    <row r="93" spans="1:13" x14ac:dyDescent="0.2">
      <c r="A93" t="s">
        <v>42</v>
      </c>
      <c r="B93" t="s">
        <v>14</v>
      </c>
      <c r="C93" t="s">
        <v>22</v>
      </c>
      <c r="D93" t="s">
        <v>16</v>
      </c>
      <c r="E93" t="s">
        <v>23</v>
      </c>
      <c r="F93" t="s">
        <v>24</v>
      </c>
      <c r="G93" t="s">
        <v>25</v>
      </c>
      <c r="H93">
        <v>2021</v>
      </c>
      <c r="I93" t="s">
        <v>88</v>
      </c>
      <c r="J93">
        <v>3.9</v>
      </c>
      <c r="M93" t="s">
        <v>90</v>
      </c>
    </row>
    <row r="94" spans="1:13" x14ac:dyDescent="0.2">
      <c r="A94" t="s">
        <v>42</v>
      </c>
      <c r="B94" t="s">
        <v>14</v>
      </c>
      <c r="C94" t="s">
        <v>27</v>
      </c>
      <c r="D94" t="s">
        <v>16</v>
      </c>
      <c r="E94" t="s">
        <v>23</v>
      </c>
      <c r="F94" t="s">
        <v>24</v>
      </c>
      <c r="G94" t="s">
        <v>25</v>
      </c>
      <c r="H94">
        <v>2021</v>
      </c>
      <c r="I94" t="s">
        <v>88</v>
      </c>
      <c r="J94">
        <v>4.2</v>
      </c>
    </row>
    <row r="95" spans="1:13" x14ac:dyDescent="0.2">
      <c r="A95" t="s">
        <v>42</v>
      </c>
      <c r="B95" t="s">
        <v>14</v>
      </c>
      <c r="C95" t="s">
        <v>28</v>
      </c>
      <c r="D95" t="s">
        <v>16</v>
      </c>
      <c r="E95" t="s">
        <v>23</v>
      </c>
      <c r="F95" t="s">
        <v>24</v>
      </c>
      <c r="G95" t="s">
        <v>25</v>
      </c>
      <c r="H95">
        <v>2021</v>
      </c>
      <c r="I95" t="s">
        <v>88</v>
      </c>
      <c r="J95">
        <v>4</v>
      </c>
    </row>
    <row r="96" spans="1:13" x14ac:dyDescent="0.2">
      <c r="A96" t="s">
        <v>42</v>
      </c>
      <c r="B96" t="s">
        <v>14</v>
      </c>
      <c r="C96" t="s">
        <v>29</v>
      </c>
      <c r="D96" t="s">
        <v>16</v>
      </c>
      <c r="E96" t="s">
        <v>23</v>
      </c>
      <c r="F96" t="s">
        <v>24</v>
      </c>
      <c r="G96" t="s">
        <v>25</v>
      </c>
      <c r="H96">
        <v>2021</v>
      </c>
      <c r="I96" t="s">
        <v>88</v>
      </c>
      <c r="J96">
        <v>3.8</v>
      </c>
    </row>
    <row r="97" spans="1:13" ht="15" customHeight="1" x14ac:dyDescent="0.2">
      <c r="A97" t="s">
        <v>42</v>
      </c>
      <c r="B97" t="s">
        <v>14</v>
      </c>
      <c r="C97" t="s">
        <v>30</v>
      </c>
      <c r="D97" t="s">
        <v>16</v>
      </c>
      <c r="E97" t="s">
        <v>23</v>
      </c>
      <c r="F97" t="s">
        <v>24</v>
      </c>
      <c r="G97" t="s">
        <v>25</v>
      </c>
      <c r="H97">
        <v>2021</v>
      </c>
      <c r="I97" t="s">
        <v>88</v>
      </c>
      <c r="J97">
        <v>3.7</v>
      </c>
    </row>
    <row r="98" spans="1:13" x14ac:dyDescent="0.2">
      <c r="A98" t="s">
        <v>42</v>
      </c>
      <c r="B98" t="s">
        <v>14</v>
      </c>
      <c r="C98" t="s">
        <v>31</v>
      </c>
      <c r="D98" t="s">
        <v>16</v>
      </c>
      <c r="E98" t="s">
        <v>23</v>
      </c>
      <c r="F98" t="s">
        <v>24</v>
      </c>
      <c r="G98" t="s">
        <v>25</v>
      </c>
      <c r="H98">
        <v>2021</v>
      </c>
      <c r="I98" t="s">
        <v>88</v>
      </c>
      <c r="J98">
        <v>3.8</v>
      </c>
    </row>
    <row r="99" spans="1:13" x14ac:dyDescent="0.2">
      <c r="A99" t="s">
        <v>42</v>
      </c>
      <c r="B99" t="s">
        <v>14</v>
      </c>
      <c r="C99" t="s">
        <v>22</v>
      </c>
      <c r="D99" t="s">
        <v>16</v>
      </c>
      <c r="E99" t="s">
        <v>23</v>
      </c>
      <c r="F99" t="s">
        <v>32</v>
      </c>
      <c r="G99" t="s">
        <v>25</v>
      </c>
      <c r="I99" t="s">
        <v>40</v>
      </c>
      <c r="J99">
        <v>1.21</v>
      </c>
      <c r="M99" t="s">
        <v>256</v>
      </c>
    </row>
    <row r="100" spans="1:13" x14ac:dyDescent="0.2">
      <c r="A100" t="s">
        <v>42</v>
      </c>
      <c r="B100" t="s">
        <v>14</v>
      </c>
      <c r="C100" t="s">
        <v>27</v>
      </c>
      <c r="D100" t="s">
        <v>16</v>
      </c>
      <c r="E100" t="s">
        <v>23</v>
      </c>
      <c r="F100" t="s">
        <v>32</v>
      </c>
      <c r="G100" t="s">
        <v>25</v>
      </c>
      <c r="I100" t="s">
        <v>40</v>
      </c>
      <c r="J100">
        <v>1.21</v>
      </c>
    </row>
    <row r="101" spans="1:13" x14ac:dyDescent="0.2">
      <c r="A101" t="s">
        <v>42</v>
      </c>
      <c r="B101" t="s">
        <v>14</v>
      </c>
      <c r="C101" t="s">
        <v>28</v>
      </c>
      <c r="D101" t="s">
        <v>16</v>
      </c>
      <c r="E101" t="s">
        <v>23</v>
      </c>
      <c r="F101" t="s">
        <v>32</v>
      </c>
      <c r="G101" t="s">
        <v>25</v>
      </c>
      <c r="I101" t="s">
        <v>40</v>
      </c>
      <c r="J101">
        <v>1.21</v>
      </c>
    </row>
    <row r="102" spans="1:13" ht="15" customHeight="1" x14ac:dyDescent="0.2">
      <c r="A102" t="s">
        <v>42</v>
      </c>
      <c r="B102" t="s">
        <v>14</v>
      </c>
      <c r="C102" t="s">
        <v>29</v>
      </c>
      <c r="D102" t="s">
        <v>16</v>
      </c>
      <c r="E102" t="s">
        <v>23</v>
      </c>
      <c r="F102" t="s">
        <v>32</v>
      </c>
      <c r="G102" t="s">
        <v>25</v>
      </c>
      <c r="I102" t="s">
        <v>40</v>
      </c>
      <c r="J102">
        <v>1.21</v>
      </c>
    </row>
    <row r="103" spans="1:13" x14ac:dyDescent="0.2">
      <c r="A103" t="s">
        <v>42</v>
      </c>
      <c r="B103" t="s">
        <v>14</v>
      </c>
      <c r="C103" t="s">
        <v>30</v>
      </c>
      <c r="D103" t="s">
        <v>16</v>
      </c>
      <c r="E103" t="s">
        <v>23</v>
      </c>
      <c r="F103" t="s">
        <v>32</v>
      </c>
      <c r="G103" t="s">
        <v>25</v>
      </c>
      <c r="I103" t="s">
        <v>40</v>
      </c>
      <c r="J103">
        <v>1.21</v>
      </c>
    </row>
    <row r="104" spans="1:13" x14ac:dyDescent="0.2">
      <c r="A104" t="s">
        <v>42</v>
      </c>
      <c r="B104" t="s">
        <v>14</v>
      </c>
      <c r="C104" t="s">
        <v>31</v>
      </c>
      <c r="D104" t="s">
        <v>16</v>
      </c>
      <c r="E104" t="s">
        <v>23</v>
      </c>
      <c r="F104" t="s">
        <v>32</v>
      </c>
      <c r="G104" t="s">
        <v>25</v>
      </c>
      <c r="I104" t="s">
        <v>40</v>
      </c>
      <c r="J104">
        <v>1.21</v>
      </c>
    </row>
    <row r="105" spans="1:13" x14ac:dyDescent="0.2">
      <c r="A105" t="s">
        <v>42</v>
      </c>
      <c r="B105" t="s">
        <v>14</v>
      </c>
      <c r="C105" t="s">
        <v>22</v>
      </c>
      <c r="D105" t="s">
        <v>15</v>
      </c>
      <c r="E105" t="s">
        <v>35</v>
      </c>
      <c r="F105" t="s">
        <v>18</v>
      </c>
      <c r="G105" t="s">
        <v>19</v>
      </c>
      <c r="H105">
        <v>2021</v>
      </c>
      <c r="I105" t="s">
        <v>91</v>
      </c>
      <c r="J105">
        <v>0.99</v>
      </c>
    </row>
    <row r="106" spans="1:13" x14ac:dyDescent="0.2">
      <c r="A106" t="s">
        <v>42</v>
      </c>
      <c r="B106" t="s">
        <v>14</v>
      </c>
      <c r="C106" t="s">
        <v>22</v>
      </c>
      <c r="D106" t="s">
        <v>22</v>
      </c>
      <c r="E106" t="s">
        <v>37</v>
      </c>
      <c r="F106" t="s">
        <v>24</v>
      </c>
      <c r="G106" t="s">
        <v>25</v>
      </c>
      <c r="H106">
        <v>2021</v>
      </c>
      <c r="I106" t="s">
        <v>91</v>
      </c>
      <c r="J106">
        <v>2.6</v>
      </c>
    </row>
    <row r="107" spans="1:13" x14ac:dyDescent="0.2">
      <c r="A107" t="s">
        <v>42</v>
      </c>
      <c r="B107" t="s">
        <v>14</v>
      </c>
      <c r="C107" t="s">
        <v>22</v>
      </c>
      <c r="D107" t="s">
        <v>16</v>
      </c>
      <c r="E107" t="s">
        <v>37</v>
      </c>
      <c r="F107" t="s">
        <v>24</v>
      </c>
      <c r="G107" t="s">
        <v>25</v>
      </c>
      <c r="H107">
        <v>2021</v>
      </c>
      <c r="I107" t="s">
        <v>91</v>
      </c>
      <c r="J107">
        <v>2.5</v>
      </c>
    </row>
    <row r="108" spans="1:13" x14ac:dyDescent="0.2">
      <c r="A108" t="s">
        <v>42</v>
      </c>
      <c r="B108" t="s">
        <v>14</v>
      </c>
      <c r="C108" t="s">
        <v>22</v>
      </c>
      <c r="D108" t="s">
        <v>72</v>
      </c>
      <c r="E108" t="s">
        <v>37</v>
      </c>
      <c r="F108" t="s">
        <v>24</v>
      </c>
      <c r="G108" t="s">
        <v>25</v>
      </c>
      <c r="H108">
        <v>2021</v>
      </c>
      <c r="I108" t="s">
        <v>91</v>
      </c>
      <c r="J108">
        <v>2.7</v>
      </c>
    </row>
    <row r="109" spans="1:13" x14ac:dyDescent="0.2">
      <c r="A109" t="s">
        <v>42</v>
      </c>
      <c r="B109" t="s">
        <v>14</v>
      </c>
      <c r="C109" t="s">
        <v>22</v>
      </c>
      <c r="D109" t="s">
        <v>15</v>
      </c>
      <c r="E109" t="s">
        <v>37</v>
      </c>
      <c r="F109" t="s">
        <v>32</v>
      </c>
      <c r="G109" t="s">
        <v>25</v>
      </c>
      <c r="I109" t="s">
        <v>40</v>
      </c>
      <c r="J109">
        <v>0.81</v>
      </c>
      <c r="M109" t="s">
        <v>256</v>
      </c>
    </row>
    <row r="110" spans="1:13" x14ac:dyDescent="0.2">
      <c r="A110" t="s">
        <v>42</v>
      </c>
      <c r="B110" t="s">
        <v>14</v>
      </c>
      <c r="C110" t="s">
        <v>15</v>
      </c>
      <c r="D110" t="s">
        <v>15</v>
      </c>
      <c r="E110" t="s">
        <v>39</v>
      </c>
      <c r="F110" t="s">
        <v>18</v>
      </c>
      <c r="G110" t="s">
        <v>19</v>
      </c>
      <c r="H110">
        <v>2026</v>
      </c>
      <c r="I110" t="s">
        <v>92</v>
      </c>
      <c r="J110">
        <v>0.95</v>
      </c>
      <c r="M110" t="s">
        <v>93</v>
      </c>
    </row>
    <row r="111" spans="1:13" ht="15" customHeight="1" x14ac:dyDescent="0.2">
      <c r="A111" t="inlineStr">
        <is>
          <t>Nigeria</t>
        </is>
      </c>
      <c r="B111" t="inlineStr">
        <is>
          <t>Wheat</t>
        </is>
      </c>
      <c r="C111" t="inlineStr">
        <is>
          <t>All (assumed same)</t>
        </is>
      </c>
      <c r="D111" t="inlineStr">
        <is>
          <t>All (assumed same)</t>
        </is>
      </c>
      <c r="E111" t="inlineStr">
        <is>
          <t>Vehicle "fortifiability" (essentially amount industrially produced)</t>
        </is>
      </c>
      <c r="F111" t="inlineStr">
        <is>
          <t>percentage</t>
        </is>
      </c>
      <c r="G111" t="inlineStr">
        <is>
          <t>%</t>
        </is>
      </c>
      <c r="I111" t="inlineStr">
        <is>
          <t>DUMMY (MIC-7549)</t>
        </is>
      </c>
      <c s="7" r="J111" t="n">
        <v>0.74</v>
      </c>
      <c s="5" r="M111" t="inlineStr">
        <is>
          <t>DUMMY PLACEHOLDER (MIC-7549): value copied from the corresponding Rice row. Replace with real wheat data.</t>
        </is>
      </c>
    </row>
    <row r="112" spans="1:13" ht="43.5" customHeight="1" x14ac:dyDescent="0.2">
      <c r="A112" t="inlineStr">
        <is>
          <t>Nigeria</t>
        </is>
      </c>
      <c r="B112" t="inlineStr">
        <is>
          <t>Wheat</t>
        </is>
      </c>
      <c r="C112" t="inlineStr">
        <is>
          <t>Total</t>
        </is>
      </c>
      <c r="D112" t="inlineStr">
        <is>
          <t>Female</t>
        </is>
      </c>
      <c r="E112" t="inlineStr">
        <is>
          <t>Vehicle consumption by WRA -- amount</t>
        </is>
      </c>
      <c r="F112" t="inlineStr">
        <is>
          <t>mean</t>
        </is>
      </c>
      <c r="G112" t="inlineStr">
        <is>
          <t>g/day</t>
        </is>
      </c>
      <c r="I112" t="inlineStr">
        <is>
          <t>DUMMY (MIC-7549)</t>
        </is>
      </c>
      <c r="J112" t="n">
        <v>32.803200000000004</v>
      </c>
      <c s="5" r="M112" t="inlineStr">
        <is>
          <t>DUMMY PLACEHOLDER (MIC-7549): value copied from the corresponding Rice row. Replace with real wheat data.</t>
        </is>
      </c>
    </row>
    <row r="113" spans="1:13" ht="43.5" customHeight="1" x14ac:dyDescent="0.2">
      <c r="A113" t="inlineStr">
        <is>
          <t>Nigeria</t>
        </is>
      </c>
      <c r="B113" t="inlineStr">
        <is>
          <t>Wheat</t>
        </is>
      </c>
      <c r="C113" t="inlineStr">
        <is>
          <t>Lowest</t>
        </is>
      </c>
      <c r="D113" t="inlineStr">
        <is>
          <t>Female</t>
        </is>
      </c>
      <c r="E113" t="inlineStr">
        <is>
          <t>Vehicle consumption by WRA -- amount</t>
        </is>
      </c>
      <c r="F113" t="inlineStr">
        <is>
          <t>mean</t>
        </is>
      </c>
      <c r="G113" t="inlineStr">
        <is>
          <t>g/day</t>
        </is>
      </c>
      <c r="I113" t="inlineStr">
        <is>
          <t>DUMMY (MIC-7549)</t>
        </is>
      </c>
      <c r="J113" t="n">
        <v>11.491200000000001</v>
      </c>
      <c s="5" r="M113" t="inlineStr">
        <is>
          <t>DUMMY PLACEHOLDER (MIC-7549): value copied from the corresponding Rice row. Replace with real wheat data.</t>
        </is>
      </c>
    </row>
    <row r="114" spans="1:13" ht="43.5" customHeight="1" x14ac:dyDescent="0.2">
      <c r="A114" t="inlineStr">
        <is>
          <t>Nigeria</t>
        </is>
      </c>
      <c r="B114" t="inlineStr">
        <is>
          <t>Wheat</t>
        </is>
      </c>
      <c r="C114" t="inlineStr">
        <is>
          <t>Second</t>
        </is>
      </c>
      <c r="D114" t="inlineStr">
        <is>
          <t>Female</t>
        </is>
      </c>
      <c r="E114" t="inlineStr">
        <is>
          <t>Vehicle consumption by WRA -- amount</t>
        </is>
      </c>
      <c r="F114" t="inlineStr">
        <is>
          <t>mean</t>
        </is>
      </c>
      <c r="G114" t="inlineStr">
        <is>
          <t>g/day</t>
        </is>
      </c>
      <c r="I114" t="inlineStr">
        <is>
          <t>DUMMY (MIC-7549)</t>
        </is>
      </c>
      <c r="J114" t="n">
        <v>23.475200000000001</v>
      </c>
      <c s="5" r="M114" t="inlineStr">
        <is>
          <t>DUMMY PLACEHOLDER (MIC-7549): value copied from the corresponding Rice row. Replace with real wheat data.</t>
        </is>
      </c>
    </row>
    <row r="115" spans="1:13" ht="43.5" customHeight="1" x14ac:dyDescent="0.2">
      <c r="A115" t="inlineStr">
        <is>
          <t>Nigeria</t>
        </is>
      </c>
      <c r="B115" t="inlineStr">
        <is>
          <t>Wheat</t>
        </is>
      </c>
      <c r="C115" t="inlineStr">
        <is>
          <t>Middle</t>
        </is>
      </c>
      <c r="D115" t="inlineStr">
        <is>
          <t>Female</t>
        </is>
      </c>
      <c r="E115" t="inlineStr">
        <is>
          <t>Vehicle consumption by WRA -- amount</t>
        </is>
      </c>
      <c r="F115" t="inlineStr">
        <is>
          <t>mean</t>
        </is>
      </c>
      <c r="G115" t="inlineStr">
        <is>
          <t>g/day</t>
        </is>
      </c>
      <c r="I115" t="inlineStr">
        <is>
          <t>DUMMY (MIC-7549)</t>
        </is>
      </c>
      <c r="J115" t="n">
        <v>33.142200000000003</v>
      </c>
      <c s="5" r="M115" t="inlineStr">
        <is>
          <t>DUMMY PLACEHOLDER (MIC-7549): value copied from the corresponding Rice row. Replace with real wheat data.</t>
        </is>
      </c>
    </row>
    <row r="116" spans="1:13" ht="43.5" customHeight="1" x14ac:dyDescent="0.2">
      <c r="A116" t="inlineStr">
        <is>
          <t>Nigeria</t>
        </is>
      </c>
      <c r="B116" t="inlineStr">
        <is>
          <t>Wheat</t>
        </is>
      </c>
      <c r="C116" t="inlineStr">
        <is>
          <t>Fourth</t>
        </is>
      </c>
      <c r="D116" t="inlineStr">
        <is>
          <t>Female</t>
        </is>
      </c>
      <c r="E116" t="inlineStr">
        <is>
          <t>Vehicle consumption by WRA -- amount</t>
        </is>
      </c>
      <c r="F116" t="inlineStr">
        <is>
          <t>mean</t>
        </is>
      </c>
      <c r="G116" t="inlineStr">
        <is>
          <t>g/day</t>
        </is>
      </c>
      <c r="I116" t="inlineStr">
        <is>
          <t>DUMMY (MIC-7549)</t>
        </is>
      </c>
      <c r="J116" t="n">
        <v>46.652100000000004</v>
      </c>
      <c s="5" r="M116" t="inlineStr">
        <is>
          <t>DUMMY PLACEHOLDER (MIC-7549): value copied from the corresponding Rice row. Replace with real wheat data.</t>
        </is>
      </c>
    </row>
    <row r="117" spans="1:13" ht="43.5" customHeight="1" x14ac:dyDescent="0.2">
      <c r="A117" t="inlineStr">
        <is>
          <t>Nigeria</t>
        </is>
      </c>
      <c r="B117" t="inlineStr">
        <is>
          <t>Wheat</t>
        </is>
      </c>
      <c r="C117" t="inlineStr">
        <is>
          <t>Highest</t>
        </is>
      </c>
      <c r="D117" t="inlineStr">
        <is>
          <t>Female</t>
        </is>
      </c>
      <c r="E117" t="inlineStr">
        <is>
          <t>Vehicle consumption by WRA -- amount</t>
        </is>
      </c>
      <c r="F117" t="inlineStr">
        <is>
          <t>mean</t>
        </is>
      </c>
      <c r="G117" t="inlineStr">
        <is>
          <t>g/day</t>
        </is>
      </c>
      <c r="I117" t="inlineStr">
        <is>
          <t>DUMMY (MIC-7549)</t>
        </is>
      </c>
      <c r="J117" t="n">
        <v>53.742000000000004</v>
      </c>
      <c s="5" r="M117" t="inlineStr">
        <is>
          <t>DUMMY PLACEHOLDER (MIC-7549): value copied from the corresponding Rice row. Replace with real wheat data.</t>
        </is>
      </c>
    </row>
    <row r="118" spans="1:13" ht="29.25" customHeight="1" x14ac:dyDescent="0.2">
      <c r="A118" t="inlineStr">
        <is>
          <t>Nigeria</t>
        </is>
      </c>
      <c r="B118" t="inlineStr">
        <is>
          <t>Wheat</t>
        </is>
      </c>
      <c r="C118" t="inlineStr">
        <is>
          <t>Total</t>
        </is>
      </c>
      <c r="D118" t="inlineStr">
        <is>
          <t>Female</t>
        </is>
      </c>
      <c r="E118" t="inlineStr">
        <is>
          <t>Vehicle consumption by WRA -- any</t>
        </is>
      </c>
      <c r="F118" t="inlineStr">
        <is>
          <t>percentage</t>
        </is>
      </c>
      <c r="G118" t="inlineStr">
        <is>
          <t>%</t>
        </is>
      </c>
      <c r="I118" t="inlineStr">
        <is>
          <t>DUMMY (MIC-7549)</t>
        </is>
      </c>
      <c s="21" r="J118" t="n">
        <v>0.536</v>
      </c>
      <c s="5" r="M118" t="inlineStr">
        <is>
          <t>DUMMY PLACEHOLDER (MIC-7549): value copied from the corresponding Rice row. Replace with real wheat data.</t>
        </is>
      </c>
    </row>
    <row r="119" spans="1:13" x14ac:dyDescent="0.2">
      <c r="A119" t="inlineStr">
        <is>
          <t>Nigeria</t>
        </is>
      </c>
      <c r="B119" t="inlineStr">
        <is>
          <t>Wheat</t>
        </is>
      </c>
      <c r="C119" t="inlineStr">
        <is>
          <t>Lowest</t>
        </is>
      </c>
      <c r="D119" t="inlineStr">
        <is>
          <t>Female</t>
        </is>
      </c>
      <c r="E119" t="inlineStr">
        <is>
          <t>Vehicle consumption by WRA -- any</t>
        </is>
      </c>
      <c r="F119" t="inlineStr">
        <is>
          <t>percentage</t>
        </is>
      </c>
      <c r="G119" t="inlineStr">
        <is>
          <t>%</t>
        </is>
      </c>
      <c r="I119" t="inlineStr">
        <is>
          <t>DUMMY (MIC-7549)</t>
        </is>
      </c>
      <c s="21" r="J119" t="n">
        <v>0.336</v>
      </c>
      <c r="M119" t="inlineStr">
        <is>
          <t>DUMMY PLACEHOLDER (MIC-7549): value copied from the corresponding Rice row. Replace with real wheat data.</t>
        </is>
      </c>
    </row>
    <row r="120" spans="1:13" x14ac:dyDescent="0.2">
      <c r="A120" t="inlineStr">
        <is>
          <t>Nigeria</t>
        </is>
      </c>
      <c r="B120" t="inlineStr">
        <is>
          <t>Wheat</t>
        </is>
      </c>
      <c r="C120" t="inlineStr">
        <is>
          <t>Second</t>
        </is>
      </c>
      <c r="D120" t="inlineStr">
        <is>
          <t>Female</t>
        </is>
      </c>
      <c r="E120" t="inlineStr">
        <is>
          <t>Vehicle consumption by WRA -- any</t>
        </is>
      </c>
      <c r="F120" t="inlineStr">
        <is>
          <t>percentage</t>
        </is>
      </c>
      <c r="G120" t="inlineStr">
        <is>
          <t>%</t>
        </is>
      </c>
      <c r="I120" t="inlineStr">
        <is>
          <t>DUMMY (MIC-7549)</t>
        </is>
      </c>
      <c s="21" r="J120" t="n">
        <v>0.448</v>
      </c>
      <c r="M120" t="inlineStr">
        <is>
          <t>DUMMY PLACEHOLDER (MIC-7549): value copied from the corresponding Rice row. Replace with real wheat data.</t>
        </is>
      </c>
    </row>
    <row r="121" spans="1:13" x14ac:dyDescent="0.2">
      <c r="A121" t="inlineStr">
        <is>
          <t>Nigeria</t>
        </is>
      </c>
      <c r="B121" t="inlineStr">
        <is>
          <t>Wheat</t>
        </is>
      </c>
      <c r="C121" t="inlineStr">
        <is>
          <t>Middle</t>
        </is>
      </c>
      <c r="D121" t="inlineStr">
        <is>
          <t>Female</t>
        </is>
      </c>
      <c r="E121" t="inlineStr">
        <is>
          <t>Vehicle consumption by WRA -- any</t>
        </is>
      </c>
      <c r="F121" t="inlineStr">
        <is>
          <t>percentage</t>
        </is>
      </c>
      <c r="G121" t="inlineStr">
        <is>
          <t>%</t>
        </is>
      </c>
      <c r="I121" t="inlineStr">
        <is>
          <t>DUMMY (MIC-7549)</t>
        </is>
      </c>
      <c s="21" r="J121" t="n">
        <v>0.546</v>
      </c>
      <c r="M121" t="inlineStr">
        <is>
          <t>DUMMY PLACEHOLDER (MIC-7549): value copied from the corresponding Rice row. Replace with real wheat data.</t>
        </is>
      </c>
    </row>
    <row r="122" spans="1:13" x14ac:dyDescent="0.2">
      <c r="A122" t="inlineStr">
        <is>
          <t>Nigeria</t>
        </is>
      </c>
      <c r="B122" t="inlineStr">
        <is>
          <t>Wheat</t>
        </is>
      </c>
      <c r="C122" t="inlineStr">
        <is>
          <t>Fourth</t>
        </is>
      </c>
      <c r="D122" t="inlineStr">
        <is>
          <t>Female</t>
        </is>
      </c>
      <c r="E122" t="inlineStr">
        <is>
          <t>Vehicle consumption by WRA -- any</t>
        </is>
      </c>
      <c r="F122" t="inlineStr">
        <is>
          <t>percentage</t>
        </is>
      </c>
      <c r="G122" t="inlineStr">
        <is>
          <t>%</t>
        </is>
      </c>
      <c r="I122" t="inlineStr">
        <is>
          <t>DUMMY (MIC-7549)</t>
        </is>
      </c>
      <c s="21" r="J122" t="n">
        <v>0.633</v>
      </c>
      <c r="M122" t="inlineStr">
        <is>
          <t>DUMMY PLACEHOLDER (MIC-7549): value copied from the corresponding Rice row. Replace with real wheat data.</t>
        </is>
      </c>
    </row>
    <row r="123" spans="1:13" x14ac:dyDescent="0.2">
      <c r="A123" t="inlineStr">
        <is>
          <t>Nigeria</t>
        </is>
      </c>
      <c r="B123" t="inlineStr">
        <is>
          <t>Wheat</t>
        </is>
      </c>
      <c r="C123" t="inlineStr">
        <is>
          <t>Highest</t>
        </is>
      </c>
      <c r="D123" t="inlineStr">
        <is>
          <t>Female</t>
        </is>
      </c>
      <c r="E123" t="inlineStr">
        <is>
          <t>Vehicle consumption by WRA -- any</t>
        </is>
      </c>
      <c r="F123" t="inlineStr">
        <is>
          <t>percentage</t>
        </is>
      </c>
      <c r="G123" t="inlineStr">
        <is>
          <t>%</t>
        </is>
      </c>
      <c r="I123" t="inlineStr">
        <is>
          <t>DUMMY (MIC-7549)</t>
        </is>
      </c>
      <c s="21" r="J123" t="n">
        <v>0.676</v>
      </c>
      <c r="M123" t="inlineStr">
        <is>
          <t>DUMMY PLACEHOLDER (MIC-7549): value copied from the corresponding Rice row. Replace with real wheat data.</t>
        </is>
      </c>
    </row>
    <row r="124" spans="1:13" ht="29.25" customHeight="1" x14ac:dyDescent="0.2">
      <c r="A124" t="inlineStr">
        <is>
          <t>Nigeria</t>
        </is>
      </c>
      <c r="B124" t="inlineStr">
        <is>
          <t>Wheat</t>
        </is>
      </c>
      <c r="C124" t="inlineStr">
        <is>
          <t>Total</t>
        </is>
      </c>
      <c r="D124" t="inlineStr">
        <is>
          <t>Female</t>
        </is>
      </c>
      <c r="E124" t="inlineStr">
        <is>
          <t>Vehicle consumption by WRA -- amount</t>
        </is>
      </c>
      <c r="F124" t="inlineStr">
        <is>
          <t>standard deviation</t>
        </is>
      </c>
      <c r="G124" t="inlineStr">
        <is>
          <t>g/day</t>
        </is>
      </c>
      <c r="I124" t="inlineStr">
        <is>
          <t>DUMMY (MIC-7549)</t>
        </is>
      </c>
      <c r="J124" t="n">
        <v>40.074074074074069</v>
      </c>
      <c s="5" r="M124" t="inlineStr">
        <is>
          <t>DUMMY PLACEHOLDER (MIC-7549): value copied from the corresponding Rice row. Replace with real wheat data.</t>
        </is>
      </c>
    </row>
    <row r="125" spans="1:13" x14ac:dyDescent="0.2">
      <c r="A125" t="inlineStr">
        <is>
          <t>Nigeria</t>
        </is>
      </c>
      <c r="B125" t="inlineStr">
        <is>
          <t>Wheat</t>
        </is>
      </c>
      <c r="C125" t="inlineStr">
        <is>
          <t>Lowest</t>
        </is>
      </c>
      <c r="D125" t="inlineStr">
        <is>
          <t>Female</t>
        </is>
      </c>
      <c r="E125" t="inlineStr">
        <is>
          <t>Vehicle consumption by WRA -- amount</t>
        </is>
      </c>
      <c r="F125" t="inlineStr">
        <is>
          <t>standard deviation</t>
        </is>
      </c>
      <c r="G125" t="inlineStr">
        <is>
          <t>g/day</t>
        </is>
      </c>
      <c r="I125" t="inlineStr">
        <is>
          <t>DUMMY (MIC-7549)</t>
        </is>
      </c>
      <c r="J125" t="n">
        <v>24.814814814814813</v>
      </c>
      <c r="M125" t="inlineStr">
        <is>
          <t>DUMMY PLACEHOLDER (MIC-7549): value copied from the corresponding Rice row. Replace with real wheat data.</t>
        </is>
      </c>
    </row>
    <row r="126" spans="1:13" x14ac:dyDescent="0.2">
      <c r="A126" t="inlineStr">
        <is>
          <t>Nigeria</t>
        </is>
      </c>
      <c r="B126" t="inlineStr">
        <is>
          <t>Wheat</t>
        </is>
      </c>
      <c r="C126" t="inlineStr">
        <is>
          <t>Second</t>
        </is>
      </c>
      <c r="D126" t="inlineStr">
        <is>
          <t>Female</t>
        </is>
      </c>
      <c r="E126" t="inlineStr">
        <is>
          <t>Vehicle consumption by WRA -- amount</t>
        </is>
      </c>
      <c r="F126" t="inlineStr">
        <is>
          <t>standard deviation</t>
        </is>
      </c>
      <c r="G126" t="inlineStr">
        <is>
          <t>g/day</t>
        </is>
      </c>
      <c r="I126" t="inlineStr">
        <is>
          <t>DUMMY (MIC-7549)</t>
        </is>
      </c>
      <c r="J126" t="n">
        <v>33.333333333333336</v>
      </c>
      <c r="M126" t="inlineStr">
        <is>
          <t>DUMMY PLACEHOLDER (MIC-7549): value copied from the corresponding Rice row. Replace with real wheat data.</t>
        </is>
      </c>
    </row>
    <row r="127" spans="1:13" x14ac:dyDescent="0.2">
      <c r="A127" t="inlineStr">
        <is>
          <t>Nigeria</t>
        </is>
      </c>
      <c r="B127" t="inlineStr">
        <is>
          <t>Wheat</t>
        </is>
      </c>
      <c r="C127" t="inlineStr">
        <is>
          <t>Middle</t>
        </is>
      </c>
      <c r="D127" t="inlineStr">
        <is>
          <t>Female</t>
        </is>
      </c>
      <c r="E127" t="inlineStr">
        <is>
          <t>Vehicle consumption by WRA -- amount</t>
        </is>
      </c>
      <c r="F127" t="inlineStr">
        <is>
          <t>standard deviation</t>
        </is>
      </c>
      <c r="G127" t="inlineStr">
        <is>
          <t>g/day</t>
        </is>
      </c>
      <c r="I127" t="inlineStr">
        <is>
          <t>DUMMY (MIC-7549)</t>
        </is>
      </c>
      <c r="J127" t="n">
        <v>35.037037037037031</v>
      </c>
      <c r="M127" t="inlineStr">
        <is>
          <t>DUMMY PLACEHOLDER (MIC-7549): value copied from the corresponding Rice row. Replace with real wheat data.</t>
        </is>
      </c>
    </row>
    <row r="128" spans="1:13" x14ac:dyDescent="0.2">
      <c r="A128" t="inlineStr">
        <is>
          <t>Nigeria</t>
        </is>
      </c>
      <c r="B128" t="inlineStr">
        <is>
          <t>Wheat</t>
        </is>
      </c>
      <c r="C128" t="inlineStr">
        <is>
          <t>Fourth</t>
        </is>
      </c>
      <c r="D128" t="inlineStr">
        <is>
          <t>Female</t>
        </is>
      </c>
      <c r="E128" t="inlineStr">
        <is>
          <t>Vehicle consumption by WRA -- amount</t>
        </is>
      </c>
      <c r="F128" t="inlineStr">
        <is>
          <t>standard deviation</t>
        </is>
      </c>
      <c r="G128" t="inlineStr">
        <is>
          <t>g/day</t>
        </is>
      </c>
      <c r="I128" t="inlineStr">
        <is>
          <t>DUMMY (MIC-7549)</t>
        </is>
      </c>
      <c r="J128" t="n">
        <v>37.777777777777779</v>
      </c>
      <c r="M128" t="inlineStr">
        <is>
          <t>DUMMY PLACEHOLDER (MIC-7549): value copied from the corresponding Rice row. Replace with real wheat data.</t>
        </is>
      </c>
    </row>
    <row r="129" spans="1:13" x14ac:dyDescent="0.2">
      <c r="A129" t="inlineStr">
        <is>
          <t>Nigeria</t>
        </is>
      </c>
      <c r="B129" t="inlineStr">
        <is>
          <t>Wheat</t>
        </is>
      </c>
      <c r="C129" t="inlineStr">
        <is>
          <t>Highest</t>
        </is>
      </c>
      <c r="D129" t="inlineStr">
        <is>
          <t>Female</t>
        </is>
      </c>
      <c r="E129" t="inlineStr">
        <is>
          <t>Vehicle consumption by WRA -- amount</t>
        </is>
      </c>
      <c r="F129" t="inlineStr">
        <is>
          <t>standard deviation</t>
        </is>
      </c>
      <c r="G129" t="inlineStr">
        <is>
          <t>g/day</t>
        </is>
      </c>
      <c r="I129" t="inlineStr">
        <is>
          <t>DUMMY (MIC-7549)</t>
        </is>
      </c>
      <c r="J129" t="n">
        <v>39.037037037037031</v>
      </c>
      <c r="M129" t="inlineStr">
        <is>
          <t>DUMMY PLACEHOLDER (MIC-7549): value copied from the corresponding Rice row. Replace with real wheat data.</t>
        </is>
      </c>
    </row>
    <row r="130" spans="1:13" ht="43.5" customHeight="1" x14ac:dyDescent="0.2">
      <c r="A130" t="inlineStr">
        <is>
          <t>Nigeria</t>
        </is>
      </c>
      <c r="B130" t="inlineStr">
        <is>
          <t>Wheat</t>
        </is>
      </c>
      <c r="C130" t="inlineStr">
        <is>
          <t>Total</t>
        </is>
      </c>
      <c r="D130" t="inlineStr">
        <is>
          <t>Total</t>
        </is>
      </c>
      <c r="E130" t="inlineStr">
        <is>
          <t>Vehicle consumption by U5 children -- amount</t>
        </is>
      </c>
      <c r="F130" t="inlineStr">
        <is>
          <t>mean</t>
        </is>
      </c>
      <c r="G130" t="inlineStr">
        <is>
          <t>g/day</t>
        </is>
      </c>
      <c r="I130" t="inlineStr">
        <is>
          <t>DUMMY (MIC-7549)</t>
        </is>
      </c>
      <c r="J130" t="n">
        <v>20.5288</v>
      </c>
      <c s="5" r="M130" t="inlineStr">
        <is>
          <t>DUMMY PLACEHOLDER (MIC-7549): value copied from the corresponding Rice row. Replace with real wheat data.</t>
        </is>
      </c>
    </row>
    <row r="131" spans="1:13" ht="43.5" customHeight="1" x14ac:dyDescent="0.2">
      <c r="A131" t="inlineStr">
        <is>
          <t>Nigeria</t>
        </is>
      </c>
      <c r="B131" t="inlineStr">
        <is>
          <t>Wheat</t>
        </is>
      </c>
      <c r="C131" t="inlineStr">
        <is>
          <t>Total</t>
        </is>
      </c>
      <c r="D131" t="inlineStr">
        <is>
          <t>Female</t>
        </is>
      </c>
      <c r="E131" t="inlineStr">
        <is>
          <t>Vehicle consumption by U5 children -- amount</t>
        </is>
      </c>
      <c r="F131" t="inlineStr">
        <is>
          <t>mean</t>
        </is>
      </c>
      <c r="G131" t="inlineStr">
        <is>
          <t>g/day</t>
        </is>
      </c>
      <c r="I131" t="inlineStr">
        <is>
          <t>DUMMY (MIC-7549)</t>
        </is>
      </c>
      <c r="J131" t="n">
        <v>19.028000000000002</v>
      </c>
      <c s="5" r="M131" t="inlineStr">
        <is>
          <t>DUMMY PLACEHOLDER (MIC-7549): value copied from the corresponding Rice row. Replace with real wheat data.</t>
        </is>
      </c>
    </row>
    <row r="132" spans="1:13" ht="43.5" customHeight="1" x14ac:dyDescent="0.2">
      <c r="A132" t="inlineStr">
        <is>
          <t>Nigeria</t>
        </is>
      </c>
      <c r="B132" t="inlineStr">
        <is>
          <t>Wheat</t>
        </is>
      </c>
      <c r="C132" t="inlineStr">
        <is>
          <t>Total</t>
        </is>
      </c>
      <c r="D132" t="inlineStr">
        <is>
          <t>Male</t>
        </is>
      </c>
      <c r="E132" t="inlineStr">
        <is>
          <t>Vehicle consumption by U5 children -- amount</t>
        </is>
      </c>
      <c r="F132" t="inlineStr">
        <is>
          <t>mean</t>
        </is>
      </c>
      <c r="G132" t="inlineStr">
        <is>
          <t>g/day</t>
        </is>
      </c>
      <c r="I132" t="inlineStr">
        <is>
          <t>DUMMY (MIC-7549)</t>
        </is>
      </c>
      <c r="J132" t="n">
        <v>21.976000000000003</v>
      </c>
      <c s="5" r="M132" t="inlineStr">
        <is>
          <t>DUMMY PLACEHOLDER (MIC-7549): value copied from the corresponding Rice row. Replace with real wheat data.</t>
        </is>
      </c>
    </row>
    <row r="133" spans="1:13" ht="29.25" customHeight="1" x14ac:dyDescent="0.2">
      <c r="A133" t="inlineStr">
        <is>
          <t>Nigeria</t>
        </is>
      </c>
      <c r="B133" t="inlineStr">
        <is>
          <t>Wheat</t>
        </is>
      </c>
      <c r="C133" t="inlineStr">
        <is>
          <t>Total</t>
        </is>
      </c>
      <c r="D133" t="inlineStr">
        <is>
          <t>Total</t>
        </is>
      </c>
      <c r="E133" t="inlineStr">
        <is>
          <t>Vehicle consumption by U5 children -- amount</t>
        </is>
      </c>
      <c r="F133" t="inlineStr">
        <is>
          <t>standard deviation</t>
        </is>
      </c>
      <c r="G133" t="inlineStr">
        <is>
          <t>g/day</t>
        </is>
      </c>
      <c r="I133" t="inlineStr">
        <is>
          <t>DUMMY (MIC-7549)</t>
        </is>
      </c>
      <c r="J133" t="n">
        <v>25.62962962962963</v>
      </c>
      <c s="5" r="M133" t="inlineStr">
        <is>
          <t>DUMMY PLACEHOLDER (MIC-7549): value copied from the corresponding Rice row. Replace with real wheat data.</t>
        </is>
      </c>
    </row>
    <row r="134" spans="1:13" ht="29.25" customHeight="1" x14ac:dyDescent="0.2">
      <c r="A134" t="inlineStr">
        <is>
          <t>Nigeria</t>
        </is>
      </c>
      <c r="B134" t="inlineStr">
        <is>
          <t>Wheat</t>
        </is>
      </c>
      <c r="C134" t="inlineStr">
        <is>
          <t>Total</t>
        </is>
      </c>
      <c r="D134" t="inlineStr">
        <is>
          <t>Female</t>
        </is>
      </c>
      <c r="E134" t="inlineStr">
        <is>
          <t>Vehicle consumption by U5 children -- amount</t>
        </is>
      </c>
      <c r="F134" t="inlineStr">
        <is>
          <t>standard deviation</t>
        </is>
      </c>
      <c r="G134" t="inlineStr">
        <is>
          <t>g/day</t>
        </is>
      </c>
      <c r="I134" t="inlineStr">
        <is>
          <t>DUMMY (MIC-7549)</t>
        </is>
      </c>
      <c r="J134" t="n">
        <v>23.999999999999996</v>
      </c>
      <c s="5" r="M134" t="inlineStr">
        <is>
          <t>DUMMY PLACEHOLDER (MIC-7549): value copied from the corresponding Rice row. Replace with real wheat data.</t>
        </is>
      </c>
    </row>
    <row r="135" spans="1:13" ht="29.25" customHeight="1" x14ac:dyDescent="0.2">
      <c r="A135" t="inlineStr">
        <is>
          <t>Nigeria</t>
        </is>
      </c>
      <c r="B135" t="inlineStr">
        <is>
          <t>Wheat</t>
        </is>
      </c>
      <c r="C135" t="inlineStr">
        <is>
          <t>Total</t>
        </is>
      </c>
      <c r="D135" t="inlineStr">
        <is>
          <t>Male</t>
        </is>
      </c>
      <c r="E135" t="inlineStr">
        <is>
          <t>Vehicle consumption by U5 children -- amount</t>
        </is>
      </c>
      <c r="F135" t="inlineStr">
        <is>
          <t>standard deviation</t>
        </is>
      </c>
      <c r="G135" t="inlineStr">
        <is>
          <t>g/day</t>
        </is>
      </c>
      <c r="I135" t="inlineStr">
        <is>
          <t>DUMMY (MIC-7549)</t>
        </is>
      </c>
      <c r="J135" t="n">
        <v>27.333333333333336</v>
      </c>
      <c s="5" r="M135" t="inlineStr">
        <is>
          <t>DUMMY PLACEHOLDER (MIC-7549): value copied from the corresponding Rice row. Replace with real wheat data.</t>
        </is>
      </c>
    </row>
    <row r="136" spans="1:13" ht="29.25" customHeight="1" x14ac:dyDescent="0.2">
      <c r="A136" t="inlineStr">
        <is>
          <t>Nigeria</t>
        </is>
      </c>
      <c r="B136" t="inlineStr">
        <is>
          <t>Wheat</t>
        </is>
      </c>
      <c r="C136" t="inlineStr">
        <is>
          <t>Total</t>
        </is>
      </c>
      <c r="D136" t="inlineStr">
        <is>
          <t>All (assumed same)</t>
        </is>
      </c>
      <c r="E136" t="inlineStr">
        <is>
          <t>Vehicle consumption by U5 children -- any</t>
        </is>
      </c>
      <c r="F136" t="inlineStr">
        <is>
          <t>percentage</t>
        </is>
      </c>
      <c r="G136" t="inlineStr">
        <is>
          <t>%</t>
        </is>
      </c>
      <c r="I136" t="inlineStr">
        <is>
          <t>DUMMY (MIC-7549)</t>
        </is>
      </c>
      <c s="21" r="J136" t="n">
        <v>0.536</v>
      </c>
      <c s="5" r="M136" t="inlineStr">
        <is>
          <t>DUMMY PLACEHOLDER (MIC-7549): value copied from the corresponding Rice row. Replace with real wheat data.</t>
        </is>
      </c>
    </row>
    <row r="137" spans="1:13" x14ac:dyDescent="0.2">
      <c r="A137" t="inlineStr">
        <is>
          <t>Nigeria</t>
        </is>
      </c>
      <c r="B137" t="inlineStr">
        <is>
          <t>Wheat</t>
        </is>
      </c>
      <c r="C137" t="inlineStr">
        <is>
          <t>Lowest</t>
        </is>
      </c>
      <c r="D137" t="inlineStr">
        <is>
          <t>All (assumed same)</t>
        </is>
      </c>
      <c r="E137" t="inlineStr">
        <is>
          <t>Vehicle consumption by U5 children -- any</t>
        </is>
      </c>
      <c r="F137" t="inlineStr">
        <is>
          <t>percentage</t>
        </is>
      </c>
      <c r="G137" t="inlineStr">
        <is>
          <t>%</t>
        </is>
      </c>
      <c r="I137" t="inlineStr">
        <is>
          <t>DUMMY (MIC-7549)</t>
        </is>
      </c>
      <c s="21" r="J137" t="n">
        <v>0.336</v>
      </c>
      <c r="M137" t="inlineStr">
        <is>
          <t>DUMMY PLACEHOLDER (MIC-7549): value copied from the corresponding Rice row. Replace with real wheat data.</t>
        </is>
      </c>
    </row>
    <row r="138" spans="1:13" x14ac:dyDescent="0.2">
      <c r="A138" t="inlineStr">
        <is>
          <t>Nigeria</t>
        </is>
      </c>
      <c r="B138" t="inlineStr">
        <is>
          <t>Wheat</t>
        </is>
      </c>
      <c r="C138" t="inlineStr">
        <is>
          <t>Second</t>
        </is>
      </c>
      <c r="D138" t="inlineStr">
        <is>
          <t>All (assumed same)</t>
        </is>
      </c>
      <c r="E138" t="inlineStr">
        <is>
          <t>Vehicle consumption by U5 children -- any</t>
        </is>
      </c>
      <c r="F138" t="inlineStr">
        <is>
          <t>percentage</t>
        </is>
      </c>
      <c r="G138" t="inlineStr">
        <is>
          <t>%</t>
        </is>
      </c>
      <c r="I138" t="inlineStr">
        <is>
          <t>DUMMY (MIC-7549)</t>
        </is>
      </c>
      <c s="21" r="J138" t="n">
        <v>0.448</v>
      </c>
      <c r="M138" t="inlineStr">
        <is>
          <t>DUMMY PLACEHOLDER (MIC-7549): value copied from the corresponding Rice row. Replace with real wheat data.</t>
        </is>
      </c>
    </row>
    <row r="139" spans="1:13" x14ac:dyDescent="0.2">
      <c r="A139" t="inlineStr">
        <is>
          <t>Nigeria</t>
        </is>
      </c>
      <c r="B139" t="inlineStr">
        <is>
          <t>Wheat</t>
        </is>
      </c>
      <c r="C139" t="inlineStr">
        <is>
          <t>Middle</t>
        </is>
      </c>
      <c r="D139" t="inlineStr">
        <is>
          <t>All (assumed same)</t>
        </is>
      </c>
      <c r="E139" t="inlineStr">
        <is>
          <t>Vehicle consumption by U5 children -- any</t>
        </is>
      </c>
      <c r="F139" t="inlineStr">
        <is>
          <t>percentage</t>
        </is>
      </c>
      <c r="G139" t="inlineStr">
        <is>
          <t>%</t>
        </is>
      </c>
      <c r="I139" t="inlineStr">
        <is>
          <t>DUMMY (MIC-7549)</t>
        </is>
      </c>
      <c s="21" r="J139" t="n">
        <v>0.546</v>
      </c>
      <c r="M139" t="inlineStr">
        <is>
          <t>DUMMY PLACEHOLDER (MIC-7549): value copied from the corresponding Rice row. Replace with real wheat data.</t>
        </is>
      </c>
    </row>
    <row r="140" spans="1:13" x14ac:dyDescent="0.2">
      <c r="A140" t="inlineStr">
        <is>
          <t>Nigeria</t>
        </is>
      </c>
      <c r="B140" t="inlineStr">
        <is>
          <t>Wheat</t>
        </is>
      </c>
      <c r="C140" t="inlineStr">
        <is>
          <t>Fourth</t>
        </is>
      </c>
      <c r="D140" t="inlineStr">
        <is>
          <t>All (assumed same)</t>
        </is>
      </c>
      <c r="E140" t="inlineStr">
        <is>
          <t>Vehicle consumption by U5 children -- any</t>
        </is>
      </c>
      <c r="F140" t="inlineStr">
        <is>
          <t>percentage</t>
        </is>
      </c>
      <c r="G140" t="inlineStr">
        <is>
          <t>%</t>
        </is>
      </c>
      <c r="I140" t="inlineStr">
        <is>
          <t>DUMMY (MIC-7549)</t>
        </is>
      </c>
      <c s="21" r="J140" t="n">
        <v>0.633</v>
      </c>
      <c r="M140" t="inlineStr">
        <is>
          <t>DUMMY PLACEHOLDER (MIC-7549): value copied from the corresponding Rice row. Replace with real wheat data.</t>
        </is>
      </c>
    </row>
    <row r="141" spans="1:13" x14ac:dyDescent="0.2">
      <c r="A141" t="inlineStr">
        <is>
          <t>Nigeria</t>
        </is>
      </c>
      <c r="B141" t="inlineStr">
        <is>
          <t>Wheat</t>
        </is>
      </c>
      <c r="C141" t="inlineStr">
        <is>
          <t>Highest</t>
        </is>
      </c>
      <c r="D141" t="inlineStr">
        <is>
          <t>All (assumed same)</t>
        </is>
      </c>
      <c r="E141" t="inlineStr">
        <is>
          <t>Vehicle consumption by U5 children -- any</t>
        </is>
      </c>
      <c r="F141" t="inlineStr">
        <is>
          <t>percentage</t>
        </is>
      </c>
      <c r="G141" t="inlineStr">
        <is>
          <t>%</t>
        </is>
      </c>
      <c r="I141" t="inlineStr">
        <is>
          <t>DUMMY (MIC-7549)</t>
        </is>
      </c>
      <c s="21" r="J141" t="n">
        <v>0.676</v>
      </c>
      <c r="M141" t="inlineStr">
        <is>
          <t>DUMMY PLACEHOLDER (MIC-7549): value copied from the corresponding Rice row. Replace with real wheat data.</t>
        </is>
      </c>
    </row>
    <row r="142" spans="1:13" ht="15" customHeight="1" x14ac:dyDescent="0.2">
      <c r="A142" t="inlineStr">
        <is>
          <t>India</t>
        </is>
      </c>
      <c r="B142" t="inlineStr">
        <is>
          <t>Wheat</t>
        </is>
      </c>
      <c r="C142" t="inlineStr">
        <is>
          <t>All (assumed same)</t>
        </is>
      </c>
      <c r="D142" t="inlineStr">
        <is>
          <t>All (assumed same)</t>
        </is>
      </c>
      <c r="E142" t="inlineStr">
        <is>
          <t>Vehicle "fortifiability" (essentially amount industrially produced)</t>
        </is>
      </c>
      <c r="F142" t="inlineStr">
        <is>
          <t>percentage</t>
        </is>
      </c>
      <c r="G142" t="inlineStr">
        <is>
          <t>%</t>
        </is>
      </c>
      <c r="I142" t="inlineStr">
        <is>
          <t>DUMMY (MIC-7580)</t>
        </is>
      </c>
      <c s="7" r="J142" t="n">
        <v>0.74</v>
      </c>
      <c r="M142" s="5" t="inlineStr">
        <is>
          <t>DUMMY PLACEHOLDER (MIC-7580): value copied from the Nigeria wheat placeholder row (itself copied from Nigeria rice). Replace with real India wheat data.</t>
        </is>
      </c>
    </row>
    <row r="143" spans="1:13" ht="43.5" customHeight="1" x14ac:dyDescent="0.2">
      <c r="A143" t="inlineStr">
        <is>
          <t>India</t>
        </is>
      </c>
      <c r="B143" t="inlineStr">
        <is>
          <t>Wheat</t>
        </is>
      </c>
      <c r="C143" t="inlineStr">
        <is>
          <t>Total</t>
        </is>
      </c>
      <c r="D143" t="inlineStr">
        <is>
          <t>Female</t>
        </is>
      </c>
      <c r="E143" t="inlineStr">
        <is>
          <t>Vehicle consumption by WRA -- amount</t>
        </is>
      </c>
      <c r="F143" t="inlineStr">
        <is>
          <t>mean</t>
        </is>
      </c>
      <c r="G143" t="inlineStr">
        <is>
          <t>g/day</t>
        </is>
      </c>
      <c r="I143" t="inlineStr">
        <is>
          <t>DUMMY (MIC-7580)</t>
        </is>
      </c>
      <c r="J143" t="n">
        <v>32.803200000000004</v>
      </c>
      <c r="M143" s="5" t="inlineStr">
        <is>
          <t>DUMMY PLACEHOLDER (MIC-7580): value copied from the Nigeria wheat placeholder row (itself copied from Nigeria rice). Replace with real India wheat data.</t>
        </is>
      </c>
    </row>
    <row r="144" spans="1:13" ht="43.5" customHeight="1" x14ac:dyDescent="0.2">
      <c r="A144" t="inlineStr">
        <is>
          <t>India</t>
        </is>
      </c>
      <c r="B144" t="inlineStr">
        <is>
          <t>Wheat</t>
        </is>
      </c>
      <c r="C144" t="inlineStr">
        <is>
          <t>Lowest</t>
        </is>
      </c>
      <c r="D144" t="inlineStr">
        <is>
          <t>Female</t>
        </is>
      </c>
      <c r="E144" t="inlineStr">
        <is>
          <t>Vehicle consumption by WRA -- amount</t>
        </is>
      </c>
      <c r="F144" t="inlineStr">
        <is>
          <t>mean</t>
        </is>
      </c>
      <c r="G144" t="inlineStr">
        <is>
          <t>g/day</t>
        </is>
      </c>
      <c r="I144" t="inlineStr">
        <is>
          <t>DUMMY (MIC-7580)</t>
        </is>
      </c>
      <c r="J144" t="n">
        <v>11.491200000000001</v>
      </c>
      <c r="M144" s="5" t="inlineStr">
        <is>
          <t>DUMMY PLACEHOLDER (MIC-7580): value copied from the Nigeria wheat placeholder row (itself copied from Nigeria rice). Replace with real India wheat data.</t>
        </is>
      </c>
    </row>
    <row r="145" spans="1:13" ht="43.5" customHeight="1" x14ac:dyDescent="0.2">
      <c r="A145" t="inlineStr">
        <is>
          <t>India</t>
        </is>
      </c>
      <c r="B145" t="inlineStr">
        <is>
          <t>Wheat</t>
        </is>
      </c>
      <c r="C145" t="inlineStr">
        <is>
          <t>Second</t>
        </is>
      </c>
      <c r="D145" t="inlineStr">
        <is>
          <t>Female</t>
        </is>
      </c>
      <c r="E145" t="inlineStr">
        <is>
          <t>Vehicle consumption by WRA -- amount</t>
        </is>
      </c>
      <c r="F145" t="inlineStr">
        <is>
          <t>mean</t>
        </is>
      </c>
      <c r="G145" t="inlineStr">
        <is>
          <t>g/day</t>
        </is>
      </c>
      <c r="I145" t="inlineStr">
        <is>
          <t>DUMMY (MIC-7580)</t>
        </is>
      </c>
      <c r="J145" t="n">
        <v>23.475200000000001</v>
      </c>
      <c r="M145" s="5" t="inlineStr">
        <is>
          <t>DUMMY PLACEHOLDER (MIC-7580): value copied from the Nigeria wheat placeholder row (itself copied from Nigeria rice). Replace with real India wheat data.</t>
        </is>
      </c>
    </row>
    <row r="146" spans="1:13" ht="43.5" customHeight="1" x14ac:dyDescent="0.2">
      <c r="A146" t="inlineStr">
        <is>
          <t>India</t>
        </is>
      </c>
      <c r="B146" t="inlineStr">
        <is>
          <t>Wheat</t>
        </is>
      </c>
      <c r="C146" t="inlineStr">
        <is>
          <t>Middle</t>
        </is>
      </c>
      <c r="D146" t="inlineStr">
        <is>
          <t>Female</t>
        </is>
      </c>
      <c r="E146" t="inlineStr">
        <is>
          <t>Vehicle consumption by WRA -- amount</t>
        </is>
      </c>
      <c r="F146" t="inlineStr">
        <is>
          <t>mean</t>
        </is>
      </c>
      <c r="G146" t="inlineStr">
        <is>
          <t>g/day</t>
        </is>
      </c>
      <c r="I146" t="inlineStr">
        <is>
          <t>DUMMY (MIC-7580)</t>
        </is>
      </c>
      <c r="J146" t="n">
        <v>33.142200000000003</v>
      </c>
      <c r="M146" s="5" t="inlineStr">
        <is>
          <t>DUMMY PLACEHOLDER (MIC-7580): value copied from the Nigeria wheat placeholder row (itself copied from Nigeria rice). Replace with real India wheat data.</t>
        </is>
      </c>
    </row>
    <row r="147" spans="1:13" ht="43.5" customHeight="1" x14ac:dyDescent="0.2">
      <c r="A147" t="inlineStr">
        <is>
          <t>India</t>
        </is>
      </c>
      <c r="B147" t="inlineStr">
        <is>
          <t>Wheat</t>
        </is>
      </c>
      <c r="C147" t="inlineStr">
        <is>
          <t>Fourth</t>
        </is>
      </c>
      <c r="D147" t="inlineStr">
        <is>
          <t>Female</t>
        </is>
      </c>
      <c r="E147" t="inlineStr">
        <is>
          <t>Vehicle consumption by WRA -- amount</t>
        </is>
      </c>
      <c r="F147" t="inlineStr">
        <is>
          <t>mean</t>
        </is>
      </c>
      <c r="G147" t="inlineStr">
        <is>
          <t>g/day</t>
        </is>
      </c>
      <c r="I147" t="inlineStr">
        <is>
          <t>DUMMY (MIC-7580)</t>
        </is>
      </c>
      <c r="J147" t="n">
        <v>46.652100000000004</v>
      </c>
      <c r="M147" s="5" t="inlineStr">
        <is>
          <t>DUMMY PLACEHOLDER (MIC-7580): value copied from the Nigeria wheat placeholder row (itself copied from Nigeria rice). Replace with real India wheat data.</t>
        </is>
      </c>
    </row>
    <row r="148" spans="1:13" ht="43.5" customHeight="1" x14ac:dyDescent="0.2">
      <c r="A148" t="inlineStr">
        <is>
          <t>India</t>
        </is>
      </c>
      <c r="B148" t="inlineStr">
        <is>
          <t>Wheat</t>
        </is>
      </c>
      <c r="C148" t="inlineStr">
        <is>
          <t>Highest</t>
        </is>
      </c>
      <c r="D148" t="inlineStr">
        <is>
          <t>Female</t>
        </is>
      </c>
      <c r="E148" t="inlineStr">
        <is>
          <t>Vehicle consumption by WRA -- amount</t>
        </is>
      </c>
      <c r="F148" t="inlineStr">
        <is>
          <t>mean</t>
        </is>
      </c>
      <c r="G148" t="inlineStr">
        <is>
          <t>g/day</t>
        </is>
      </c>
      <c r="I148" t="inlineStr">
        <is>
          <t>DUMMY (MIC-7580)</t>
        </is>
      </c>
      <c r="J148" t="n">
        <v>53.742000000000004</v>
      </c>
      <c r="M148" s="5" t="inlineStr">
        <is>
          <t>DUMMY PLACEHOLDER (MIC-7580): value copied from the Nigeria wheat placeholder row (itself copied from Nigeria rice). Replace with real India wheat data.</t>
        </is>
      </c>
    </row>
    <row r="149" spans="1:13" ht="29.25" customHeight="1" x14ac:dyDescent="0.2">
      <c r="A149" t="inlineStr">
        <is>
          <t>India</t>
        </is>
      </c>
      <c r="B149" t="inlineStr">
        <is>
          <t>Wheat</t>
        </is>
      </c>
      <c r="C149" t="inlineStr">
        <is>
          <t>Total</t>
        </is>
      </c>
      <c r="D149" t="inlineStr">
        <is>
          <t>Female</t>
        </is>
      </c>
      <c r="E149" t="inlineStr">
        <is>
          <t>Vehicle consumption by WRA -- any</t>
        </is>
      </c>
      <c r="F149" t="inlineStr">
        <is>
          <t>percentage</t>
        </is>
      </c>
      <c r="G149" t="inlineStr">
        <is>
          <t>%</t>
        </is>
      </c>
      <c r="I149" t="inlineStr">
        <is>
          <t>DUMMY (MIC-7580)</t>
        </is>
      </c>
      <c s="21" r="J149" t="n">
        <v>0.536</v>
      </c>
      <c r="M149" s="5" t="inlineStr">
        <is>
          <t>DUMMY PLACEHOLDER (MIC-7580): value copied from the Nigeria wheat placeholder row (itself copied from Nigeria rice). Replace with real India wheat data.</t>
        </is>
      </c>
    </row>
    <row r="150" spans="1:13" x14ac:dyDescent="0.2">
      <c r="A150" t="inlineStr">
        <is>
          <t>India</t>
        </is>
      </c>
      <c r="B150" t="inlineStr">
        <is>
          <t>Wheat</t>
        </is>
      </c>
      <c r="C150" t="inlineStr">
        <is>
          <t>Lowest</t>
        </is>
      </c>
      <c r="D150" t="inlineStr">
        <is>
          <t>Female</t>
        </is>
      </c>
      <c r="E150" t="inlineStr">
        <is>
          <t>Vehicle consumption by WRA -- any</t>
        </is>
      </c>
      <c r="F150" t="inlineStr">
        <is>
          <t>percentage</t>
        </is>
      </c>
      <c r="G150" t="inlineStr">
        <is>
          <t>%</t>
        </is>
      </c>
      <c r="I150" t="inlineStr">
        <is>
          <t>DUMMY (MIC-7580)</t>
        </is>
      </c>
      <c s="21" r="J150" t="n">
        <v>0.336</v>
      </c>
      <c r="M150" t="inlineStr">
        <is>
          <t>DUMMY PLACEHOLDER (MIC-7580): value copied from the Nigeria wheat placeholder row (itself copied from Nigeria rice). Replace with real India wheat data.</t>
        </is>
      </c>
    </row>
    <row r="151" spans="1:13" x14ac:dyDescent="0.2">
      <c r="A151" t="inlineStr">
        <is>
          <t>India</t>
        </is>
      </c>
      <c r="B151" t="inlineStr">
        <is>
          <t>Wheat</t>
        </is>
      </c>
      <c r="C151" t="inlineStr">
        <is>
          <t>Second</t>
        </is>
      </c>
      <c r="D151" t="inlineStr">
        <is>
          <t>Female</t>
        </is>
      </c>
      <c r="E151" t="inlineStr">
        <is>
          <t>Vehicle consumption by WRA -- any</t>
        </is>
      </c>
      <c r="F151" t="inlineStr">
        <is>
          <t>percentage</t>
        </is>
      </c>
      <c r="G151" t="inlineStr">
        <is>
          <t>%</t>
        </is>
      </c>
      <c r="I151" t="inlineStr">
        <is>
          <t>DUMMY (MIC-7580)</t>
        </is>
      </c>
      <c s="21" r="J151" t="n">
        <v>0.448</v>
      </c>
      <c r="M151" t="inlineStr">
        <is>
          <t>DUMMY PLACEHOLDER (MIC-7580): value copied from the Nigeria wheat placeholder row (itself copied from Nigeria rice). Replace with real India wheat data.</t>
        </is>
      </c>
    </row>
    <row r="152" spans="1:13" x14ac:dyDescent="0.2">
      <c r="A152" t="inlineStr">
        <is>
          <t>India</t>
        </is>
      </c>
      <c r="B152" t="inlineStr">
        <is>
          <t>Wheat</t>
        </is>
      </c>
      <c r="C152" t="inlineStr">
        <is>
          <t>Middle</t>
        </is>
      </c>
      <c r="D152" t="inlineStr">
        <is>
          <t>Female</t>
        </is>
      </c>
      <c r="E152" t="inlineStr">
        <is>
          <t>Vehicle consumption by WRA -- any</t>
        </is>
      </c>
      <c r="F152" t="inlineStr">
        <is>
          <t>percentage</t>
        </is>
      </c>
      <c r="G152" t="inlineStr">
        <is>
          <t>%</t>
        </is>
      </c>
      <c r="I152" t="inlineStr">
        <is>
          <t>DUMMY (MIC-7580)</t>
        </is>
      </c>
      <c s="21" r="J152" t="n">
        <v>0.546</v>
      </c>
      <c r="M152" t="inlineStr">
        <is>
          <t>DUMMY PLACEHOLDER (MIC-7580): value copied from the Nigeria wheat placeholder row (itself copied from Nigeria rice). Replace with real India wheat data.</t>
        </is>
      </c>
    </row>
    <row r="153" spans="1:13" x14ac:dyDescent="0.2">
      <c r="A153" t="inlineStr">
        <is>
          <t>India</t>
        </is>
      </c>
      <c r="B153" t="inlineStr">
        <is>
          <t>Wheat</t>
        </is>
      </c>
      <c r="C153" t="inlineStr">
        <is>
          <t>Fourth</t>
        </is>
      </c>
      <c r="D153" t="inlineStr">
        <is>
          <t>Female</t>
        </is>
      </c>
      <c r="E153" t="inlineStr">
        <is>
          <t>Vehicle consumption by WRA -- any</t>
        </is>
      </c>
      <c r="F153" t="inlineStr">
        <is>
          <t>percentage</t>
        </is>
      </c>
      <c r="G153" t="inlineStr">
        <is>
          <t>%</t>
        </is>
      </c>
      <c r="I153" t="inlineStr">
        <is>
          <t>DUMMY (MIC-7580)</t>
        </is>
      </c>
      <c s="21" r="J153" t="n">
        <v>0.633</v>
      </c>
      <c r="M153" t="inlineStr">
        <is>
          <t>DUMMY PLACEHOLDER (MIC-7580): value copied from the Nigeria wheat placeholder row (itself copied from Nigeria rice). Replace with real India wheat data.</t>
        </is>
      </c>
    </row>
    <row r="154" spans="1:13" x14ac:dyDescent="0.2">
      <c r="A154" t="inlineStr">
        <is>
          <t>India</t>
        </is>
      </c>
      <c r="B154" t="inlineStr">
        <is>
          <t>Wheat</t>
        </is>
      </c>
      <c r="C154" t="inlineStr">
        <is>
          <t>Highest</t>
        </is>
      </c>
      <c r="D154" t="inlineStr">
        <is>
          <t>Female</t>
        </is>
      </c>
      <c r="E154" t="inlineStr">
        <is>
          <t>Vehicle consumption by WRA -- any</t>
        </is>
      </c>
      <c r="F154" t="inlineStr">
        <is>
          <t>percentage</t>
        </is>
      </c>
      <c r="G154" t="inlineStr">
        <is>
          <t>%</t>
        </is>
      </c>
      <c r="I154" t="inlineStr">
        <is>
          <t>DUMMY (MIC-7580)</t>
        </is>
      </c>
      <c s="21" r="J154" t="n">
        <v>0.676</v>
      </c>
      <c r="M154" t="inlineStr">
        <is>
          <t>DUMMY PLACEHOLDER (MIC-7580): value copied from the Nigeria wheat placeholder row (itself copied from Nigeria rice). Replace with real India wheat data.</t>
        </is>
      </c>
    </row>
    <row r="155" spans="1:13" ht="29.25" customHeight="1" x14ac:dyDescent="0.2">
      <c r="A155" t="inlineStr">
        <is>
          <t>India</t>
        </is>
      </c>
      <c r="B155" t="inlineStr">
        <is>
          <t>Wheat</t>
        </is>
      </c>
      <c r="C155" t="inlineStr">
        <is>
          <t>All (assumed same)</t>
        </is>
      </c>
      <c r="D155" t="inlineStr">
        <is>
          <t>Female</t>
        </is>
      </c>
      <c r="E155" t="inlineStr">
        <is>
          <t>Vehicle consumption by WRA -- amount</t>
        </is>
      </c>
      <c r="F155" t="inlineStr">
        <is>
          <t>standard deviation</t>
        </is>
      </c>
      <c r="G155" t="inlineStr">
        <is>
          <t>g/day</t>
        </is>
      </c>
      <c r="I155" t="inlineStr">
        <is>
          <t>DUMMY (MIC-7580)</t>
        </is>
      </c>
      <c r="J155" t="n">
        <v>40.074074074074069</v>
      </c>
      <c r="M155" s="5" t="inlineStr">
        <is>
          <t>DUMMY PLACEHOLDER (MIC-7580): Nigeria wheat WRA Total SD, applied to every quintile. Replace with real India wheat data.</t>
        </is>
      </c>
    </row>
    <row r="156" spans="1:13" ht="15" customHeight="1" x14ac:dyDescent="0.2">
      <c r="A156" t="inlineStr">
        <is>
          <t>India</t>
        </is>
      </c>
      <c r="B156" t="inlineStr">
        <is>
          <t>Salt</t>
        </is>
      </c>
      <c r="C156" t="inlineStr">
        <is>
          <t>All (assumed same)</t>
        </is>
      </c>
      <c r="D156" t="inlineStr">
        <is>
          <t>All (assumed same)</t>
        </is>
      </c>
      <c r="E156" t="inlineStr">
        <is>
          <t>Vehicle "fortifiability" (essentially amount industrially produced)</t>
        </is>
      </c>
      <c r="F156" t="inlineStr">
        <is>
          <t>percentage</t>
        </is>
      </c>
      <c r="G156" t="inlineStr">
        <is>
          <t>%</t>
        </is>
      </c>
      <c r="I156" t="inlineStr">
        <is>
          <t>DUMMY (MIC-7580)</t>
        </is>
      </c>
      <c s="7" r="J156" t="n">
        <v>0.74</v>
      </c>
      <c r="M156" s="5" t="inlineStr">
        <is>
          <t>DUMMY PLACEHOLDER (MIC-7580): value copied from the India wheat placeholder row. Replace with real India salt data.</t>
        </is>
      </c>
    </row>
    <row r="157" spans="1:13" ht="43.5" customHeight="1" x14ac:dyDescent="0.2">
      <c r="A157" t="inlineStr">
        <is>
          <t>India</t>
        </is>
      </c>
      <c r="B157" t="inlineStr">
        <is>
          <t>Salt</t>
        </is>
      </c>
      <c r="C157" t="inlineStr">
        <is>
          <t>Total</t>
        </is>
      </c>
      <c r="D157" t="inlineStr">
        <is>
          <t>Female</t>
        </is>
      </c>
      <c r="E157" t="inlineStr">
        <is>
          <t>Vehicle consumption by WRA -- amount</t>
        </is>
      </c>
      <c r="F157" t="inlineStr">
        <is>
          <t>mean</t>
        </is>
      </c>
      <c r="G157" t="inlineStr">
        <is>
          <t>g/day</t>
        </is>
      </c>
      <c r="I157" t="inlineStr">
        <is>
          <t>DUMMY (MIC-7580)</t>
        </is>
      </c>
      <c r="J157" t="n">
        <v>32.803200000000004</v>
      </c>
      <c r="M157" s="5" t="inlineStr">
        <is>
          <t>DUMMY PLACEHOLDER (MIC-7580): value copied from the India wheat placeholder row. Replace with real India salt data.</t>
        </is>
      </c>
    </row>
    <row r="158" spans="1:13" ht="43.5" customHeight="1" x14ac:dyDescent="0.2">
      <c r="A158" t="inlineStr">
        <is>
          <t>India</t>
        </is>
      </c>
      <c r="B158" t="inlineStr">
        <is>
          <t>Salt</t>
        </is>
      </c>
      <c r="C158" t="inlineStr">
        <is>
          <t>Lowest</t>
        </is>
      </c>
      <c r="D158" t="inlineStr">
        <is>
          <t>Female</t>
        </is>
      </c>
      <c r="E158" t="inlineStr">
        <is>
          <t>Vehicle consumption by WRA -- amount</t>
        </is>
      </c>
      <c r="F158" t="inlineStr">
        <is>
          <t>mean</t>
        </is>
      </c>
      <c r="G158" t="inlineStr">
        <is>
          <t>g/day</t>
        </is>
      </c>
      <c r="I158" t="inlineStr">
        <is>
          <t>DUMMY (MIC-7580)</t>
        </is>
      </c>
      <c r="J158" t="n">
        <v>11.491200000000001</v>
      </c>
      <c r="M158" s="5" t="inlineStr">
        <is>
          <t>DUMMY PLACEHOLDER (MIC-7580): value copied from the India wheat placeholder row. Replace with real India salt data.</t>
        </is>
      </c>
    </row>
    <row r="159" spans="1:13" ht="43.5" customHeight="1" x14ac:dyDescent="0.2">
      <c r="A159" t="inlineStr">
        <is>
          <t>India</t>
        </is>
      </c>
      <c r="B159" t="inlineStr">
        <is>
          <t>Salt</t>
        </is>
      </c>
      <c r="C159" t="inlineStr">
        <is>
          <t>Second</t>
        </is>
      </c>
      <c r="D159" t="inlineStr">
        <is>
          <t>Female</t>
        </is>
      </c>
      <c r="E159" t="inlineStr">
        <is>
          <t>Vehicle consumption by WRA -- amount</t>
        </is>
      </c>
      <c r="F159" t="inlineStr">
        <is>
          <t>mean</t>
        </is>
      </c>
      <c r="G159" t="inlineStr">
        <is>
          <t>g/day</t>
        </is>
      </c>
      <c r="I159" t="inlineStr">
        <is>
          <t>DUMMY (MIC-7580)</t>
        </is>
      </c>
      <c r="J159" t="n">
        <v>23.475200000000001</v>
      </c>
      <c r="M159" s="5" t="inlineStr">
        <is>
          <t>DUMMY PLACEHOLDER (MIC-7580): value copied from the India wheat placeholder row. Replace with real India salt data.</t>
        </is>
      </c>
    </row>
    <row r="160" spans="1:13" ht="43.5" customHeight="1" x14ac:dyDescent="0.2">
      <c r="A160" t="inlineStr">
        <is>
          <t>India</t>
        </is>
      </c>
      <c r="B160" t="inlineStr">
        <is>
          <t>Salt</t>
        </is>
      </c>
      <c r="C160" t="inlineStr">
        <is>
          <t>Middle</t>
        </is>
      </c>
      <c r="D160" t="inlineStr">
        <is>
          <t>Female</t>
        </is>
      </c>
      <c r="E160" t="inlineStr">
        <is>
          <t>Vehicle consumption by WRA -- amount</t>
        </is>
      </c>
      <c r="F160" t="inlineStr">
        <is>
          <t>mean</t>
        </is>
      </c>
      <c r="G160" t="inlineStr">
        <is>
          <t>g/day</t>
        </is>
      </c>
      <c r="I160" t="inlineStr">
        <is>
          <t>DUMMY (MIC-7580)</t>
        </is>
      </c>
      <c r="J160" t="n">
        <v>33.142200000000003</v>
      </c>
      <c r="M160" s="5" t="inlineStr">
        <is>
          <t>DUMMY PLACEHOLDER (MIC-7580): value copied from the India wheat placeholder row. Replace with real India salt data.</t>
        </is>
      </c>
    </row>
    <row r="161" spans="1:13" ht="43.5" customHeight="1" x14ac:dyDescent="0.2">
      <c r="A161" t="inlineStr">
        <is>
          <t>India</t>
        </is>
      </c>
      <c r="B161" t="inlineStr">
        <is>
          <t>Salt</t>
        </is>
      </c>
      <c r="C161" t="inlineStr">
        <is>
          <t>Fourth</t>
        </is>
      </c>
      <c r="D161" t="inlineStr">
        <is>
          <t>Female</t>
        </is>
      </c>
      <c r="E161" t="inlineStr">
        <is>
          <t>Vehicle consumption by WRA -- amount</t>
        </is>
      </c>
      <c r="F161" t="inlineStr">
        <is>
          <t>mean</t>
        </is>
      </c>
      <c r="G161" t="inlineStr">
        <is>
          <t>g/day</t>
        </is>
      </c>
      <c r="I161" t="inlineStr">
        <is>
          <t>DUMMY (MIC-7580)</t>
        </is>
      </c>
      <c r="J161" t="n">
        <v>46.652100000000004</v>
      </c>
      <c r="M161" s="5" t="inlineStr">
        <is>
          <t>DUMMY PLACEHOLDER (MIC-7580): value copied from the India wheat placeholder row. Replace with real India salt data.</t>
        </is>
      </c>
    </row>
    <row r="162" spans="1:13" ht="43.5" customHeight="1" x14ac:dyDescent="0.2">
      <c r="A162" t="inlineStr">
        <is>
          <t>India</t>
        </is>
      </c>
      <c r="B162" t="inlineStr">
        <is>
          <t>Salt</t>
        </is>
      </c>
      <c r="C162" t="inlineStr">
        <is>
          <t>Highest</t>
        </is>
      </c>
      <c r="D162" t="inlineStr">
        <is>
          <t>Female</t>
        </is>
      </c>
      <c r="E162" t="inlineStr">
        <is>
          <t>Vehicle consumption by WRA -- amount</t>
        </is>
      </c>
      <c r="F162" t="inlineStr">
        <is>
          <t>mean</t>
        </is>
      </c>
      <c r="G162" t="inlineStr">
        <is>
          <t>g/day</t>
        </is>
      </c>
      <c r="I162" t="inlineStr">
        <is>
          <t>DUMMY (MIC-7580)</t>
        </is>
      </c>
      <c r="J162" t="n">
        <v>53.742000000000004</v>
      </c>
      <c r="M162" s="5" t="inlineStr">
        <is>
          <t>DUMMY PLACEHOLDER (MIC-7580): value copied from the India wheat placeholder row. Replace with real India salt data.</t>
        </is>
      </c>
    </row>
    <row r="163" spans="1:13" ht="29.25" customHeight="1" x14ac:dyDescent="0.2">
      <c r="A163" t="inlineStr">
        <is>
          <t>India</t>
        </is>
      </c>
      <c r="B163" t="inlineStr">
        <is>
          <t>Salt</t>
        </is>
      </c>
      <c r="C163" t="inlineStr">
        <is>
          <t>Total</t>
        </is>
      </c>
      <c r="D163" t="inlineStr">
        <is>
          <t>Female</t>
        </is>
      </c>
      <c r="E163" t="inlineStr">
        <is>
          <t>Vehicle consumption by WRA -- any</t>
        </is>
      </c>
      <c r="F163" t="inlineStr">
        <is>
          <t>percentage</t>
        </is>
      </c>
      <c r="G163" t="inlineStr">
        <is>
          <t>%</t>
        </is>
      </c>
      <c r="I163" t="inlineStr">
        <is>
          <t>DUMMY (MIC-7580)</t>
        </is>
      </c>
      <c s="21" r="J163" t="n">
        <v>0.536</v>
      </c>
      <c r="M163" s="5" t="inlineStr">
        <is>
          <t>DUMMY PLACEHOLDER (MIC-7580): value copied from the India wheat placeholder row. Replace with real India salt data.</t>
        </is>
      </c>
    </row>
    <row r="164" spans="1:13" x14ac:dyDescent="0.2">
      <c r="A164" t="inlineStr">
        <is>
          <t>India</t>
        </is>
      </c>
      <c r="B164" t="inlineStr">
        <is>
          <t>Salt</t>
        </is>
      </c>
      <c r="C164" t="inlineStr">
        <is>
          <t>Lowest</t>
        </is>
      </c>
      <c r="D164" t="inlineStr">
        <is>
          <t>Female</t>
        </is>
      </c>
      <c r="E164" t="inlineStr">
        <is>
          <t>Vehicle consumption by WRA -- any</t>
        </is>
      </c>
      <c r="F164" t="inlineStr">
        <is>
          <t>percentage</t>
        </is>
      </c>
      <c r="G164" t="inlineStr">
        <is>
          <t>%</t>
        </is>
      </c>
      <c r="I164" t="inlineStr">
        <is>
          <t>DUMMY (MIC-7580)</t>
        </is>
      </c>
      <c s="21" r="J164" t="n">
        <v>0.336</v>
      </c>
      <c r="M164" t="inlineStr">
        <is>
          <t>DUMMY PLACEHOLDER (MIC-7580): value copied from the India wheat placeholder row. Replace with real India salt data.</t>
        </is>
      </c>
    </row>
    <row r="165" spans="1:13" x14ac:dyDescent="0.2">
      <c r="A165" t="inlineStr">
        <is>
          <t>India</t>
        </is>
      </c>
      <c r="B165" t="inlineStr">
        <is>
          <t>Salt</t>
        </is>
      </c>
      <c r="C165" t="inlineStr">
        <is>
          <t>Second</t>
        </is>
      </c>
      <c r="D165" t="inlineStr">
        <is>
          <t>Female</t>
        </is>
      </c>
      <c r="E165" t="inlineStr">
        <is>
          <t>Vehicle consumption by WRA -- any</t>
        </is>
      </c>
      <c r="F165" t="inlineStr">
        <is>
          <t>percentage</t>
        </is>
      </c>
      <c r="G165" t="inlineStr">
        <is>
          <t>%</t>
        </is>
      </c>
      <c r="I165" t="inlineStr">
        <is>
          <t>DUMMY (MIC-7580)</t>
        </is>
      </c>
      <c s="21" r="J165" t="n">
        <v>0.448</v>
      </c>
      <c r="M165" t="inlineStr">
        <is>
          <t>DUMMY PLACEHOLDER (MIC-7580): value copied from the India wheat placeholder row. Replace with real India salt data.</t>
        </is>
      </c>
    </row>
    <row r="166" spans="1:13" x14ac:dyDescent="0.2">
      <c r="A166" t="inlineStr">
        <is>
          <t>India</t>
        </is>
      </c>
      <c r="B166" t="inlineStr">
        <is>
          <t>Salt</t>
        </is>
      </c>
      <c r="C166" t="inlineStr">
        <is>
          <t>Middle</t>
        </is>
      </c>
      <c r="D166" t="inlineStr">
        <is>
          <t>Female</t>
        </is>
      </c>
      <c r="E166" t="inlineStr">
        <is>
          <t>Vehicle consumption by WRA -- any</t>
        </is>
      </c>
      <c r="F166" t="inlineStr">
        <is>
          <t>percentage</t>
        </is>
      </c>
      <c r="G166" t="inlineStr">
        <is>
          <t>%</t>
        </is>
      </c>
      <c r="I166" t="inlineStr">
        <is>
          <t>DUMMY (MIC-7580)</t>
        </is>
      </c>
      <c s="21" r="J166" t="n">
        <v>0.546</v>
      </c>
      <c r="M166" t="inlineStr">
        <is>
          <t>DUMMY PLACEHOLDER (MIC-7580): value copied from the India wheat placeholder row. Replace with real India salt data.</t>
        </is>
      </c>
    </row>
    <row r="167" spans="1:13" x14ac:dyDescent="0.2">
      <c r="A167" t="inlineStr">
        <is>
          <t>India</t>
        </is>
      </c>
      <c r="B167" t="inlineStr">
        <is>
          <t>Salt</t>
        </is>
      </c>
      <c r="C167" t="inlineStr">
        <is>
          <t>Fourth</t>
        </is>
      </c>
      <c r="D167" t="inlineStr">
        <is>
          <t>Female</t>
        </is>
      </c>
      <c r="E167" t="inlineStr">
        <is>
          <t>Vehicle consumption by WRA -- any</t>
        </is>
      </c>
      <c r="F167" t="inlineStr">
        <is>
          <t>percentage</t>
        </is>
      </c>
      <c r="G167" t="inlineStr">
        <is>
          <t>%</t>
        </is>
      </c>
      <c r="I167" t="inlineStr">
        <is>
          <t>DUMMY (MIC-7580)</t>
        </is>
      </c>
      <c s="21" r="J167" t="n">
        <v>0.633</v>
      </c>
      <c r="M167" t="inlineStr">
        <is>
          <t>DUMMY PLACEHOLDER (MIC-7580): value copied from the India wheat placeholder row. Replace with real India salt data.</t>
        </is>
      </c>
    </row>
    <row r="168" spans="1:13" x14ac:dyDescent="0.2">
      <c r="A168" t="inlineStr">
        <is>
          <t>India</t>
        </is>
      </c>
      <c r="B168" t="inlineStr">
        <is>
          <t>Salt</t>
        </is>
      </c>
      <c r="C168" t="inlineStr">
        <is>
          <t>Highest</t>
        </is>
      </c>
      <c r="D168" t="inlineStr">
        <is>
          <t>Female</t>
        </is>
      </c>
      <c r="E168" t="inlineStr">
        <is>
          <t>Vehicle consumption by WRA -- any</t>
        </is>
      </c>
      <c r="F168" t="inlineStr">
        <is>
          <t>percentage</t>
        </is>
      </c>
      <c r="G168" t="inlineStr">
        <is>
          <t>%</t>
        </is>
      </c>
      <c r="I168" t="inlineStr">
        <is>
          <t>DUMMY (MIC-7580)</t>
        </is>
      </c>
      <c s="21" r="J168" t="n">
        <v>0.676</v>
      </c>
      <c r="M168" t="inlineStr">
        <is>
          <t>DUMMY PLACEHOLDER (MIC-7580): value copied from the India wheat placeholder row. Replace with real India salt data.</t>
        </is>
      </c>
    </row>
    <row r="169" spans="1:13" ht="29.25" customHeight="1" x14ac:dyDescent="0.2">
      <c r="A169" t="inlineStr">
        <is>
          <t>India</t>
        </is>
      </c>
      <c r="B169" t="inlineStr">
        <is>
          <t>Salt</t>
        </is>
      </c>
      <c r="C169" t="inlineStr">
        <is>
          <t>All (assumed same)</t>
        </is>
      </c>
      <c r="D169" t="inlineStr">
        <is>
          <t>Female</t>
        </is>
      </c>
      <c r="E169" t="inlineStr">
        <is>
          <t>Vehicle consumption by WRA -- amount</t>
        </is>
      </c>
      <c r="F169" t="inlineStr">
        <is>
          <t>standard deviation</t>
        </is>
      </c>
      <c r="G169" t="inlineStr">
        <is>
          <t>g/day</t>
        </is>
      </c>
      <c r="I169" t="inlineStr">
        <is>
          <t>DUMMY (MIC-7580)</t>
        </is>
      </c>
      <c r="J169" t="n">
        <v>40.074074074074069</v>
      </c>
      <c r="M169" s="5" t="inlineStr">
        <is>
          <t>DUMMY PLACEHOLDER (MIC-7580): value copied from the India wheat placeholder row. Replace with real India salt data.</t>
        </is>
      </c>
    </row>
    <row r="170" spans="1:13" ht="15" customHeight="1" x14ac:dyDescent="0.2">
      <c r="A170" t="inlineStr">
        <is>
          <t>Ethiopia</t>
        </is>
      </c>
      <c r="B170" t="inlineStr">
        <is>
          <t>Wheat</t>
        </is>
      </c>
      <c r="C170" t="inlineStr">
        <is>
          <t>All (assumed same)</t>
        </is>
      </c>
      <c r="D170" t="inlineStr">
        <is>
          <t>All (assumed same)</t>
        </is>
      </c>
      <c r="E170" t="inlineStr">
        <is>
          <t>Vehicle "fortifiability" (essentially amount industrially produced)</t>
        </is>
      </c>
      <c r="F170" t="inlineStr">
        <is>
          <t>percentage</t>
        </is>
      </c>
      <c r="G170" t="inlineStr">
        <is>
          <t>%</t>
        </is>
      </c>
      <c r="I170" t="inlineStr">
        <is>
          <t>DUMMY (MIC-7585)</t>
        </is>
      </c>
      <c s="7" r="J170" t="n">
        <v>0.74</v>
      </c>
      <c r="M170" s="5" t="inlineStr">
        <is>
          <t>DUMMY PLACEHOLDER (MIC-7585): value copied from the India wheat placeholder row. Replace with real Ethiopia wheat data.</t>
        </is>
      </c>
    </row>
    <row r="171" spans="1:13" ht="43.5" customHeight="1" x14ac:dyDescent="0.2">
      <c r="A171" t="inlineStr">
        <is>
          <t>Ethiopia</t>
        </is>
      </c>
      <c r="B171" t="inlineStr">
        <is>
          <t>Wheat</t>
        </is>
      </c>
      <c r="C171" t="inlineStr">
        <is>
          <t>Total</t>
        </is>
      </c>
      <c r="D171" t="inlineStr">
        <is>
          <t>Female</t>
        </is>
      </c>
      <c r="E171" t="inlineStr">
        <is>
          <t>Vehicle consumption by WRA -- amount</t>
        </is>
      </c>
      <c r="F171" t="inlineStr">
        <is>
          <t>mean</t>
        </is>
      </c>
      <c r="G171" t="inlineStr">
        <is>
          <t>g/day</t>
        </is>
      </c>
      <c r="I171" t="inlineStr">
        <is>
          <t>DUMMY (MIC-7585)</t>
        </is>
      </c>
      <c r="J171" t="n">
        <v>32.803200000000004</v>
      </c>
      <c r="M171" s="5" t="inlineStr">
        <is>
          <t>DUMMY PLACEHOLDER (MIC-7585): value copied from the India wheat placeholder row. Replace with real Ethiopia wheat data.</t>
        </is>
      </c>
    </row>
    <row r="172" spans="1:13" ht="43.5" customHeight="1" x14ac:dyDescent="0.2">
      <c r="A172" t="inlineStr">
        <is>
          <t>Ethiopia</t>
        </is>
      </c>
      <c r="B172" t="inlineStr">
        <is>
          <t>Wheat</t>
        </is>
      </c>
      <c r="C172" t="inlineStr">
        <is>
          <t>Lowest</t>
        </is>
      </c>
      <c r="D172" t="inlineStr">
        <is>
          <t>Female</t>
        </is>
      </c>
      <c r="E172" t="inlineStr">
        <is>
          <t>Vehicle consumption by WRA -- amount</t>
        </is>
      </c>
      <c r="F172" t="inlineStr">
        <is>
          <t>mean</t>
        </is>
      </c>
      <c r="G172" t="inlineStr">
        <is>
          <t>g/day</t>
        </is>
      </c>
      <c r="I172" t="inlineStr">
        <is>
          <t>DUMMY (MIC-7585)</t>
        </is>
      </c>
      <c r="J172" t="n">
        <v>11.491200000000001</v>
      </c>
      <c r="M172" s="5" t="inlineStr">
        <is>
          <t>DUMMY PLACEHOLDER (MIC-7585): value copied from the India wheat placeholder row. Replace with real Ethiopia wheat data.</t>
        </is>
      </c>
    </row>
    <row r="173" spans="1:13" ht="43.5" customHeight="1" x14ac:dyDescent="0.2">
      <c r="A173" t="inlineStr">
        <is>
          <t>Ethiopia</t>
        </is>
      </c>
      <c r="B173" t="inlineStr">
        <is>
          <t>Wheat</t>
        </is>
      </c>
      <c r="C173" t="inlineStr">
        <is>
          <t>Second</t>
        </is>
      </c>
      <c r="D173" t="inlineStr">
        <is>
          <t>Female</t>
        </is>
      </c>
      <c r="E173" t="inlineStr">
        <is>
          <t>Vehicle consumption by WRA -- amount</t>
        </is>
      </c>
      <c r="F173" t="inlineStr">
        <is>
          <t>mean</t>
        </is>
      </c>
      <c r="G173" t="inlineStr">
        <is>
          <t>g/day</t>
        </is>
      </c>
      <c r="I173" t="inlineStr">
        <is>
          <t>DUMMY (MIC-7585)</t>
        </is>
      </c>
      <c r="J173" t="n">
        <v>23.475200000000001</v>
      </c>
      <c r="M173" s="5" t="inlineStr">
        <is>
          <t>DUMMY PLACEHOLDER (MIC-7585): value copied from the India wheat placeholder row. Replace with real Ethiopia wheat data.</t>
        </is>
      </c>
    </row>
    <row r="174" spans="1:13" ht="43.5" customHeight="1" x14ac:dyDescent="0.2">
      <c r="A174" t="inlineStr">
        <is>
          <t>Ethiopia</t>
        </is>
      </c>
      <c r="B174" t="inlineStr">
        <is>
          <t>Wheat</t>
        </is>
      </c>
      <c r="C174" t="inlineStr">
        <is>
          <t>Middle</t>
        </is>
      </c>
      <c r="D174" t="inlineStr">
        <is>
          <t>Female</t>
        </is>
      </c>
      <c r="E174" t="inlineStr">
        <is>
          <t>Vehicle consumption by WRA -- amount</t>
        </is>
      </c>
      <c r="F174" t="inlineStr">
        <is>
          <t>mean</t>
        </is>
      </c>
      <c r="G174" t="inlineStr">
        <is>
          <t>g/day</t>
        </is>
      </c>
      <c r="I174" t="inlineStr">
        <is>
          <t>DUMMY (MIC-7585)</t>
        </is>
      </c>
      <c r="J174" t="n">
        <v>33.142200000000003</v>
      </c>
      <c r="M174" s="5" t="inlineStr">
        <is>
          <t>DUMMY PLACEHOLDER (MIC-7585): value copied from the India wheat placeholder row. Replace with real Ethiopia wheat data.</t>
        </is>
      </c>
    </row>
    <row r="175" spans="1:13" ht="43.5" customHeight="1" x14ac:dyDescent="0.2">
      <c r="A175" t="inlineStr">
        <is>
          <t>Ethiopia</t>
        </is>
      </c>
      <c r="B175" t="inlineStr">
        <is>
          <t>Wheat</t>
        </is>
      </c>
      <c r="C175" t="inlineStr">
        <is>
          <t>Fourth</t>
        </is>
      </c>
      <c r="D175" t="inlineStr">
        <is>
          <t>Female</t>
        </is>
      </c>
      <c r="E175" t="inlineStr">
        <is>
          <t>Vehicle consumption by WRA -- amount</t>
        </is>
      </c>
      <c r="F175" t="inlineStr">
        <is>
          <t>mean</t>
        </is>
      </c>
      <c r="G175" t="inlineStr">
        <is>
          <t>g/day</t>
        </is>
      </c>
      <c r="I175" t="inlineStr">
        <is>
          <t>DUMMY (MIC-7585)</t>
        </is>
      </c>
      <c r="J175" t="n">
        <v>46.652100000000004</v>
      </c>
      <c r="M175" s="5" t="inlineStr">
        <is>
          <t>DUMMY PLACEHOLDER (MIC-7585): value copied from the India wheat placeholder row. Replace with real Ethiopia wheat data.</t>
        </is>
      </c>
    </row>
    <row r="176" spans="1:13" ht="43.5" customHeight="1" x14ac:dyDescent="0.2">
      <c r="A176" t="inlineStr">
        <is>
          <t>Ethiopia</t>
        </is>
      </c>
      <c r="B176" t="inlineStr">
        <is>
          <t>Wheat</t>
        </is>
      </c>
      <c r="C176" t="inlineStr">
        <is>
          <t>Highest</t>
        </is>
      </c>
      <c r="D176" t="inlineStr">
        <is>
          <t>Female</t>
        </is>
      </c>
      <c r="E176" t="inlineStr">
        <is>
          <t>Vehicle consumption by WRA -- amount</t>
        </is>
      </c>
      <c r="F176" t="inlineStr">
        <is>
          <t>mean</t>
        </is>
      </c>
      <c r="G176" t="inlineStr">
        <is>
          <t>g/day</t>
        </is>
      </c>
      <c r="I176" t="inlineStr">
        <is>
          <t>DUMMY (MIC-7585)</t>
        </is>
      </c>
      <c r="J176" t="n">
        <v>53.742000000000004</v>
      </c>
      <c r="M176" s="5" t="inlineStr">
        <is>
          <t>DUMMY PLACEHOLDER (MIC-7585): value copied from the India wheat placeholder row. Replace with real Ethiopia wheat data.</t>
        </is>
      </c>
    </row>
    <row r="177" spans="1:13" ht="29.25" customHeight="1" x14ac:dyDescent="0.2">
      <c r="A177" t="inlineStr">
        <is>
          <t>Ethiopia</t>
        </is>
      </c>
      <c r="B177" t="inlineStr">
        <is>
          <t>Wheat</t>
        </is>
      </c>
      <c r="C177" t="inlineStr">
        <is>
          <t>Total</t>
        </is>
      </c>
      <c r="D177" t="inlineStr">
        <is>
          <t>Female</t>
        </is>
      </c>
      <c r="E177" t="inlineStr">
        <is>
          <t>Vehicle consumption by WRA -- any</t>
        </is>
      </c>
      <c r="F177" t="inlineStr">
        <is>
          <t>percentage</t>
        </is>
      </c>
      <c r="G177" t="inlineStr">
        <is>
          <t>%</t>
        </is>
      </c>
      <c r="I177" t="inlineStr">
        <is>
          <t>DUMMY (MIC-7585)</t>
        </is>
      </c>
      <c s="21" r="J177" t="n">
        <v>0.536</v>
      </c>
      <c r="M177" s="5" t="inlineStr">
        <is>
          <t>DUMMY PLACEHOLDER (MIC-7585): value copied from the India wheat placeholder row. Replace with real Ethiopia wheat data.</t>
        </is>
      </c>
    </row>
    <row r="178" spans="1:13" x14ac:dyDescent="0.2">
      <c r="A178" t="inlineStr">
        <is>
          <t>Ethiopia</t>
        </is>
      </c>
      <c r="B178" t="inlineStr">
        <is>
          <t>Wheat</t>
        </is>
      </c>
      <c r="C178" t="inlineStr">
        <is>
          <t>Lowest</t>
        </is>
      </c>
      <c r="D178" t="inlineStr">
        <is>
          <t>Female</t>
        </is>
      </c>
      <c r="E178" t="inlineStr">
        <is>
          <t>Vehicle consumption by WRA -- any</t>
        </is>
      </c>
      <c r="F178" t="inlineStr">
        <is>
          <t>percentage</t>
        </is>
      </c>
      <c r="G178" t="inlineStr">
        <is>
          <t>%</t>
        </is>
      </c>
      <c r="I178" t="inlineStr">
        <is>
          <t>DUMMY (MIC-7585)</t>
        </is>
      </c>
      <c s="21" r="J178" t="n">
        <v>0.336</v>
      </c>
      <c r="M178" t="inlineStr">
        <is>
          <t>DUMMY PLACEHOLDER (MIC-7585): value copied from the India wheat placeholder row. Replace with real Ethiopia wheat data.</t>
        </is>
      </c>
    </row>
    <row r="179" spans="1:13" x14ac:dyDescent="0.2">
      <c r="A179" t="inlineStr">
        <is>
          <t>Ethiopia</t>
        </is>
      </c>
      <c r="B179" t="inlineStr">
        <is>
          <t>Wheat</t>
        </is>
      </c>
      <c r="C179" t="inlineStr">
        <is>
          <t>Second</t>
        </is>
      </c>
      <c r="D179" t="inlineStr">
        <is>
          <t>Female</t>
        </is>
      </c>
      <c r="E179" t="inlineStr">
        <is>
          <t>Vehicle consumption by WRA -- any</t>
        </is>
      </c>
      <c r="F179" t="inlineStr">
        <is>
          <t>percentage</t>
        </is>
      </c>
      <c r="G179" t="inlineStr">
        <is>
          <t>%</t>
        </is>
      </c>
      <c r="I179" t="inlineStr">
        <is>
          <t>DUMMY (MIC-7585)</t>
        </is>
      </c>
      <c s="21" r="J179" t="n">
        <v>0.448</v>
      </c>
      <c r="M179" t="inlineStr">
        <is>
          <t>DUMMY PLACEHOLDER (MIC-7585): value copied from the India wheat placeholder row. Replace with real Ethiopia wheat data.</t>
        </is>
      </c>
    </row>
    <row r="180" spans="1:13" x14ac:dyDescent="0.2">
      <c r="A180" t="inlineStr">
        <is>
          <t>Ethiopia</t>
        </is>
      </c>
      <c r="B180" t="inlineStr">
        <is>
          <t>Wheat</t>
        </is>
      </c>
      <c r="C180" t="inlineStr">
        <is>
          <t>Middle</t>
        </is>
      </c>
      <c r="D180" t="inlineStr">
        <is>
          <t>Female</t>
        </is>
      </c>
      <c r="E180" t="inlineStr">
        <is>
          <t>Vehicle consumption by WRA -- any</t>
        </is>
      </c>
      <c r="F180" t="inlineStr">
        <is>
          <t>percentage</t>
        </is>
      </c>
      <c r="G180" t="inlineStr">
        <is>
          <t>%</t>
        </is>
      </c>
      <c r="I180" t="inlineStr">
        <is>
          <t>DUMMY (MIC-7585)</t>
        </is>
      </c>
      <c s="21" r="J180" t="n">
        <v>0.546</v>
      </c>
      <c r="M180" t="inlineStr">
        <is>
          <t>DUMMY PLACEHOLDER (MIC-7585): value copied from the India wheat placeholder row. Replace with real Ethiopia wheat data.</t>
        </is>
      </c>
    </row>
    <row r="181" spans="1:13" x14ac:dyDescent="0.2">
      <c r="A181" t="inlineStr">
        <is>
          <t>Ethiopia</t>
        </is>
      </c>
      <c r="B181" t="inlineStr">
        <is>
          <t>Wheat</t>
        </is>
      </c>
      <c r="C181" t="inlineStr">
        <is>
          <t>Fourth</t>
        </is>
      </c>
      <c r="D181" t="inlineStr">
        <is>
          <t>Female</t>
        </is>
      </c>
      <c r="E181" t="inlineStr">
        <is>
          <t>Vehicle consumption by WRA -- any</t>
        </is>
      </c>
      <c r="F181" t="inlineStr">
        <is>
          <t>percentage</t>
        </is>
      </c>
      <c r="G181" t="inlineStr">
        <is>
          <t>%</t>
        </is>
      </c>
      <c r="I181" t="inlineStr">
        <is>
          <t>DUMMY (MIC-7585)</t>
        </is>
      </c>
      <c s="21" r="J181" t="n">
        <v>0.633</v>
      </c>
      <c r="M181" t="inlineStr">
        <is>
          <t>DUMMY PLACEHOLDER (MIC-7585): value copied from the India wheat placeholder row. Replace with real Ethiopia wheat data.</t>
        </is>
      </c>
    </row>
    <row r="182" spans="1:13" x14ac:dyDescent="0.2">
      <c r="A182" t="inlineStr">
        <is>
          <t>Ethiopia</t>
        </is>
      </c>
      <c r="B182" t="inlineStr">
        <is>
          <t>Wheat</t>
        </is>
      </c>
      <c r="C182" t="inlineStr">
        <is>
          <t>Highest</t>
        </is>
      </c>
      <c r="D182" t="inlineStr">
        <is>
          <t>Female</t>
        </is>
      </c>
      <c r="E182" t="inlineStr">
        <is>
          <t>Vehicle consumption by WRA -- any</t>
        </is>
      </c>
      <c r="F182" t="inlineStr">
        <is>
          <t>percentage</t>
        </is>
      </c>
      <c r="G182" t="inlineStr">
        <is>
          <t>%</t>
        </is>
      </c>
      <c r="I182" t="inlineStr">
        <is>
          <t>DUMMY (MIC-7585)</t>
        </is>
      </c>
      <c s="21" r="J182" t="n">
        <v>0.676</v>
      </c>
      <c r="M182" t="inlineStr">
        <is>
          <t>DUMMY PLACEHOLDER (MIC-7585): value copied from the India wheat placeholder row. Replace with real Ethiopia wheat data.</t>
        </is>
      </c>
    </row>
    <row r="183" spans="1:13" ht="29.25" customHeight="1" x14ac:dyDescent="0.2">
      <c r="A183" t="inlineStr">
        <is>
          <t>Ethiopia</t>
        </is>
      </c>
      <c r="B183" t="inlineStr">
        <is>
          <t>Wheat</t>
        </is>
      </c>
      <c r="C183" t="inlineStr">
        <is>
          <t>All (assumed same)</t>
        </is>
      </c>
      <c r="D183" t="inlineStr">
        <is>
          <t>Female</t>
        </is>
      </c>
      <c r="E183" t="inlineStr">
        <is>
          <t>Vehicle consumption by WRA -- amount</t>
        </is>
      </c>
      <c r="F183" t="inlineStr">
        <is>
          <t>standard deviation</t>
        </is>
      </c>
      <c r="G183" t="inlineStr">
        <is>
          <t>g/day</t>
        </is>
      </c>
      <c r="I183" t="inlineStr">
        <is>
          <t>DUMMY (MIC-7585)</t>
        </is>
      </c>
      <c r="J183" t="n">
        <v>40.074074074074069</v>
      </c>
      <c r="M183" s="5" t="inlineStr">
        <is>
          <t>DUMMY PLACEHOLDER (MIC-7585): value copied from the India wheat placeholder row. Replace with real Ethiopia wheat data.</t>
        </is>
      </c>
    </row>
  </sheetData>
  <dataValidations count="5">
    <dataValidation allowBlank="1" showInputMessage="1" showErrorMessage="1" sqref="A1:B1" xr:uid="{00000000-0002-0000-0100-000000000000}"/>
    <dataValidation type="list" allowBlank="1" showInputMessage="1" showErrorMessage="1" sqref="C1:C1048576" xr:uid="{00000000-0002-0000-0100-000001000000}">
      <formula1>"All (assumed same),Total,Lowest,Second,Middle,Fourth,Highest"</formula1>
    </dataValidation>
    <dataValidation type="list" allowBlank="1" showInputMessage="1" showErrorMessage="1" sqref="A2:A1048576" xr:uid="{00000000-0002-0000-0100-000002000000}">
      <formula1>"Nigeria,Ethiopia,India"</formula1>
    </dataValidation>
    <dataValidation type="list" allowBlank="1" showInputMessage="1" showErrorMessage="1" sqref="B2:B1048576" xr:uid="{00000000-0002-0000-0100-000003000000}">
      <formula1>"Bouillon,Salt,Rice"</formula1>
    </dataValidation>
    <dataValidation type="list" allowBlank="1" showInputMessage="1" showErrorMessage="1" sqref="D1:D1048576" xr:uid="{00000000-0002-0000-0100-000004000000}">
      <formula1>"All (assumed same),Total,Female,Male"</formula1>
    </dataValidation>
  </dataValidations>
  <hyperlinks>
    <hyperlink ref="M9" r:id="rId1" xr:uid="{00000000-0004-0000-0100-000000000000}"/>
    <hyperlink ref="M17" r:id="rId2" xr:uid="{00000000-0004-0000-0100-000001000000}"/>
    <hyperlink ref="M19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>
      <selection activeCell="F1" sqref="F1:M1"/>
    </sheetView>
  </sheetViews>
  <sheetFormatPr baseColWidth="10" defaultColWidth="8.83203125" defaultRowHeight="15" x14ac:dyDescent="0.2"/>
  <cols>
    <col min="1" max="1" width="52.5" bestFit="1" customWidth="1"/>
    <col min="2" max="2" width="12.5" bestFit="1" customWidth="1"/>
    <col min="3" max="3" width="15.5" bestFit="1" customWidth="1"/>
    <col min="4" max="5" width="15.5" customWidth="1"/>
    <col min="6" max="6" width="9.6640625" bestFit="1" customWidth="1"/>
    <col min="14" max="17" width="15.83203125" bestFit="1" customWidth="1"/>
  </cols>
  <sheetData>
    <row r="1" spans="1:17" ht="15" customHeight="1" x14ac:dyDescent="0.2">
      <c r="A1" s="3" t="s">
        <v>0</v>
      </c>
      <c r="B1" s="41" t="s">
        <v>13</v>
      </c>
      <c r="C1" s="42"/>
      <c r="D1" s="42"/>
      <c r="E1" s="42"/>
      <c r="F1" s="41" t="s">
        <v>42</v>
      </c>
      <c r="G1" s="42"/>
      <c r="H1" s="42"/>
      <c r="I1" s="42"/>
      <c r="J1" s="42"/>
      <c r="K1" s="42"/>
      <c r="L1" s="42"/>
      <c r="M1" s="42"/>
      <c r="N1" s="43" t="s">
        <v>76</v>
      </c>
      <c r="O1" s="42"/>
      <c r="P1" s="42"/>
      <c r="Q1" s="42"/>
    </row>
    <row r="2" spans="1:17" ht="15" customHeight="1" x14ac:dyDescent="0.2">
      <c r="A2" s="3" t="s">
        <v>1</v>
      </c>
      <c r="B2" s="41" t="s">
        <v>14</v>
      </c>
      <c r="C2" s="42"/>
      <c r="D2" s="42"/>
      <c r="E2" s="42"/>
      <c r="F2" s="41" t="s">
        <v>43</v>
      </c>
      <c r="G2" s="42"/>
      <c r="H2" s="42"/>
      <c r="I2" s="42"/>
      <c r="J2" s="41" t="s">
        <v>77</v>
      </c>
      <c r="K2" s="42"/>
      <c r="L2" s="42"/>
      <c r="M2" s="42"/>
      <c r="N2" s="41" t="s">
        <v>77</v>
      </c>
      <c r="O2" s="42"/>
      <c r="P2" s="42"/>
      <c r="Q2" s="42"/>
    </row>
    <row r="3" spans="1:17" ht="15" customHeight="1" x14ac:dyDescent="0.2">
      <c r="A3" s="3" t="s">
        <v>97</v>
      </c>
      <c r="B3" s="41" t="s">
        <v>98</v>
      </c>
      <c r="C3" s="42"/>
      <c r="D3" s="41" t="s">
        <v>99</v>
      </c>
      <c r="E3" s="42"/>
      <c r="F3" s="41" t="s">
        <v>98</v>
      </c>
      <c r="G3" s="42"/>
      <c r="H3" s="41" t="s">
        <v>99</v>
      </c>
      <c r="I3" s="42"/>
      <c r="J3" s="41" t="s">
        <v>98</v>
      </c>
      <c r="K3" s="42"/>
      <c r="L3" s="41" t="s">
        <v>99</v>
      </c>
      <c r="M3" s="42"/>
      <c r="N3" s="41" t="s">
        <v>98</v>
      </c>
      <c r="O3" s="42"/>
      <c r="P3" s="41" t="s">
        <v>99</v>
      </c>
      <c r="Q3" s="42"/>
    </row>
    <row r="4" spans="1:17" ht="15" customHeight="1" x14ac:dyDescent="0.2">
      <c r="A4" s="3" t="s">
        <v>94</v>
      </c>
      <c r="B4" s="2" t="s">
        <v>95</v>
      </c>
      <c r="C4" s="1" t="s">
        <v>2</v>
      </c>
      <c r="D4" s="2" t="s">
        <v>95</v>
      </c>
      <c r="E4" s="1" t="s">
        <v>2</v>
      </c>
      <c r="F4" s="2" t="s">
        <v>95</v>
      </c>
      <c r="G4" s="1" t="s">
        <v>2</v>
      </c>
      <c r="H4" s="2" t="s">
        <v>95</v>
      </c>
      <c r="I4" s="1" t="s">
        <v>2</v>
      </c>
      <c r="J4" s="2" t="s">
        <v>95</v>
      </c>
      <c r="K4" s="1" t="s">
        <v>2</v>
      </c>
      <c r="L4" s="2" t="s">
        <v>95</v>
      </c>
      <c r="M4" s="1" t="s">
        <v>2</v>
      </c>
      <c r="N4" s="2" t="s">
        <v>95</v>
      </c>
      <c r="O4" s="1" t="s">
        <v>2</v>
      </c>
      <c r="P4" s="2" t="s">
        <v>95</v>
      </c>
      <c r="Q4" s="1" t="s">
        <v>2</v>
      </c>
    </row>
    <row r="5" spans="1:17" ht="15" customHeight="1" x14ac:dyDescent="0.2">
      <c r="A5" s="1" t="s">
        <v>4</v>
      </c>
      <c r="B5" s="1"/>
      <c r="C5" s="1"/>
      <c r="D5" s="1"/>
      <c r="E5" s="1"/>
      <c r="F5" s="1"/>
      <c r="G5" s="1"/>
    </row>
    <row r="6" spans="1:17" ht="15" customHeight="1" x14ac:dyDescent="0.2">
      <c r="A6" t="s">
        <v>100</v>
      </c>
      <c r="B6" t="s">
        <v>101</v>
      </c>
      <c r="C6" t="s">
        <v>101</v>
      </c>
      <c r="D6" t="s">
        <v>102</v>
      </c>
      <c r="E6" t="s">
        <v>102</v>
      </c>
      <c r="F6" t="s">
        <v>101</v>
      </c>
      <c r="G6" t="s">
        <v>101</v>
      </c>
      <c r="H6" t="str">
        <f>IF(COUNTIFS('Country-Vehicle-Fort Extraction'!$A$2:$A$944, F$1,  'Country-Vehicle-Fort Extraction'!$B$2:$B$944, F$2,  'Country-Vehicle-Fort Extraction'!$C$2:$C$944, H$3, 'Country-Vehicle-Fort Extraction'!$D$2:$D$944, "Total",  'Country-Vehicle-Fort Extraction'!$E$2:$E$944, $A6, 'Country-Vehicle-Fort Extraction'!$J$2:$J$944, "&lt;&gt;") = 0, "Missing", "Complete")</f>
        <v>Complete</v>
      </c>
      <c r="I6" t="str">
        <f>IF(COUNTIFS('Country-Vehicle-Fort Extraction'!$A$2:$A$944, F$1,  'Country-Vehicle-Fort Extraction'!$B$2:$B$944, F$2,  'Country-Vehicle-Fort Extraction'!$C$2:$C$944, H$3, 'Country-Vehicle-Fort Extraction'!$D$2:$D$944, "&lt;&gt;All",  'Country-Vehicle-Fort Extraction'!$E$2:$E$944, $A6, 'Country-Vehicle-Fort Extraction'!$J$2:$J$944, "&lt;&gt;") &lt; 5, "Missing", "Complete")</f>
        <v>Complete</v>
      </c>
      <c r="J6" t="s">
        <v>101</v>
      </c>
      <c r="K6" t="s">
        <v>101</v>
      </c>
      <c r="L6" t="s">
        <v>101</v>
      </c>
      <c r="M6" t="s">
        <v>101</v>
      </c>
      <c r="N6" t="s">
        <v>96</v>
      </c>
      <c r="O6" t="s">
        <v>96</v>
      </c>
      <c r="P6" t="s">
        <v>96</v>
      </c>
      <c r="Q6" t="s">
        <v>96</v>
      </c>
    </row>
    <row r="7" spans="1:17" ht="15" customHeight="1" x14ac:dyDescent="0.2">
      <c r="A7" t="s">
        <v>103</v>
      </c>
      <c r="B7" t="s">
        <v>101</v>
      </c>
      <c r="C7" t="s">
        <v>101</v>
      </c>
      <c r="D7" t="s">
        <v>102</v>
      </c>
      <c r="E7" t="s">
        <v>102</v>
      </c>
      <c r="F7" t="s">
        <v>101</v>
      </c>
      <c r="G7" t="s">
        <v>101</v>
      </c>
      <c r="H7" t="str">
        <f>IF(COUNTIFS('Country-Vehicle-Fort Extraction'!$A$2:$A$944, F$1,  'Country-Vehicle-Fort Extraction'!$B$2:$B$944, F$2,  'Country-Vehicle-Fort Extraction'!$C$2:$C$944, H$3, 'Country-Vehicle-Fort Extraction'!$D$2:$D$944, "Total",  'Country-Vehicle-Fort Extraction'!$E$2:$E$944, $A7, 'Country-Vehicle-Fort Extraction'!$J$2:$J$944, "&lt;&gt;") = 0, "Missing", "Complete")</f>
        <v>Missing</v>
      </c>
      <c r="I7" t="str">
        <f>IF(COUNTIFS('Country-Vehicle-Fort Extraction'!$A$2:$A$944, F$1,  'Country-Vehicle-Fort Extraction'!$B$2:$B$944, F$2,  'Country-Vehicle-Fort Extraction'!$C$2:$C$944, H$3, 'Country-Vehicle-Fort Extraction'!$D$2:$D$944, "&lt;&gt;Total",  'Country-Vehicle-Fort Extraction'!$E$2:$E$944, $A7, 'Country-Vehicle-Fort Extraction'!$J$2:$J$944, "&lt;&gt;") &lt; 5, "Missing", "Complete")</f>
        <v>Missing</v>
      </c>
      <c r="J7" t="s">
        <v>101</v>
      </c>
      <c r="K7" t="s">
        <v>101</v>
      </c>
      <c r="L7" t="s">
        <v>101</v>
      </c>
      <c r="M7" t="s">
        <v>101</v>
      </c>
      <c r="N7" t="str">
        <f>IF(COUNTIFS('Country-Vehicle-Fort Extraction'!$A$2:$A$944, N$1,  'Country-Vehicle-Fort Extraction'!$B$2:$B$944, N$2,  'Country-Vehicle-Fort Extraction'!$C$2:$C$944, N$3, 'Country-Vehicle-Fort Extraction'!$D$2:$D$944, "All",  'Country-Vehicle-Fort Extraction'!$E$2:$E$944, $A7, 'Country-Vehicle-Fort Extraction'!$J$2:$J$944, "&lt;&gt;") = 0, "Missing", "Complete")</f>
        <v>Missing</v>
      </c>
      <c r="O7" t="s">
        <v>104</v>
      </c>
      <c r="P7" t="str">
        <f>IF(COUNTIFS('Country-Vehicle-Fort Extraction'!$A$2:$A$944, N$1,  'Country-Vehicle-Fort Extraction'!$B$2:$B$944, N$2,  'Country-Vehicle-Fort Extraction'!$C$2:$C$944, P$3, 'Country-Vehicle-Fort Extraction'!$D$2:$D$944, "All",  'Country-Vehicle-Fort Extraction'!$E$2:$E$944, $A7, 'Country-Vehicle-Fort Extraction'!$J$2:$J$944, "&lt;&gt;") = 0, "Missing", "Complete")</f>
        <v>Missing</v>
      </c>
      <c r="Q7" t="s">
        <v>104</v>
      </c>
    </row>
    <row r="8" spans="1:17" ht="15" customHeight="1" x14ac:dyDescent="0.2">
      <c r="A8" t="s">
        <v>105</v>
      </c>
      <c r="B8" t="s">
        <v>101</v>
      </c>
      <c r="C8" t="s">
        <v>101</v>
      </c>
      <c r="D8" t="s">
        <v>102</v>
      </c>
      <c r="E8" t="s">
        <v>102</v>
      </c>
      <c r="F8" t="s">
        <v>101</v>
      </c>
      <c r="G8" t="s">
        <v>101</v>
      </c>
      <c r="H8" t="str">
        <f>IF(COUNTIFS('Country-Vehicle-Fort Extraction'!$A$2:$A$944, F$1,  'Country-Vehicle-Fort Extraction'!$B$2:$B$944, F$2,  'Country-Vehicle-Fort Extraction'!$C$2:$C$944, H$3, 'Country-Vehicle-Fort Extraction'!$D$2:$D$944, "Total",  'Country-Vehicle-Fort Extraction'!$E$2:$E$944, $A8, 'Country-Vehicle-Fort Extraction'!$J$2:$J$944, "&lt;&gt;") = 0, "Missing", "Complete")</f>
        <v>Missing</v>
      </c>
      <c r="I8" t="str">
        <f>IF(COUNTIFS('Country-Vehicle-Fort Extraction'!$A$2:$A$944, F$1,  'Country-Vehicle-Fort Extraction'!$B$2:$B$944, F$2,  'Country-Vehicle-Fort Extraction'!$C$2:$C$944, H$3, 'Country-Vehicle-Fort Extraction'!$D$2:$D$944, "&lt;&gt;Total",  'Country-Vehicle-Fort Extraction'!$E$2:$E$944, $A8, 'Country-Vehicle-Fort Extraction'!$J$2:$J$944, "&lt;&gt;") &lt; 5, "Missing", "Complete")</f>
        <v>Missing</v>
      </c>
      <c r="J8" t="s">
        <v>101</v>
      </c>
      <c r="K8" t="s">
        <v>101</v>
      </c>
      <c r="L8" t="s">
        <v>101</v>
      </c>
      <c r="M8" t="s">
        <v>101</v>
      </c>
      <c r="N8" t="str">
        <f>IF(COUNTIFS('Country-Vehicle-Fort Extraction'!$A$2:$A$944, N$1,  'Country-Vehicle-Fort Extraction'!$B$2:$B$944, N$2,  'Country-Vehicle-Fort Extraction'!$C$2:$C$944, N$3, 'Country-Vehicle-Fort Extraction'!$D$2:$D$944, "All",  'Country-Vehicle-Fort Extraction'!$E$2:$E$944, $A8, 'Country-Vehicle-Fort Extraction'!$J$2:$J$944, "&lt;&gt;") = 0, "Missing", "Complete")</f>
        <v>Missing</v>
      </c>
      <c r="O8" t="s">
        <v>104</v>
      </c>
      <c r="P8" t="str">
        <f>IF(COUNTIFS('Country-Vehicle-Fort Extraction'!$A$2:$A$944, N$1,  'Country-Vehicle-Fort Extraction'!$B$2:$B$944, N$2,  'Country-Vehicle-Fort Extraction'!$C$2:$C$944, P$3, 'Country-Vehicle-Fort Extraction'!$D$2:$D$944, "All",  'Country-Vehicle-Fort Extraction'!$E$2:$E$944, $A8, 'Country-Vehicle-Fort Extraction'!$J$2:$J$944, "&lt;&gt;") = 0, "Missing", "Complete")</f>
        <v>Missing</v>
      </c>
      <c r="Q8" t="s">
        <v>104</v>
      </c>
    </row>
  </sheetData>
  <mergeCells count="15">
    <mergeCell ref="B1:E1"/>
    <mergeCell ref="B3:C3"/>
    <mergeCell ref="N1:Q1"/>
    <mergeCell ref="F2:I2"/>
    <mergeCell ref="B2:E2"/>
    <mergeCell ref="J2:M2"/>
    <mergeCell ref="N2:Q2"/>
    <mergeCell ref="D3:E3"/>
    <mergeCell ref="F1:M1"/>
    <mergeCell ref="H3:I3"/>
    <mergeCell ref="F3:G3"/>
    <mergeCell ref="L3:M3"/>
    <mergeCell ref="J3:K3"/>
    <mergeCell ref="P3:Q3"/>
    <mergeCell ref="N3:O3"/>
  </mergeCells>
  <conditionalFormatting sqref="B6:Q7">
    <cfRule type="cellIs" dxfId="4" priority="7" operator="equal">
      <formula>"Missing"</formula>
    </cfRule>
  </conditionalFormatting>
  <conditionalFormatting sqref="H8:I8 N8:Q8">
    <cfRule type="cellIs" dxfId="3" priority="1" operator="equal">
      <formula>"Missing"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workbookViewId="0">
      <pane ySplit="1" topLeftCell="A8" activePane="bottomLeft" state="frozen"/>
      <selection pane="bottomLeft" activeCell="L25" sqref="A24:L25"/>
    </sheetView>
  </sheetViews>
  <sheetFormatPr baseColWidth="10" defaultColWidth="8.83203125" defaultRowHeight="15" x14ac:dyDescent="0.2"/>
  <cols>
    <col min="1" max="1" width="8" bestFit="1" customWidth="1"/>
    <col min="3" max="3" width="9.5" bestFit="1" customWidth="1"/>
    <col min="4" max="4" width="18.33203125" bestFit="1" customWidth="1"/>
    <col min="5" max="5" width="52.6640625" bestFit="1" customWidth="1"/>
    <col min="6" max="6" width="19" customWidth="1"/>
    <col min="9" max="9" width="11.83203125" bestFit="1" customWidth="1"/>
    <col min="12" max="12" width="50.5" customWidth="1"/>
  </cols>
  <sheetData>
    <row r="1" spans="1:12" x14ac:dyDescent="0.2">
      <c r="A1" s="1" t="s">
        <v>0</v>
      </c>
      <c r="B1" s="1" t="s">
        <v>1</v>
      </c>
      <c r="C1" s="1" t="s">
        <v>97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 x14ac:dyDescent="0.2">
      <c r="A2" t="s">
        <v>13</v>
      </c>
      <c r="B2" t="s">
        <v>14</v>
      </c>
      <c r="C2" t="s">
        <v>98</v>
      </c>
      <c r="D2" t="s">
        <v>15</v>
      </c>
      <c r="E2" t="s">
        <v>100</v>
      </c>
      <c r="F2" t="s">
        <v>18</v>
      </c>
      <c r="G2" s="8" t="s">
        <v>19</v>
      </c>
      <c r="I2" t="s">
        <v>40</v>
      </c>
      <c r="J2" s="7">
        <v>0</v>
      </c>
    </row>
    <row r="3" spans="1:12" x14ac:dyDescent="0.2">
      <c r="A3" t="s">
        <v>13</v>
      </c>
      <c r="B3" t="s">
        <v>14</v>
      </c>
      <c r="C3" t="s">
        <v>98</v>
      </c>
      <c r="D3" t="s">
        <v>15</v>
      </c>
      <c r="E3" t="s">
        <v>103</v>
      </c>
      <c r="F3" t="s">
        <v>106</v>
      </c>
      <c r="G3" s="8" t="s">
        <v>107</v>
      </c>
      <c r="I3" t="s">
        <v>40</v>
      </c>
      <c r="J3" s="10">
        <v>0</v>
      </c>
    </row>
    <row r="4" spans="1:12" ht="15" customHeight="1" x14ac:dyDescent="0.2">
      <c r="A4" t="s">
        <v>42</v>
      </c>
      <c r="B4" t="s">
        <v>77</v>
      </c>
      <c r="C4" t="s">
        <v>98</v>
      </c>
      <c r="D4" t="s">
        <v>15</v>
      </c>
      <c r="E4" t="s">
        <v>100</v>
      </c>
      <c r="F4" t="s">
        <v>18</v>
      </c>
      <c r="G4" s="8" t="s">
        <v>19</v>
      </c>
      <c r="I4" t="s">
        <v>40</v>
      </c>
      <c r="J4" s="7">
        <v>0</v>
      </c>
      <c r="L4" t="s">
        <v>108</v>
      </c>
    </row>
    <row r="5" spans="1:12" ht="15" customHeight="1" x14ac:dyDescent="0.2">
      <c r="A5" t="s">
        <v>42</v>
      </c>
      <c r="B5" t="s">
        <v>77</v>
      </c>
      <c r="C5" t="s">
        <v>98</v>
      </c>
      <c r="D5" t="s">
        <v>15</v>
      </c>
      <c r="E5" t="s">
        <v>103</v>
      </c>
      <c r="F5" t="s">
        <v>106</v>
      </c>
      <c r="G5" s="8" t="s">
        <v>107</v>
      </c>
      <c r="I5" t="s">
        <v>40</v>
      </c>
      <c r="J5" s="10">
        <v>0</v>
      </c>
      <c r="L5" t="s">
        <v>108</v>
      </c>
    </row>
    <row r="6" spans="1:12" ht="15" customHeight="1" x14ac:dyDescent="0.2">
      <c r="A6" t="s">
        <v>42</v>
      </c>
      <c r="B6" t="s">
        <v>77</v>
      </c>
      <c r="C6" t="s">
        <v>99</v>
      </c>
      <c r="D6" t="s">
        <v>15</v>
      </c>
      <c r="E6" t="s">
        <v>100</v>
      </c>
      <c r="F6" t="s">
        <v>18</v>
      </c>
      <c r="G6" s="8" t="s">
        <v>19</v>
      </c>
      <c r="I6" t="s">
        <v>40</v>
      </c>
      <c r="J6" s="7">
        <v>0</v>
      </c>
      <c r="L6" t="s">
        <v>108</v>
      </c>
    </row>
    <row r="7" spans="1:12" ht="15" customHeight="1" x14ac:dyDescent="0.2">
      <c r="A7" t="s">
        <v>42</v>
      </c>
      <c r="B7" t="s">
        <v>77</v>
      </c>
      <c r="C7" t="s">
        <v>99</v>
      </c>
      <c r="D7" t="s">
        <v>15</v>
      </c>
      <c r="E7" t="s">
        <v>103</v>
      </c>
      <c r="F7" t="s">
        <v>106</v>
      </c>
      <c r="G7" s="8" t="s">
        <v>107</v>
      </c>
      <c r="I7" t="s">
        <v>40</v>
      </c>
      <c r="J7" s="10">
        <v>0</v>
      </c>
      <c r="L7" t="s">
        <v>108</v>
      </c>
    </row>
    <row r="8" spans="1:12" x14ac:dyDescent="0.2">
      <c r="A8" t="s">
        <v>42</v>
      </c>
      <c r="B8" t="s">
        <v>43</v>
      </c>
      <c r="C8" t="s">
        <v>99</v>
      </c>
      <c r="D8" t="s">
        <v>22</v>
      </c>
      <c r="E8" t="s">
        <v>100</v>
      </c>
      <c r="F8" t="s">
        <v>18</v>
      </c>
      <c r="G8" s="8" t="s">
        <v>19</v>
      </c>
      <c r="I8" t="s">
        <v>40</v>
      </c>
      <c r="J8" s="7">
        <v>0.61875637104994896</v>
      </c>
      <c r="L8" s="9" t="s">
        <v>109</v>
      </c>
    </row>
    <row r="9" spans="1:12" x14ac:dyDescent="0.2">
      <c r="A9" t="s">
        <v>42</v>
      </c>
      <c r="B9" t="s">
        <v>43</v>
      </c>
      <c r="C9" t="s">
        <v>99</v>
      </c>
      <c r="D9" t="s">
        <v>27</v>
      </c>
      <c r="E9" t="s">
        <v>100</v>
      </c>
      <c r="F9" t="s">
        <v>18</v>
      </c>
      <c r="G9" s="8" t="s">
        <v>19</v>
      </c>
      <c r="I9" t="s">
        <v>40</v>
      </c>
      <c r="J9" s="7">
        <v>0.51921079958463134</v>
      </c>
      <c r="L9" s="9"/>
    </row>
    <row r="10" spans="1:12" x14ac:dyDescent="0.2">
      <c r="A10" t="s">
        <v>42</v>
      </c>
      <c r="B10" t="s">
        <v>43</v>
      </c>
      <c r="C10" t="s">
        <v>99</v>
      </c>
      <c r="D10" t="s">
        <v>28</v>
      </c>
      <c r="E10" t="s">
        <v>100</v>
      </c>
      <c r="F10" t="s">
        <v>18</v>
      </c>
      <c r="G10" s="8" t="s">
        <v>19</v>
      </c>
      <c r="I10" t="s">
        <v>40</v>
      </c>
      <c r="J10" s="7">
        <v>0.58409785932721714</v>
      </c>
      <c r="L10" s="9"/>
    </row>
    <row r="11" spans="1:12" x14ac:dyDescent="0.2">
      <c r="A11" t="s">
        <v>42</v>
      </c>
      <c r="B11" t="s">
        <v>43</v>
      </c>
      <c r="C11" t="s">
        <v>99</v>
      </c>
      <c r="D11" t="s">
        <v>29</v>
      </c>
      <c r="E11" t="s">
        <v>100</v>
      </c>
      <c r="F11" t="s">
        <v>18</v>
      </c>
      <c r="G11" s="8" t="s">
        <v>19</v>
      </c>
      <c r="I11" t="s">
        <v>40</v>
      </c>
      <c r="J11" s="7">
        <v>0.63810483870967738</v>
      </c>
      <c r="L11" s="9"/>
    </row>
    <row r="12" spans="1:12" x14ac:dyDescent="0.2">
      <c r="A12" t="s">
        <v>42</v>
      </c>
      <c r="B12" t="s">
        <v>43</v>
      </c>
      <c r="C12" t="s">
        <v>99</v>
      </c>
      <c r="D12" t="s">
        <v>30</v>
      </c>
      <c r="E12" t="s">
        <v>100</v>
      </c>
      <c r="F12" t="s">
        <v>18</v>
      </c>
      <c r="G12" s="8" t="s">
        <v>19</v>
      </c>
      <c r="I12" t="s">
        <v>40</v>
      </c>
      <c r="J12" s="7">
        <v>0.66937119675456391</v>
      </c>
      <c r="L12" s="9"/>
    </row>
    <row r="13" spans="1:12" x14ac:dyDescent="0.2">
      <c r="A13" t="s">
        <v>42</v>
      </c>
      <c r="B13" t="s">
        <v>43</v>
      </c>
      <c r="C13" t="s">
        <v>99</v>
      </c>
      <c r="D13" t="s">
        <v>31</v>
      </c>
      <c r="E13" t="s">
        <v>100</v>
      </c>
      <c r="F13" t="s">
        <v>18</v>
      </c>
      <c r="G13" s="8" t="s">
        <v>19</v>
      </c>
      <c r="I13" t="s">
        <v>40</v>
      </c>
      <c r="J13" s="7">
        <v>0.69979716024340777</v>
      </c>
      <c r="L13" s="9"/>
    </row>
    <row r="14" spans="1:12" ht="101.5" customHeight="1" x14ac:dyDescent="0.2">
      <c r="A14" t="s">
        <v>42</v>
      </c>
      <c r="B14" t="s">
        <v>43</v>
      </c>
      <c r="C14" t="s">
        <v>99</v>
      </c>
      <c r="D14" t="s">
        <v>15</v>
      </c>
      <c r="E14" t="s">
        <v>103</v>
      </c>
      <c r="F14" t="s">
        <v>106</v>
      </c>
      <c r="G14" s="8" t="s">
        <v>107</v>
      </c>
      <c r="I14" t="s">
        <v>40</v>
      </c>
      <c r="J14" s="10">
        <v>420</v>
      </c>
      <c r="L14" s="30" t="s">
        <v>110</v>
      </c>
    </row>
    <row r="15" spans="1:12" x14ac:dyDescent="0.2">
      <c r="A15" t="s">
        <v>42</v>
      </c>
      <c r="B15" t="s">
        <v>43</v>
      </c>
      <c r="C15" t="s">
        <v>98</v>
      </c>
      <c r="D15" t="s">
        <v>15</v>
      </c>
      <c r="E15" t="s">
        <v>100</v>
      </c>
      <c r="F15" t="s">
        <v>18</v>
      </c>
      <c r="G15" s="8" t="s">
        <v>19</v>
      </c>
      <c r="I15" t="s">
        <v>40</v>
      </c>
      <c r="J15" s="7">
        <v>0</v>
      </c>
      <c r="L15" s="9" t="s">
        <v>111</v>
      </c>
    </row>
    <row r="16" spans="1:12" x14ac:dyDescent="0.2">
      <c r="A16" t="s">
        <v>42</v>
      </c>
      <c r="B16" t="s">
        <v>43</v>
      </c>
      <c r="C16" t="s">
        <v>98</v>
      </c>
      <c r="D16" t="s">
        <v>15</v>
      </c>
      <c r="E16" t="s">
        <v>103</v>
      </c>
      <c r="F16" t="s">
        <v>106</v>
      </c>
      <c r="G16" s="8" t="s">
        <v>107</v>
      </c>
      <c r="I16" t="s">
        <v>40</v>
      </c>
      <c r="J16" s="10">
        <v>0</v>
      </c>
      <c r="L16" s="9"/>
    </row>
    <row r="17" spans="1:12" ht="43.5" customHeight="1" x14ac:dyDescent="0.2">
      <c r="A17" t="s">
        <v>76</v>
      </c>
      <c r="B17" t="s">
        <v>77</v>
      </c>
      <c r="C17" t="s">
        <v>99</v>
      </c>
      <c r="D17" t="s">
        <v>15</v>
      </c>
      <c r="E17" t="s">
        <v>103</v>
      </c>
      <c r="F17" t="s">
        <v>106</v>
      </c>
      <c r="G17" t="s">
        <v>107</v>
      </c>
      <c r="I17" t="s">
        <v>112</v>
      </c>
      <c r="J17">
        <v>42.5</v>
      </c>
      <c r="L17" s="5" t="s">
        <v>113</v>
      </c>
    </row>
    <row r="18" spans="1:12" ht="43.5" customHeight="1" x14ac:dyDescent="0.2">
      <c r="A18" t="s">
        <v>76</v>
      </c>
      <c r="B18" t="s">
        <v>77</v>
      </c>
      <c r="C18" t="s">
        <v>98</v>
      </c>
      <c r="D18" t="s">
        <v>15</v>
      </c>
      <c r="E18" t="s">
        <v>103</v>
      </c>
      <c r="F18" t="s">
        <v>106</v>
      </c>
      <c r="G18" t="s">
        <v>107</v>
      </c>
      <c r="I18" t="s">
        <v>112</v>
      </c>
      <c r="J18">
        <v>0.125</v>
      </c>
      <c r="L18" s="30" t="s">
        <v>114</v>
      </c>
    </row>
    <row r="19" spans="1:12" x14ac:dyDescent="0.2">
      <c r="A19" t="s">
        <v>42</v>
      </c>
      <c r="B19" t="s">
        <v>43</v>
      </c>
      <c r="C19" t="s">
        <v>99</v>
      </c>
      <c r="D19" t="s">
        <v>15</v>
      </c>
      <c r="E19" t="s">
        <v>105</v>
      </c>
      <c r="F19" t="s">
        <v>18</v>
      </c>
      <c r="G19" s="8" t="s">
        <v>19</v>
      </c>
      <c r="I19" t="s">
        <v>40</v>
      </c>
      <c r="J19" s="20">
        <v>0</v>
      </c>
      <c r="L19" t="s">
        <v>115</v>
      </c>
    </row>
    <row r="20" spans="1:12" x14ac:dyDescent="0.2">
      <c r="A20" t="s">
        <v>42</v>
      </c>
      <c r="B20" t="s">
        <v>43</v>
      </c>
      <c r="C20" t="s">
        <v>98</v>
      </c>
      <c r="D20" t="s">
        <v>15</v>
      </c>
      <c r="E20" t="s">
        <v>105</v>
      </c>
      <c r="F20" t="s">
        <v>18</v>
      </c>
      <c r="G20" s="8" t="s">
        <v>19</v>
      </c>
      <c r="I20" t="s">
        <v>40</v>
      </c>
      <c r="J20" s="20">
        <v>0</v>
      </c>
      <c r="L20" t="s">
        <v>115</v>
      </c>
    </row>
    <row r="21" spans="1:12" x14ac:dyDescent="0.2">
      <c r="A21" t="s">
        <v>76</v>
      </c>
      <c r="B21" t="s">
        <v>77</v>
      </c>
      <c r="C21" t="s">
        <v>99</v>
      </c>
      <c r="D21" t="s">
        <v>15</v>
      </c>
      <c r="E21" t="s">
        <v>105</v>
      </c>
      <c r="F21" t="s">
        <v>18</v>
      </c>
      <c r="G21" s="8" t="s">
        <v>19</v>
      </c>
      <c r="J21" s="7">
        <v>0.8</v>
      </c>
      <c r="L21" t="s">
        <v>116</v>
      </c>
    </row>
    <row r="22" spans="1:12" x14ac:dyDescent="0.2">
      <c r="A22" t="s">
        <v>76</v>
      </c>
      <c r="B22" t="s">
        <v>77</v>
      </c>
      <c r="C22" t="s">
        <v>98</v>
      </c>
      <c r="D22" t="s">
        <v>15</v>
      </c>
      <c r="E22" t="s">
        <v>105</v>
      </c>
      <c r="F22" t="s">
        <v>18</v>
      </c>
      <c r="G22" s="8" t="s">
        <v>19</v>
      </c>
      <c r="J22" s="7">
        <v>0.8</v>
      </c>
      <c r="L22" t="s">
        <v>116</v>
      </c>
    </row>
    <row r="23" spans="1:12" x14ac:dyDescent="0.2">
      <c r="A23" t="s">
        <v>13</v>
      </c>
      <c r="B23" t="s">
        <v>14</v>
      </c>
      <c r="C23" t="s">
        <v>98</v>
      </c>
      <c r="D23" t="s">
        <v>15</v>
      </c>
      <c r="E23" t="s">
        <v>105</v>
      </c>
      <c r="F23" t="s">
        <v>18</v>
      </c>
      <c r="G23" s="8" t="s">
        <v>19</v>
      </c>
      <c r="J23" s="7">
        <v>0.8</v>
      </c>
      <c r="L23" t="s">
        <v>117</v>
      </c>
    </row>
    <row r="24" spans="1:12" ht="15" customHeight="1" x14ac:dyDescent="0.2">
      <c r="A24" t="s">
        <v>42</v>
      </c>
      <c r="B24" t="s">
        <v>77</v>
      </c>
      <c r="C24" t="s">
        <v>98</v>
      </c>
      <c r="D24" t="s">
        <v>15</v>
      </c>
      <c r="E24" t="s">
        <v>105</v>
      </c>
      <c r="F24" t="s">
        <v>18</v>
      </c>
      <c r="G24" s="8" t="s">
        <v>19</v>
      </c>
      <c r="J24" s="7">
        <v>0.8</v>
      </c>
      <c r="L24" t="s">
        <v>117</v>
      </c>
    </row>
    <row r="25" spans="1:12" ht="15" customHeight="1" x14ac:dyDescent="0.2">
      <c r="A25" t="s">
        <v>42</v>
      </c>
      <c r="B25" t="s">
        <v>77</v>
      </c>
      <c r="C25" t="s">
        <v>99</v>
      </c>
      <c r="D25" t="s">
        <v>15</v>
      </c>
      <c r="E25" t="s">
        <v>105</v>
      </c>
      <c r="F25" t="s">
        <v>18</v>
      </c>
      <c r="G25" s="8" t="s">
        <v>19</v>
      </c>
      <c r="J25" s="7">
        <v>0.8</v>
      </c>
      <c r="L25" t="s">
        <v>117</v>
      </c>
    </row>
    <row r="26" spans="1:12" x14ac:dyDescent="0.2">
      <c r="A26" t="s">
        <v>42</v>
      </c>
      <c r="B26" t="s">
        <v>14</v>
      </c>
      <c r="C26" t="s">
        <v>98</v>
      </c>
      <c r="D26" t="s">
        <v>15</v>
      </c>
      <c r="E26" t="s">
        <v>100</v>
      </c>
      <c r="F26" t="s">
        <v>18</v>
      </c>
      <c r="G26" t="s">
        <v>19</v>
      </c>
      <c r="I26" t="s">
        <v>40</v>
      </c>
      <c r="J26">
        <v>0</v>
      </c>
      <c r="L26" t="s">
        <v>118</v>
      </c>
    </row>
    <row r="27" spans="1:12" x14ac:dyDescent="0.2">
      <c r="A27" t="s">
        <v>42</v>
      </c>
      <c r="B27" t="s">
        <v>14</v>
      </c>
      <c r="C27" t="s">
        <v>98</v>
      </c>
      <c r="D27" t="s">
        <v>15</v>
      </c>
      <c r="E27" t="s">
        <v>103</v>
      </c>
      <c r="F27" t="s">
        <v>106</v>
      </c>
      <c r="G27" t="s">
        <v>107</v>
      </c>
      <c r="I27" t="s">
        <v>40</v>
      </c>
      <c r="J27">
        <v>0</v>
      </c>
    </row>
    <row r="28" spans="1:12" x14ac:dyDescent="0.2">
      <c r="A28" t="s">
        <v>42</v>
      </c>
      <c r="B28" t="s">
        <v>14</v>
      </c>
      <c r="C28" t="s">
        <v>98</v>
      </c>
      <c r="D28" t="s">
        <v>15</v>
      </c>
      <c r="E28" t="s">
        <v>105</v>
      </c>
      <c r="F28" t="s">
        <v>18</v>
      </c>
      <c r="G28" t="s">
        <v>19</v>
      </c>
      <c r="J28">
        <v>0.8</v>
      </c>
      <c r="L28" t="s">
        <v>117</v>
      </c>
    </row>
    <row r="29" spans="1:12" ht="15" customHeight="1" x14ac:dyDescent="0.2">
      <c r="A29" t="inlineStr">
        <is>
          <t>Nigeria</t>
        </is>
      </c>
      <c r="B29" t="inlineStr">
        <is>
          <t>Wheat</t>
        </is>
      </c>
      <c r="C29" t="inlineStr">
        <is>
          <t>Iron</t>
        </is>
      </c>
      <c r="D29" t="inlineStr">
        <is>
          <t>All (assumed same)</t>
        </is>
      </c>
      <c r="E29" t="inlineStr">
        <is>
          <t>Vehicle fortification at baseline -- any</t>
        </is>
      </c>
      <c r="F29" t="inlineStr">
        <is>
          <t>percentage</t>
        </is>
      </c>
      <c s="8" r="G29" t="inlineStr">
        <is>
          <t>%</t>
        </is>
      </c>
      <c r="I29" t="inlineStr">
        <is>
          <t>DUMMY (MIC-7549)</t>
        </is>
      </c>
      <c s="7" r="J29" t="n">
        <v>0</v>
      </c>
      <c r="L29" t="inlineStr">
        <is>
          <t>DUMMY PLACEHOLDER (MIC-7549): value copied from the corresponding Rice row. Replace with real wheat data.</t>
        </is>
      </c>
    </row>
    <row r="30" spans="1:12" ht="15" customHeight="1" x14ac:dyDescent="0.2">
      <c r="A30" t="inlineStr">
        <is>
          <t>Nigeria</t>
        </is>
      </c>
      <c r="B30" t="inlineStr">
        <is>
          <t>Wheat</t>
        </is>
      </c>
      <c r="C30" t="inlineStr">
        <is>
          <t>Iron</t>
        </is>
      </c>
      <c r="D30" t="inlineStr">
        <is>
          <t>All (assumed same)</t>
        </is>
      </c>
      <c r="E30" t="inlineStr">
        <is>
          <t>Vehicle fortification at baseline -- amount among fortified</t>
        </is>
      </c>
      <c r="F30" t="inlineStr">
        <is>
          <t>concentration</t>
        </is>
      </c>
      <c s="8" r="G30" t="inlineStr">
        <is>
          <t>mcg/g</t>
        </is>
      </c>
      <c r="I30" t="inlineStr">
        <is>
          <t>DUMMY (MIC-7549)</t>
        </is>
      </c>
      <c s="10" r="J30" t="n">
        <v>0</v>
      </c>
      <c r="L30" t="inlineStr">
        <is>
          <t>DUMMY PLACEHOLDER (MIC-7549): value copied from the corresponding Rice row. Replace with real wheat data.</t>
        </is>
      </c>
    </row>
    <row r="31" spans="1:12" ht="15" customHeight="1" x14ac:dyDescent="0.2">
      <c r="A31" t="inlineStr">
        <is>
          <t>Nigeria</t>
        </is>
      </c>
      <c r="B31" t="inlineStr">
        <is>
          <t>Wheat</t>
        </is>
      </c>
      <c r="C31" t="inlineStr">
        <is>
          <t>Iron</t>
        </is>
      </c>
      <c r="D31" t="inlineStr">
        <is>
          <t>All (assumed same)</t>
        </is>
      </c>
      <c r="E31" t="inlineStr">
        <is>
          <t>Baseline effective % of fortified</t>
        </is>
      </c>
      <c r="F31" t="inlineStr">
        <is>
          <t>percentage</t>
        </is>
      </c>
      <c s="8" r="G31" t="inlineStr">
        <is>
          <t>%</t>
        </is>
      </c>
      <c r="I31" t="inlineStr">
        <is>
          <t>DUMMY (MIC-7549)</t>
        </is>
      </c>
      <c s="7" r="J31" t="n">
        <v>0.8</v>
      </c>
      <c r="L31" t="inlineStr">
        <is>
          <t>DUMMY PLACEHOLDER (MIC-7549): value copied from the corresponding Rice row. Replace with real wheat data.</t>
        </is>
      </c>
    </row>
    <row r="32" spans="1:12" ht="15" customHeight="1" x14ac:dyDescent="0.2">
      <c r="A32" t="inlineStr">
        <is>
          <t>Nigeria</t>
        </is>
      </c>
      <c r="B32" t="inlineStr">
        <is>
          <t>Wheat</t>
        </is>
      </c>
      <c r="C32" t="inlineStr">
        <is>
          <t>Folate</t>
        </is>
      </c>
      <c r="D32" t="inlineStr">
        <is>
          <t>All (assumed same)</t>
        </is>
      </c>
      <c r="E32" t="inlineStr">
        <is>
          <t>Vehicle fortification at baseline -- any</t>
        </is>
      </c>
      <c r="F32" t="inlineStr">
        <is>
          <t>percentage</t>
        </is>
      </c>
      <c r="G32" s="8" t="inlineStr">
        <is>
          <t>%</t>
        </is>
      </c>
      <c r="I32" t="inlineStr">
        <is>
          <t>DUMMY (SSCI-2784)</t>
        </is>
      </c>
      <c r="J32" s="7" t="n">
        <v>0.0</v>
      </c>
      <c r="L32" t="inlineStr">
        <is>
          <t>DUMMY PLACEHOLDER (SSCI-2784): folate value copied from the corresponding Nigeria Rice Folate row. Replace with real wheat data.</t>
        </is>
      </c>
    </row>
    <row r="33" spans="1:12" ht="15" customHeight="1" x14ac:dyDescent="0.2">
      <c r="A33" t="inlineStr">
        <is>
          <t>Nigeria</t>
        </is>
      </c>
      <c r="B33" t="inlineStr">
        <is>
          <t>Wheat</t>
        </is>
      </c>
      <c r="C33" t="inlineStr">
        <is>
          <t>Folate</t>
        </is>
      </c>
      <c r="D33" t="inlineStr">
        <is>
          <t>All (assumed same)</t>
        </is>
      </c>
      <c r="E33" t="inlineStr">
        <is>
          <t>Vehicle fortification at baseline -- amount among fortified</t>
        </is>
      </c>
      <c r="F33" t="inlineStr">
        <is>
          <t>concentration</t>
        </is>
      </c>
      <c r="G33" s="8" t="inlineStr">
        <is>
          <t>mcg/g</t>
        </is>
      </c>
      <c r="I33" t="inlineStr">
        <is>
          <t>DUMMY (SSCI-2784)</t>
        </is>
      </c>
      <c r="J33" s="10" t="n">
        <v>0.0</v>
      </c>
      <c r="L33" t="inlineStr">
        <is>
          <t>DUMMY PLACEHOLDER (SSCI-2784): folate value copied from the corresponding Nigeria Rice Folate row. Replace with real wheat data.</t>
        </is>
      </c>
    </row>
    <row r="34" spans="1:12" ht="15" customHeight="1" x14ac:dyDescent="0.2">
      <c r="A34" t="inlineStr">
        <is>
          <t>Nigeria</t>
        </is>
      </c>
      <c r="B34" t="inlineStr">
        <is>
          <t>Wheat</t>
        </is>
      </c>
      <c r="C34" t="inlineStr">
        <is>
          <t>Folate</t>
        </is>
      </c>
      <c r="D34" t="inlineStr">
        <is>
          <t>All (assumed same)</t>
        </is>
      </c>
      <c r="E34" t="inlineStr">
        <is>
          <t>Baseline effective % of fortified</t>
        </is>
      </c>
      <c r="F34" t="inlineStr">
        <is>
          <t>percentage</t>
        </is>
      </c>
      <c r="G34" s="8" t="inlineStr">
        <is>
          <t>%</t>
        </is>
      </c>
      <c r="I34" t="inlineStr">
        <is>
          <t>DUMMY (SSCI-2784)</t>
        </is>
      </c>
      <c r="J34" s="7" t="n">
        <v>0.8</v>
      </c>
      <c r="L34" t="inlineStr">
        <is>
          <t>DUMMY PLACEHOLDER (SSCI-2784): folate value copied from the corresponding Nigeria Rice Folate row. Replace with real wheat data.</t>
        </is>
      </c>
    </row>
    <row r="35" spans="1:12" ht="15" customHeight="1" x14ac:dyDescent="0.2">
      <c r="A35" t="inlineStr">
        <is>
          <t>India</t>
        </is>
      </c>
      <c r="B35" t="inlineStr">
        <is>
          <t>Wheat</t>
        </is>
      </c>
      <c r="C35" t="inlineStr">
        <is>
          <t>Iron</t>
        </is>
      </c>
      <c r="D35" t="inlineStr">
        <is>
          <t>All (assumed same)</t>
        </is>
      </c>
      <c r="E35" t="inlineStr">
        <is>
          <t>Vehicle fortification at baseline -- any</t>
        </is>
      </c>
      <c r="F35" t="inlineStr">
        <is>
          <t>percentage</t>
        </is>
      </c>
      <c s="8" r="G35" t="inlineStr">
        <is>
          <t>%</t>
        </is>
      </c>
      <c r="I35" t="inlineStr">
        <is>
          <t>DUMMY (MIC-7580)</t>
        </is>
      </c>
      <c s="7" r="J35" t="n">
        <v>0</v>
      </c>
      <c r="L35" t="inlineStr">
        <is>
          <t>DUMMY PLACEHOLDER (MIC-7580): value copied from the Nigeria wheat placeholder row (itself copied from Nigeria rice). Replace with real India wheat data.</t>
        </is>
      </c>
    </row>
    <row r="36" spans="1:12" ht="15" customHeight="1" x14ac:dyDescent="0.2">
      <c r="A36" t="inlineStr">
        <is>
          <t>India</t>
        </is>
      </c>
      <c r="B36" t="inlineStr">
        <is>
          <t>Wheat</t>
        </is>
      </c>
      <c r="C36" t="inlineStr">
        <is>
          <t>Iron</t>
        </is>
      </c>
      <c r="D36" t="inlineStr">
        <is>
          <t>All (assumed same)</t>
        </is>
      </c>
      <c r="E36" t="inlineStr">
        <is>
          <t>Vehicle fortification at baseline -- amount among fortified</t>
        </is>
      </c>
      <c r="F36" t="inlineStr">
        <is>
          <t>concentration</t>
        </is>
      </c>
      <c s="8" r="G36" t="inlineStr">
        <is>
          <t>mcg/g</t>
        </is>
      </c>
      <c r="I36" t="inlineStr">
        <is>
          <t>DUMMY (MIC-7580)</t>
        </is>
      </c>
      <c s="10" r="J36" t="n">
        <v>0</v>
      </c>
      <c r="L36" t="inlineStr">
        <is>
          <t>DUMMY PLACEHOLDER (MIC-7580): value copied from the Nigeria wheat placeholder row (itself copied from Nigeria rice). Replace with real India wheat data.</t>
        </is>
      </c>
    </row>
    <row r="37" spans="1:12" ht="15" customHeight="1" x14ac:dyDescent="0.2">
      <c r="A37" t="inlineStr">
        <is>
          <t>India</t>
        </is>
      </c>
      <c r="B37" t="inlineStr">
        <is>
          <t>Wheat</t>
        </is>
      </c>
      <c r="C37" t="inlineStr">
        <is>
          <t>Iron</t>
        </is>
      </c>
      <c r="D37" t="inlineStr">
        <is>
          <t>All (assumed same)</t>
        </is>
      </c>
      <c r="E37" t="inlineStr">
        <is>
          <t>Baseline effective % of fortified</t>
        </is>
      </c>
      <c r="F37" t="inlineStr">
        <is>
          <t>percentage</t>
        </is>
      </c>
      <c s="8" r="G37" t="inlineStr">
        <is>
          <t>%</t>
        </is>
      </c>
      <c r="I37" t="inlineStr">
        <is>
          <t>DUMMY (MIC-7580)</t>
        </is>
      </c>
      <c s="7" r="J37" t="n">
        <v>0.8</v>
      </c>
      <c r="L37" t="inlineStr">
        <is>
          <t>DUMMY PLACEHOLDER (MIC-7580): value copied from the Nigeria wheat placeholder row (itself copied from Nigeria rice). Replace with real India wheat data.</t>
        </is>
      </c>
    </row>
    <row r="38" spans="1:12" ht="15" customHeight="1" x14ac:dyDescent="0.2">
      <c r="A38" t="inlineStr">
        <is>
          <t>India</t>
        </is>
      </c>
      <c r="B38" t="inlineStr">
        <is>
          <t>Salt</t>
        </is>
      </c>
      <c r="C38" t="inlineStr">
        <is>
          <t>Iron</t>
        </is>
      </c>
      <c r="D38" t="inlineStr">
        <is>
          <t>All (assumed same)</t>
        </is>
      </c>
      <c r="E38" t="inlineStr">
        <is>
          <t>Vehicle fortification at baseline -- any</t>
        </is>
      </c>
      <c r="F38" t="inlineStr">
        <is>
          <t>percentage</t>
        </is>
      </c>
      <c s="8" r="G38" t="inlineStr">
        <is>
          <t>%</t>
        </is>
      </c>
      <c r="I38" t="inlineStr">
        <is>
          <t>DUMMY (MIC-7580)</t>
        </is>
      </c>
      <c s="7" r="J38" t="n">
        <v>0</v>
      </c>
      <c r="L38" t="inlineStr">
        <is>
          <t>DUMMY PLACEHOLDER (MIC-7580): value copied from the India wheat placeholder row. Replace with real India salt data.</t>
        </is>
      </c>
    </row>
    <row r="39" spans="1:12" ht="15" customHeight="1" x14ac:dyDescent="0.2">
      <c r="A39" t="inlineStr">
        <is>
          <t>India</t>
        </is>
      </c>
      <c r="B39" t="inlineStr">
        <is>
          <t>Salt</t>
        </is>
      </c>
      <c r="C39" t="inlineStr">
        <is>
          <t>Iron</t>
        </is>
      </c>
      <c r="D39" t="inlineStr">
        <is>
          <t>All (assumed same)</t>
        </is>
      </c>
      <c r="E39" t="inlineStr">
        <is>
          <t>Vehicle fortification at baseline -- amount among fortified</t>
        </is>
      </c>
      <c r="F39" t="inlineStr">
        <is>
          <t>concentration</t>
        </is>
      </c>
      <c s="8" r="G39" t="inlineStr">
        <is>
          <t>mcg/g</t>
        </is>
      </c>
      <c r="I39" t="inlineStr">
        <is>
          <t>DUMMY (MIC-7580)</t>
        </is>
      </c>
      <c s="10" r="J39" t="n">
        <v>0</v>
      </c>
      <c r="L39" t="inlineStr">
        <is>
          <t>DUMMY PLACEHOLDER (MIC-7580): value copied from the India wheat placeholder row. Replace with real India salt data.</t>
        </is>
      </c>
    </row>
    <row r="40" spans="1:12" ht="15" customHeight="1" x14ac:dyDescent="0.2">
      <c r="A40" t="inlineStr">
        <is>
          <t>India</t>
        </is>
      </c>
      <c r="B40" t="inlineStr">
        <is>
          <t>Salt</t>
        </is>
      </c>
      <c r="C40" t="inlineStr">
        <is>
          <t>Iron</t>
        </is>
      </c>
      <c r="D40" t="inlineStr">
        <is>
          <t>All (assumed same)</t>
        </is>
      </c>
      <c r="E40" t="inlineStr">
        <is>
          <t>Baseline effective % of fortified</t>
        </is>
      </c>
      <c r="F40" t="inlineStr">
        <is>
          <t>percentage</t>
        </is>
      </c>
      <c s="8" r="G40" t="inlineStr">
        <is>
          <t>%</t>
        </is>
      </c>
      <c r="I40" t="inlineStr">
        <is>
          <t>DUMMY (MIC-7580)</t>
        </is>
      </c>
      <c s="7" r="J40" t="n">
        <v>0.8</v>
      </c>
      <c r="L40" t="inlineStr">
        <is>
          <t>DUMMY PLACEHOLDER (MIC-7580): value copied from the India wheat placeholder row. Replace with real India salt data.</t>
        </is>
      </c>
    </row>
    <row r="41" spans="1:12" ht="15" customHeight="1" x14ac:dyDescent="0.2">
      <c r="A41" t="inlineStr">
        <is>
          <t>Ethiopia</t>
        </is>
      </c>
      <c r="B41" t="inlineStr">
        <is>
          <t>Wheat</t>
        </is>
      </c>
      <c r="C41" t="inlineStr">
        <is>
          <t>Folate</t>
        </is>
      </c>
      <c r="D41" t="inlineStr">
        <is>
          <t>All (assumed same)</t>
        </is>
      </c>
      <c r="E41" t="inlineStr">
        <is>
          <t>Vehicle fortification at baseline -- any</t>
        </is>
      </c>
      <c r="F41" t="inlineStr">
        <is>
          <t>percentage</t>
        </is>
      </c>
      <c r="G41" s="8" t="inlineStr">
        <is>
          <t>%</t>
        </is>
      </c>
      <c r="I41" t="inlineStr">
        <is>
          <t>DUMMY (MIC-7585)</t>
        </is>
      </c>
      <c r="J41" s="7" t="n">
        <v>0.0</v>
      </c>
      <c r="L41" t="inlineStr">
        <is>
          <t>DUMMY PLACEHOLDER (MIC-7585): value copied from the Nigeria wheat folate placeholder row. Replace with real Ethiopia wheat data.</t>
        </is>
      </c>
    </row>
    <row r="42" spans="1:12" ht="15" customHeight="1" x14ac:dyDescent="0.2">
      <c r="A42" t="inlineStr">
        <is>
          <t>Ethiopia</t>
        </is>
      </c>
      <c r="B42" t="inlineStr">
        <is>
          <t>Wheat</t>
        </is>
      </c>
      <c r="C42" t="inlineStr">
        <is>
          <t>Folate</t>
        </is>
      </c>
      <c r="D42" t="inlineStr">
        <is>
          <t>All (assumed same)</t>
        </is>
      </c>
      <c r="E42" t="inlineStr">
        <is>
          <t>Vehicle fortification at baseline -- amount among fortified</t>
        </is>
      </c>
      <c r="F42" t="inlineStr">
        <is>
          <t>concentration</t>
        </is>
      </c>
      <c r="G42" s="8" t="inlineStr">
        <is>
          <t>mcg/g</t>
        </is>
      </c>
      <c r="I42" t="inlineStr">
        <is>
          <t>DUMMY (MIC-7585)</t>
        </is>
      </c>
      <c r="J42" s="10" t="n">
        <v>0.0</v>
      </c>
      <c r="L42" t="inlineStr">
        <is>
          <t>DUMMY PLACEHOLDER (MIC-7585): value copied from the Nigeria wheat folate placeholder row. Replace with real Ethiopia wheat data.</t>
        </is>
      </c>
    </row>
    <row r="43" spans="1:12" ht="15" customHeight="1" x14ac:dyDescent="0.2">
      <c r="A43" t="inlineStr">
        <is>
          <t>Ethiopia</t>
        </is>
      </c>
      <c r="B43" t="inlineStr">
        <is>
          <t>Wheat</t>
        </is>
      </c>
      <c r="C43" t="inlineStr">
        <is>
          <t>Folate</t>
        </is>
      </c>
      <c r="D43" t="inlineStr">
        <is>
          <t>All (assumed same)</t>
        </is>
      </c>
      <c r="E43" t="inlineStr">
        <is>
          <t>Baseline effective % of fortified</t>
        </is>
      </c>
      <c r="F43" t="inlineStr">
        <is>
          <t>percentage</t>
        </is>
      </c>
      <c r="G43" s="8" t="inlineStr">
        <is>
          <t>%</t>
        </is>
      </c>
      <c r="I43" t="inlineStr">
        <is>
          <t>DUMMY (MIC-7585)</t>
        </is>
      </c>
      <c r="J43" s="7" t="n">
        <v>0.8</v>
      </c>
      <c r="L43" t="inlineStr">
        <is>
          <t>DUMMY PLACEHOLDER (MIC-7585): value copied from the Nigeria wheat folate placeholder row. Replace with real Ethiopia wheat data.</t>
        </is>
      </c>
    </row>
  </sheetData>
  <dataValidations count="5">
    <dataValidation allowBlank="1" showInputMessage="1" showErrorMessage="1" sqref="A1:B1" xr:uid="{00000000-0002-0000-0300-000000000000}"/>
    <dataValidation type="list" allowBlank="1" showInputMessage="1" showErrorMessage="1" sqref="B2:B1048576" xr:uid="{00000000-0002-0000-0300-000001000000}">
      <formula1>"Bouillon,Salt,Rice"</formula1>
    </dataValidation>
    <dataValidation type="list" allowBlank="1" showInputMessage="1" showErrorMessage="1" sqref="C2:C1048576" xr:uid="{00000000-0002-0000-0300-000002000000}">
      <formula1>"Iron,Folate"</formula1>
    </dataValidation>
    <dataValidation type="list" allowBlank="1" showInputMessage="1" showErrorMessage="1" sqref="A2:A1048576" xr:uid="{00000000-0002-0000-0300-000003000000}">
      <formula1>"Nigeria,Ethiopia,India"</formula1>
    </dataValidation>
    <dataValidation type="list" allowBlank="1" showInputMessage="1" showErrorMessage="1" sqref="D1:D1048576" xr:uid="{00000000-0002-0000-0300-000004000000}">
      <formula1>"All (assumed same),Total,Lowest,Second,Middle,Fourth,Highest"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52.5" bestFit="1" customWidth="1"/>
    <col min="2" max="2" width="12.5" bestFit="1" customWidth="1"/>
    <col min="3" max="3" width="12.33203125" customWidth="1"/>
    <col min="4" max="4" width="9.6640625" bestFit="1" customWidth="1"/>
    <col min="8" max="8" width="29" customWidth="1"/>
  </cols>
  <sheetData>
    <row r="1" spans="1:8" x14ac:dyDescent="0.2">
      <c r="A1" s="3" t="s">
        <v>0</v>
      </c>
      <c r="B1" s="41" t="s">
        <v>13</v>
      </c>
      <c r="C1" s="42"/>
      <c r="D1" s="41" t="s">
        <v>42</v>
      </c>
      <c r="E1" s="42"/>
      <c r="F1" s="43" t="s">
        <v>76</v>
      </c>
      <c r="G1" s="42"/>
      <c r="H1" s="1" t="s">
        <v>12</v>
      </c>
    </row>
    <row r="2" spans="1:8" x14ac:dyDescent="0.2">
      <c r="A2" s="3" t="s">
        <v>94</v>
      </c>
      <c r="B2" s="2" t="s">
        <v>95</v>
      </c>
      <c r="C2" s="1" t="s">
        <v>2</v>
      </c>
      <c r="D2" s="2" t="s">
        <v>95</v>
      </c>
      <c r="E2" s="1" t="s">
        <v>2</v>
      </c>
      <c r="F2" s="2" t="s">
        <v>95</v>
      </c>
      <c r="G2" s="1" t="s">
        <v>2</v>
      </c>
    </row>
    <row r="3" spans="1:8" x14ac:dyDescent="0.2">
      <c r="A3" s="1" t="s">
        <v>4</v>
      </c>
      <c r="B3" s="1"/>
      <c r="D3" s="1"/>
      <c r="E3" s="1"/>
    </row>
    <row r="4" spans="1:8" x14ac:dyDescent="0.2">
      <c r="A4" s="4" t="s">
        <v>119</v>
      </c>
      <c r="B4" t="s">
        <v>102</v>
      </c>
      <c r="C4" t="s">
        <v>102</v>
      </c>
      <c r="D4" t="s">
        <v>120</v>
      </c>
      <c r="E4" t="s">
        <v>121</v>
      </c>
      <c r="F4" t="s">
        <v>120</v>
      </c>
      <c r="G4" t="s">
        <v>122</v>
      </c>
    </row>
    <row r="5" spans="1:8" x14ac:dyDescent="0.2">
      <c r="A5" t="s">
        <v>123</v>
      </c>
      <c r="B5" t="str">
        <f>IF(COUNTIFS('Country Extraction'!$A$2:$A$980, B$1,  'Country Extraction'!$B$2:$B$980, "All",  'Country Extraction'!$C$2:$C$980, $A5) = 0, "Missing", "Complete")</f>
        <v>Missing</v>
      </c>
      <c r="C5" t="str">
        <f>IF(COUNTIFS('Country Extraction'!$A$1:$A$995, D$1, 'Country Extraction'!$B$1:$B$995, "&lt;&gt;All", 'Country Extraction'!$C$1:$C$995, $A5, 'Country Extraction'!$H$1:$H$995, "&lt;&gt;") &lt; 5, "Missing", "Complete")</f>
        <v>Missing</v>
      </c>
      <c r="D5" t="str">
        <f>IF(COUNTIFS('Country Extraction'!$A$2:$A$980, D$1,  'Country Extraction'!$B$2:$B$980, "All",  'Country Extraction'!$C$2:$C$980, $A5) = 0, "Missing", "Complete")</f>
        <v>Missing</v>
      </c>
      <c r="E5" t="str">
        <f>IF(COUNTIFS('Country Extraction'!$A$1:$A$995, F$1, 'Country Extraction'!$B$1:$B$995, "&lt;&gt;All", 'Country Extraction'!$C$1:$C$995, $A5, 'Country Extraction'!$H$1:$H$995, "&lt;&gt;") &lt; 5, "Missing", "Complete")</f>
        <v>Missing</v>
      </c>
      <c r="F5" t="str">
        <f>IF(COUNTIFS('Country Extraction'!$A$2:$A$980, F$1,  'Country Extraction'!$B$2:$B$980, "All",  'Country Extraction'!$C$2:$C$980, $A5) = 0, "Missing", "Complete")</f>
        <v>Missing</v>
      </c>
      <c r="G5" t="str">
        <f>IF(COUNTIFS('Country Extraction'!$A$1:$A$995, H$1, 'Country Extraction'!$B$1:$B$995, "&lt;&gt;All", 'Country Extraction'!$C$1:$C$995, $A5, 'Country Extraction'!$H$1:$H$995, "&lt;&gt;") &lt; 5, "Missing", "Complete")</f>
        <v>Missing</v>
      </c>
    </row>
    <row r="6" spans="1:8" x14ac:dyDescent="0.2">
      <c r="A6" t="s">
        <v>124</v>
      </c>
      <c r="B6" t="str">
        <f>IF(COUNTIFS('Country Extraction'!$A$2:$A$980, B$1,  'Country Extraction'!$B$2:$B$980, "All",  'Country Extraction'!$C$2:$C$980, $A6) = 0, "Missing", "Complete")</f>
        <v>Missing</v>
      </c>
      <c r="C6" t="str">
        <f>IF(COUNTIFS('Country Extraction'!$A$1:$A$995, D$1, 'Country Extraction'!$B$1:$B$995, "&lt;&gt;All", 'Country Extraction'!$C$1:$C$995, $A6, 'Country Extraction'!$H$1:$H$995, "&lt;&gt;") &lt; 5, "Missing", "Complete")</f>
        <v>Missing</v>
      </c>
      <c r="D6" t="str">
        <f>IF(COUNTIFS('Country Extraction'!$A$2:$A$980, D$1,  'Country Extraction'!$B$2:$B$980, "All",  'Country Extraction'!$C$2:$C$980, $A6) = 0, "Missing", "Complete")</f>
        <v>Missing</v>
      </c>
      <c r="E6" t="str">
        <f>IF(COUNTIFS('Country Extraction'!$A$1:$A$995, F$1, 'Country Extraction'!$B$1:$B$995, "&lt;&gt;All", 'Country Extraction'!$C$1:$C$995, $A6, 'Country Extraction'!$H$1:$H$995, "&lt;&gt;") &lt; 5, "Missing", "Complete")</f>
        <v>Missing</v>
      </c>
      <c r="F6" t="str">
        <f>IF(COUNTIFS('Country Extraction'!$A$2:$A$980, F$1,  'Country Extraction'!$B$2:$B$980, "All",  'Country Extraction'!$C$2:$C$980, $A6) = 0, "Missing", "Complete")</f>
        <v>Missing</v>
      </c>
      <c r="G6" t="str">
        <f>IF(COUNTIFS('Country Extraction'!$A$1:$A$995, H$1, 'Country Extraction'!$B$1:$B$995, "&lt;&gt;All", 'Country Extraction'!$C$1:$C$995, $A6, 'Country Extraction'!$H$1:$H$995, "&lt;&gt;") &lt; 5, "Missing", "Complete")</f>
        <v>Missing</v>
      </c>
    </row>
    <row r="7" spans="1:8" x14ac:dyDescent="0.2">
      <c r="A7" t="s">
        <v>125</v>
      </c>
      <c r="B7" t="s">
        <v>102</v>
      </c>
      <c r="C7" t="s">
        <v>102</v>
      </c>
      <c r="D7" t="s">
        <v>120</v>
      </c>
      <c r="E7" t="s">
        <v>121</v>
      </c>
      <c r="F7" t="s">
        <v>120</v>
      </c>
      <c r="G7" t="s">
        <v>122</v>
      </c>
    </row>
    <row r="8" spans="1:8" x14ac:dyDescent="0.2">
      <c r="A8" t="s">
        <v>126</v>
      </c>
      <c r="B8" t="s">
        <v>102</v>
      </c>
      <c r="C8" t="s">
        <v>102</v>
      </c>
      <c r="D8" t="s">
        <v>120</v>
      </c>
      <c r="E8" t="s">
        <v>121</v>
      </c>
      <c r="F8" t="s">
        <v>120</v>
      </c>
      <c r="G8" t="s">
        <v>122</v>
      </c>
    </row>
    <row r="9" spans="1:8" x14ac:dyDescent="0.2">
      <c r="A9" t="s">
        <v>127</v>
      </c>
      <c r="B9" t="s">
        <v>102</v>
      </c>
      <c r="C9" t="s">
        <v>102</v>
      </c>
      <c r="D9" t="s">
        <v>120</v>
      </c>
      <c r="E9" t="s">
        <v>121</v>
      </c>
      <c r="F9" t="s">
        <v>120</v>
      </c>
      <c r="G9" t="s">
        <v>122</v>
      </c>
      <c r="H9" t="s">
        <v>128</v>
      </c>
    </row>
    <row r="10" spans="1:8" x14ac:dyDescent="0.2">
      <c r="A10" t="s">
        <v>129</v>
      </c>
      <c r="B10" t="s">
        <v>102</v>
      </c>
      <c r="C10" t="s">
        <v>102</v>
      </c>
      <c r="D10" t="s">
        <v>120</v>
      </c>
      <c r="E10" t="str">
        <f>IF(COUNTIFS('Country Extraction'!$A$1:$A$995, F$1, 'Country Extraction'!$B$1:$B$995, "&lt;&gt;All", 'Country Extraction'!$C$1:$C$995, $A10, 'Country Extraction'!$H$1:$H$995, "&lt;&gt;") &lt; 5, "Missing", "Complete")</f>
        <v>Missing</v>
      </c>
      <c r="F10" t="s">
        <v>120</v>
      </c>
      <c r="G10" t="str">
        <f>IF(COUNTIFS('Country Extraction'!$A$1:$A$995, H$1, 'Country Extraction'!$B$1:$B$995, "&lt;&gt;All", 'Country Extraction'!$C$1:$C$995, $A10, 'Country Extraction'!$H$1:$H$995, "&lt;&gt;") &lt; 5, "Missing", "Complete")</f>
        <v>Missing</v>
      </c>
      <c r="H10" s="4" t="s">
        <v>130</v>
      </c>
    </row>
    <row r="11" spans="1:8" x14ac:dyDescent="0.2">
      <c r="A11" t="s">
        <v>131</v>
      </c>
      <c r="B11" t="s">
        <v>102</v>
      </c>
      <c r="C11" t="s">
        <v>102</v>
      </c>
      <c r="D11" t="s">
        <v>120</v>
      </c>
      <c r="E11" t="str">
        <f>IF(COUNTIFS('Country Extraction'!$A$1:$A$995, F$1, 'Country Extraction'!$B$1:$B$995, "&lt;&gt;All", 'Country Extraction'!$C$1:$C$995, $A11, 'Country Extraction'!$H$1:$H$995, "&lt;&gt;") &lt; 5, "Missing", "Complete")</f>
        <v>Missing</v>
      </c>
      <c r="F11" t="s">
        <v>120</v>
      </c>
      <c r="G11" t="s">
        <v>122</v>
      </c>
      <c r="H11" t="s">
        <v>132</v>
      </c>
    </row>
    <row r="12" spans="1:8" x14ac:dyDescent="0.2">
      <c r="A12" t="s">
        <v>133</v>
      </c>
      <c r="B12" t="s">
        <v>102</v>
      </c>
      <c r="C12" t="s">
        <v>102</v>
      </c>
      <c r="D12" t="s">
        <v>120</v>
      </c>
      <c r="E12" t="s">
        <v>121</v>
      </c>
      <c r="F12" t="s">
        <v>120</v>
      </c>
      <c r="G12" t="s">
        <v>122</v>
      </c>
    </row>
    <row r="13" spans="1:8" x14ac:dyDescent="0.2">
      <c r="A13" t="s">
        <v>134</v>
      </c>
      <c r="B13" t="s">
        <v>102</v>
      </c>
      <c r="C13" t="s">
        <v>102</v>
      </c>
      <c r="D13" t="s">
        <v>120</v>
      </c>
      <c r="E13" t="s">
        <v>121</v>
      </c>
      <c r="F13" t="s">
        <v>120</v>
      </c>
      <c r="G13" t="s">
        <v>122</v>
      </c>
      <c r="H13" t="s">
        <v>135</v>
      </c>
    </row>
    <row r="14" spans="1:8" x14ac:dyDescent="0.2">
      <c r="A14" t="s">
        <v>136</v>
      </c>
      <c r="B14" t="s">
        <v>102</v>
      </c>
      <c r="C14" t="s">
        <v>102</v>
      </c>
      <c r="D14" t="s">
        <v>120</v>
      </c>
      <c r="E14" t="s">
        <v>121</v>
      </c>
      <c r="F14" t="s">
        <v>120</v>
      </c>
      <c r="G14" t="s">
        <v>122</v>
      </c>
      <c r="H14" t="s">
        <v>137</v>
      </c>
    </row>
    <row r="15" spans="1:8" x14ac:dyDescent="0.2">
      <c r="A15" t="s">
        <v>138</v>
      </c>
      <c r="B15" t="s">
        <v>120</v>
      </c>
      <c r="C15" t="str">
        <f>IF(COUNTIFS('Country Extraction'!$A$1:$A$995, D$1, 'Country Extraction'!$B$1:$B$995, "&lt;&gt;All", 'Country Extraction'!$C$1:$C$995, $A15, 'Country Extraction'!$H$1:$H$995, "&lt;&gt;") &lt; 5, "Missing", "Complete")</f>
        <v>Missing</v>
      </c>
      <c r="D15" t="s">
        <v>120</v>
      </c>
      <c r="E15" t="str">
        <f>IF(COUNTIFS('Country Extraction'!$A$1:$A$995, F$1, 'Country Extraction'!$B$1:$B$995, "&lt;&gt;All", 'Country Extraction'!$C$1:$C$995, $A15, 'Country Extraction'!$H$1:$H$995, "&lt;&gt;") &lt; 5, "Missing", "Complete")</f>
        <v>Missing</v>
      </c>
      <c r="F15" t="s">
        <v>120</v>
      </c>
      <c r="G15" t="str">
        <f>IF(COUNTIFS('Country Extraction'!$A$1:$A$995, H$1, 'Country Extraction'!$B$1:$B$995, "&lt;&gt;All", 'Country Extraction'!$C$1:$C$995, $A15, 'Country Extraction'!$H$1:$H$995, "&lt;&gt;") &lt; 5, "Missing", "Complete")</f>
        <v>Missing</v>
      </c>
    </row>
  </sheetData>
  <mergeCells count="3">
    <mergeCell ref="B1:C1"/>
    <mergeCell ref="F1:G1"/>
    <mergeCell ref="D1:E1"/>
  </mergeCells>
  <conditionalFormatting sqref="B4:G15">
    <cfRule type="cellIs" dxfId="2" priority="1" operator="equal">
      <formula>"Missing"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6"/>
  <sheetViews>
    <sheetView workbookViewId="0">
      <pane ySplit="1" topLeftCell="A45" activePane="bottomLeft" state="frozen"/>
      <selection pane="bottomLeft" activeCell="E45" sqref="E45"/>
    </sheetView>
  </sheetViews>
  <sheetFormatPr baseColWidth="10" defaultColWidth="8.83203125" defaultRowHeight="15" x14ac:dyDescent="0.2"/>
  <cols>
    <col min="1" max="1" width="8" bestFit="1" customWidth="1"/>
    <col min="3" max="3" width="40.5" customWidth="1"/>
    <col min="4" max="4" width="19" customWidth="1"/>
    <col min="7" max="7" width="34.1640625" customWidth="1"/>
    <col min="10" max="10" width="50.5" customWidth="1"/>
  </cols>
  <sheetData>
    <row r="1" spans="1:10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ht="16" customHeight="1" x14ac:dyDescent="0.2">
      <c r="A2" t="s">
        <v>13</v>
      </c>
      <c r="B2" t="s">
        <v>139</v>
      </c>
      <c r="C2" s="9" t="s">
        <v>140</v>
      </c>
      <c r="E2" t="s">
        <v>141</v>
      </c>
      <c r="G2" t="s">
        <v>141</v>
      </c>
      <c r="J2" s="11" t="s">
        <v>142</v>
      </c>
    </row>
    <row r="3" spans="1:10" ht="32.25" customHeight="1" x14ac:dyDescent="0.2">
      <c r="A3" t="s">
        <v>13</v>
      </c>
      <c r="B3" t="s">
        <v>27</v>
      </c>
      <c r="C3" s="9" t="s">
        <v>140</v>
      </c>
      <c r="E3" t="s">
        <v>141</v>
      </c>
      <c r="G3" t="s">
        <v>141</v>
      </c>
      <c r="J3" s="13" t="s">
        <v>143</v>
      </c>
    </row>
    <row r="4" spans="1:10" x14ac:dyDescent="0.2">
      <c r="A4" t="s">
        <v>13</v>
      </c>
      <c r="B4" t="s">
        <v>28</v>
      </c>
      <c r="C4" s="9" t="s">
        <v>140</v>
      </c>
      <c r="E4" t="s">
        <v>141</v>
      </c>
      <c r="G4" t="s">
        <v>141</v>
      </c>
    </row>
    <row r="5" spans="1:10" x14ac:dyDescent="0.2">
      <c r="A5" t="s">
        <v>13</v>
      </c>
      <c r="B5" t="s">
        <v>29</v>
      </c>
      <c r="C5" s="9" t="s">
        <v>140</v>
      </c>
      <c r="E5" t="s">
        <v>141</v>
      </c>
      <c r="G5" t="s">
        <v>141</v>
      </c>
    </row>
    <row r="6" spans="1:10" x14ac:dyDescent="0.2">
      <c r="A6" t="s">
        <v>13</v>
      </c>
      <c r="B6" t="s">
        <v>30</v>
      </c>
      <c r="C6" s="9" t="s">
        <v>140</v>
      </c>
      <c r="E6" t="s">
        <v>141</v>
      </c>
      <c r="G6" t="s">
        <v>141</v>
      </c>
    </row>
    <row r="7" spans="1:10" x14ac:dyDescent="0.2">
      <c r="A7" t="s">
        <v>13</v>
      </c>
      <c r="B7" t="s">
        <v>31</v>
      </c>
      <c r="C7" s="9" t="s">
        <v>140</v>
      </c>
      <c r="E7" t="s">
        <v>141</v>
      </c>
      <c r="G7" t="s">
        <v>141</v>
      </c>
    </row>
    <row r="8" spans="1:10" x14ac:dyDescent="0.2">
      <c r="A8" t="s">
        <v>144</v>
      </c>
      <c r="B8" t="s">
        <v>139</v>
      </c>
      <c r="C8" s="9" t="s">
        <v>140</v>
      </c>
      <c r="E8" t="s">
        <v>141</v>
      </c>
      <c r="G8" t="s">
        <v>141</v>
      </c>
    </row>
    <row r="9" spans="1:10" x14ac:dyDescent="0.2">
      <c r="A9" t="s">
        <v>144</v>
      </c>
      <c r="B9" t="s">
        <v>27</v>
      </c>
      <c r="C9" s="9" t="s">
        <v>140</v>
      </c>
      <c r="E9" t="s">
        <v>141</v>
      </c>
      <c r="G9" t="s">
        <v>141</v>
      </c>
    </row>
    <row r="10" spans="1:10" x14ac:dyDescent="0.2">
      <c r="A10" t="s">
        <v>144</v>
      </c>
      <c r="B10" t="s">
        <v>28</v>
      </c>
      <c r="C10" s="9" t="s">
        <v>140</v>
      </c>
      <c r="E10" t="s">
        <v>141</v>
      </c>
      <c r="G10" t="s">
        <v>141</v>
      </c>
    </row>
    <row r="11" spans="1:10" x14ac:dyDescent="0.2">
      <c r="A11" t="s">
        <v>144</v>
      </c>
      <c r="B11" t="s">
        <v>29</v>
      </c>
      <c r="C11" s="9" t="s">
        <v>140</v>
      </c>
      <c r="E11" t="s">
        <v>141</v>
      </c>
      <c r="G11" t="s">
        <v>141</v>
      </c>
    </row>
    <row r="12" spans="1:10" x14ac:dyDescent="0.2">
      <c r="A12" t="s">
        <v>144</v>
      </c>
      <c r="B12" t="s">
        <v>30</v>
      </c>
      <c r="C12" s="9" t="s">
        <v>140</v>
      </c>
      <c r="E12" t="s">
        <v>141</v>
      </c>
      <c r="G12" t="s">
        <v>141</v>
      </c>
    </row>
    <row r="13" spans="1:10" x14ac:dyDescent="0.2">
      <c r="A13" t="s">
        <v>144</v>
      </c>
      <c r="B13" t="s">
        <v>31</v>
      </c>
      <c r="C13" s="9" t="s">
        <v>140</v>
      </c>
      <c r="E13" t="s">
        <v>141</v>
      </c>
      <c r="G13" t="s">
        <v>141</v>
      </c>
    </row>
    <row r="14" spans="1:10" x14ac:dyDescent="0.2">
      <c r="A14" t="s">
        <v>76</v>
      </c>
      <c r="B14" t="s">
        <v>139</v>
      </c>
      <c r="C14" s="9" t="s">
        <v>140</v>
      </c>
      <c r="E14" t="s">
        <v>141</v>
      </c>
      <c r="G14" t="s">
        <v>141</v>
      </c>
    </row>
    <row r="15" spans="1:10" x14ac:dyDescent="0.2">
      <c r="A15" t="s">
        <v>76</v>
      </c>
      <c r="B15" t="s">
        <v>27</v>
      </c>
      <c r="C15" s="9" t="s">
        <v>140</v>
      </c>
      <c r="E15" t="s">
        <v>141</v>
      </c>
      <c r="G15" t="s">
        <v>141</v>
      </c>
    </row>
    <row r="16" spans="1:10" x14ac:dyDescent="0.2">
      <c r="A16" t="s">
        <v>76</v>
      </c>
      <c r="B16" t="s">
        <v>28</v>
      </c>
      <c r="C16" s="9" t="s">
        <v>140</v>
      </c>
      <c r="E16" t="s">
        <v>141</v>
      </c>
      <c r="G16" t="s">
        <v>141</v>
      </c>
    </row>
    <row r="17" spans="1:10" x14ac:dyDescent="0.2">
      <c r="A17" t="s">
        <v>76</v>
      </c>
      <c r="B17" t="s">
        <v>29</v>
      </c>
      <c r="C17" s="9" t="s">
        <v>140</v>
      </c>
      <c r="E17" t="s">
        <v>141</v>
      </c>
      <c r="G17" t="s">
        <v>141</v>
      </c>
    </row>
    <row r="18" spans="1:10" x14ac:dyDescent="0.2">
      <c r="A18" t="s">
        <v>76</v>
      </c>
      <c r="B18" t="s">
        <v>30</v>
      </c>
      <c r="C18" s="9" t="s">
        <v>140</v>
      </c>
      <c r="E18" t="s">
        <v>141</v>
      </c>
      <c r="G18" t="s">
        <v>141</v>
      </c>
    </row>
    <row r="19" spans="1:10" x14ac:dyDescent="0.2">
      <c r="A19" t="s">
        <v>76</v>
      </c>
      <c r="B19" t="s">
        <v>31</v>
      </c>
      <c r="C19" s="9" t="s">
        <v>140</v>
      </c>
      <c r="E19" t="s">
        <v>141</v>
      </c>
      <c r="G19" t="s">
        <v>141</v>
      </c>
    </row>
    <row r="20" spans="1:10" ht="16" customHeight="1" x14ac:dyDescent="0.2">
      <c r="A20" t="s">
        <v>13</v>
      </c>
      <c r="B20" t="s">
        <v>139</v>
      </c>
      <c r="C20" s="9" t="s">
        <v>145</v>
      </c>
      <c r="E20" s="8" t="s">
        <v>146</v>
      </c>
      <c r="G20" t="s">
        <v>141</v>
      </c>
      <c r="J20" s="11" t="s">
        <v>147</v>
      </c>
    </row>
    <row r="21" spans="1:10" x14ac:dyDescent="0.2">
      <c r="A21" t="s">
        <v>13</v>
      </c>
      <c r="B21" t="s">
        <v>27</v>
      </c>
      <c r="C21" s="9" t="s">
        <v>145</v>
      </c>
      <c r="E21" s="8" t="s">
        <v>146</v>
      </c>
      <c r="G21" t="s">
        <v>141</v>
      </c>
      <c r="J21" s="8" t="s">
        <v>143</v>
      </c>
    </row>
    <row r="22" spans="1:10" x14ac:dyDescent="0.2">
      <c r="A22" t="s">
        <v>13</v>
      </c>
      <c r="B22" t="s">
        <v>28</v>
      </c>
      <c r="C22" s="9" t="s">
        <v>145</v>
      </c>
      <c r="E22" s="8" t="s">
        <v>146</v>
      </c>
      <c r="G22" t="s">
        <v>141</v>
      </c>
    </row>
    <row r="23" spans="1:10" x14ac:dyDescent="0.2">
      <c r="A23" t="s">
        <v>13</v>
      </c>
      <c r="B23" t="s">
        <v>29</v>
      </c>
      <c r="C23" s="9" t="s">
        <v>145</v>
      </c>
      <c r="E23" s="8" t="s">
        <v>146</v>
      </c>
      <c r="G23" t="s">
        <v>141</v>
      </c>
    </row>
    <row r="24" spans="1:10" x14ac:dyDescent="0.2">
      <c r="A24" t="s">
        <v>13</v>
      </c>
      <c r="B24" t="s">
        <v>30</v>
      </c>
      <c r="C24" s="9" t="s">
        <v>145</v>
      </c>
      <c r="E24" s="8" t="s">
        <v>146</v>
      </c>
      <c r="G24" t="s">
        <v>141</v>
      </c>
    </row>
    <row r="25" spans="1:10" x14ac:dyDescent="0.2">
      <c r="A25" t="s">
        <v>13</v>
      </c>
      <c r="B25" t="s">
        <v>31</v>
      </c>
      <c r="C25" s="9" t="s">
        <v>145</v>
      </c>
      <c r="E25" s="8" t="s">
        <v>146</v>
      </c>
      <c r="G25" t="s">
        <v>141</v>
      </c>
    </row>
    <row r="26" spans="1:10" x14ac:dyDescent="0.2">
      <c r="A26" t="s">
        <v>144</v>
      </c>
      <c r="B26" t="s">
        <v>139</v>
      </c>
      <c r="C26" s="9" t="s">
        <v>145</v>
      </c>
      <c r="E26" s="8" t="s">
        <v>146</v>
      </c>
      <c r="G26" t="s">
        <v>141</v>
      </c>
    </row>
    <row r="27" spans="1:10" x14ac:dyDescent="0.2">
      <c r="A27" t="s">
        <v>144</v>
      </c>
      <c r="B27" t="s">
        <v>27</v>
      </c>
      <c r="C27" s="9" t="s">
        <v>145</v>
      </c>
      <c r="E27" s="8" t="s">
        <v>146</v>
      </c>
      <c r="G27" t="s">
        <v>141</v>
      </c>
    </row>
    <row r="28" spans="1:10" x14ac:dyDescent="0.2">
      <c r="A28" t="s">
        <v>144</v>
      </c>
      <c r="B28" t="s">
        <v>28</v>
      </c>
      <c r="C28" s="9" t="s">
        <v>145</v>
      </c>
      <c r="E28" s="8" t="s">
        <v>146</v>
      </c>
      <c r="G28" t="s">
        <v>141</v>
      </c>
    </row>
    <row r="29" spans="1:10" x14ac:dyDescent="0.2">
      <c r="A29" t="s">
        <v>144</v>
      </c>
      <c r="B29" t="s">
        <v>29</v>
      </c>
      <c r="C29" s="9" t="s">
        <v>145</v>
      </c>
      <c r="E29" s="8" t="s">
        <v>146</v>
      </c>
      <c r="G29" t="s">
        <v>141</v>
      </c>
    </row>
    <row r="30" spans="1:10" x14ac:dyDescent="0.2">
      <c r="A30" t="s">
        <v>144</v>
      </c>
      <c r="B30" t="s">
        <v>30</v>
      </c>
      <c r="C30" s="9" t="s">
        <v>145</v>
      </c>
      <c r="E30" s="8" t="s">
        <v>146</v>
      </c>
      <c r="G30" t="s">
        <v>141</v>
      </c>
    </row>
    <row r="31" spans="1:10" x14ac:dyDescent="0.2">
      <c r="A31" t="s">
        <v>144</v>
      </c>
      <c r="B31" t="s">
        <v>31</v>
      </c>
      <c r="C31" s="9" t="s">
        <v>145</v>
      </c>
      <c r="E31" s="8" t="s">
        <v>146</v>
      </c>
      <c r="G31" t="s">
        <v>141</v>
      </c>
    </row>
    <row r="32" spans="1:10" x14ac:dyDescent="0.2">
      <c r="A32" t="s">
        <v>76</v>
      </c>
      <c r="B32" t="s">
        <v>139</v>
      </c>
      <c r="C32" s="9" t="s">
        <v>145</v>
      </c>
      <c r="E32" s="8" t="s">
        <v>146</v>
      </c>
      <c r="G32" t="s">
        <v>141</v>
      </c>
    </row>
    <row r="33" spans="1:7" x14ac:dyDescent="0.2">
      <c r="A33" t="s">
        <v>76</v>
      </c>
      <c r="B33" t="s">
        <v>27</v>
      </c>
      <c r="C33" s="9" t="s">
        <v>145</v>
      </c>
      <c r="E33" s="8" t="s">
        <v>146</v>
      </c>
      <c r="G33" t="s">
        <v>141</v>
      </c>
    </row>
    <row r="34" spans="1:7" x14ac:dyDescent="0.2">
      <c r="A34" t="s">
        <v>76</v>
      </c>
      <c r="B34" t="s">
        <v>28</v>
      </c>
      <c r="C34" s="9" t="s">
        <v>145</v>
      </c>
      <c r="E34" s="8" t="s">
        <v>146</v>
      </c>
      <c r="G34" t="s">
        <v>141</v>
      </c>
    </row>
    <row r="35" spans="1:7" x14ac:dyDescent="0.2">
      <c r="A35" t="s">
        <v>76</v>
      </c>
      <c r="B35" t="s">
        <v>29</v>
      </c>
      <c r="C35" s="9" t="s">
        <v>145</v>
      </c>
      <c r="E35" s="8" t="s">
        <v>146</v>
      </c>
      <c r="G35" t="s">
        <v>141</v>
      </c>
    </row>
    <row r="36" spans="1:7" x14ac:dyDescent="0.2">
      <c r="A36" t="s">
        <v>76</v>
      </c>
      <c r="B36" t="s">
        <v>30</v>
      </c>
      <c r="C36" s="9" t="s">
        <v>145</v>
      </c>
      <c r="E36" s="8" t="s">
        <v>146</v>
      </c>
      <c r="G36" t="s">
        <v>141</v>
      </c>
    </row>
    <row r="37" spans="1:7" x14ac:dyDescent="0.2">
      <c r="A37" t="s">
        <v>76</v>
      </c>
      <c r="B37" t="s">
        <v>31</v>
      </c>
      <c r="C37" s="9" t="s">
        <v>145</v>
      </c>
      <c r="E37" s="8" t="s">
        <v>146</v>
      </c>
      <c r="G37" t="s">
        <v>141</v>
      </c>
    </row>
    <row r="38" spans="1:7" x14ac:dyDescent="0.2">
      <c r="A38" t="s">
        <v>13</v>
      </c>
      <c r="B38" t="s">
        <v>139</v>
      </c>
      <c r="C38" s="9" t="s">
        <v>148</v>
      </c>
      <c r="G38" s="9" t="s">
        <v>149</v>
      </c>
    </row>
    <row r="39" spans="1:7" x14ac:dyDescent="0.2">
      <c r="A39" t="s">
        <v>13</v>
      </c>
      <c r="B39" t="s">
        <v>27</v>
      </c>
      <c r="C39" s="9" t="s">
        <v>148</v>
      </c>
      <c r="G39" s="6" t="s">
        <v>150</v>
      </c>
    </row>
    <row r="40" spans="1:7" x14ac:dyDescent="0.2">
      <c r="A40" t="s">
        <v>13</v>
      </c>
      <c r="B40" t="s">
        <v>28</v>
      </c>
      <c r="C40" s="9" t="s">
        <v>148</v>
      </c>
      <c r="G40" s="6" t="s">
        <v>150</v>
      </c>
    </row>
    <row r="41" spans="1:7" x14ac:dyDescent="0.2">
      <c r="A41" t="s">
        <v>13</v>
      </c>
      <c r="B41" t="s">
        <v>29</v>
      </c>
      <c r="C41" s="9" t="s">
        <v>148</v>
      </c>
      <c r="G41" s="6" t="s">
        <v>150</v>
      </c>
    </row>
    <row r="42" spans="1:7" x14ac:dyDescent="0.2">
      <c r="A42" t="s">
        <v>13</v>
      </c>
      <c r="B42" t="s">
        <v>30</v>
      </c>
      <c r="C42" s="9" t="s">
        <v>148</v>
      </c>
      <c r="G42" s="6" t="s">
        <v>150</v>
      </c>
    </row>
    <row r="43" spans="1:7" x14ac:dyDescent="0.2">
      <c r="A43" t="s">
        <v>13</v>
      </c>
      <c r="B43" t="s">
        <v>31</v>
      </c>
      <c r="C43" s="9" t="s">
        <v>148</v>
      </c>
      <c r="G43" s="6" t="s">
        <v>150</v>
      </c>
    </row>
    <row r="44" spans="1:7" x14ac:dyDescent="0.2">
      <c r="A44" t="s">
        <v>144</v>
      </c>
      <c r="B44" t="s">
        <v>139</v>
      </c>
      <c r="C44" s="9" t="s">
        <v>148</v>
      </c>
      <c r="G44" s="9" t="s">
        <v>151</v>
      </c>
    </row>
    <row r="45" spans="1:7" ht="16" x14ac:dyDescent="0.2">
      <c r="A45" t="s">
        <v>144</v>
      </c>
      <c r="B45" t="s">
        <v>27</v>
      </c>
      <c r="C45" s="9" t="s">
        <v>148</v>
      </c>
      <c r="G45" s="14" t="s">
        <v>152</v>
      </c>
    </row>
    <row r="46" spans="1:7" ht="16" x14ac:dyDescent="0.2">
      <c r="A46" t="s">
        <v>144</v>
      </c>
      <c r="B46" t="s">
        <v>28</v>
      </c>
      <c r="C46" s="9" t="s">
        <v>148</v>
      </c>
      <c r="G46" s="14" t="s">
        <v>153</v>
      </c>
    </row>
    <row r="47" spans="1:7" ht="16" x14ac:dyDescent="0.2">
      <c r="A47" t="s">
        <v>144</v>
      </c>
      <c r="B47" t="s">
        <v>29</v>
      </c>
      <c r="C47" s="9" t="s">
        <v>148</v>
      </c>
      <c r="G47" s="14" t="s">
        <v>153</v>
      </c>
    </row>
    <row r="48" spans="1:7" ht="16" x14ac:dyDescent="0.2">
      <c r="A48" t="s">
        <v>144</v>
      </c>
      <c r="B48" t="s">
        <v>30</v>
      </c>
      <c r="C48" s="9" t="s">
        <v>148</v>
      </c>
      <c r="G48" s="14" t="s">
        <v>153</v>
      </c>
    </row>
    <row r="49" spans="1:10" ht="16" x14ac:dyDescent="0.2">
      <c r="A49" t="s">
        <v>144</v>
      </c>
      <c r="B49" t="s">
        <v>31</v>
      </c>
      <c r="C49" s="9" t="s">
        <v>148</v>
      </c>
      <c r="G49" s="14" t="s">
        <v>152</v>
      </c>
    </row>
    <row r="50" spans="1:10" x14ac:dyDescent="0.2">
      <c r="A50" t="s">
        <v>76</v>
      </c>
      <c r="B50" t="s">
        <v>139</v>
      </c>
      <c r="C50" s="9" t="s">
        <v>148</v>
      </c>
      <c r="G50" s="9" t="s">
        <v>154</v>
      </c>
    </row>
    <row r="51" spans="1:10" x14ac:dyDescent="0.2">
      <c r="A51" t="s">
        <v>76</v>
      </c>
      <c r="B51" t="s">
        <v>27</v>
      </c>
      <c r="C51" s="9" t="s">
        <v>148</v>
      </c>
      <c r="G51" t="s">
        <v>141</v>
      </c>
    </row>
    <row r="52" spans="1:10" x14ac:dyDescent="0.2">
      <c r="A52" t="s">
        <v>76</v>
      </c>
      <c r="B52" t="s">
        <v>28</v>
      </c>
      <c r="C52" s="9" t="s">
        <v>148</v>
      </c>
      <c r="G52" t="s">
        <v>141</v>
      </c>
    </row>
    <row r="53" spans="1:10" x14ac:dyDescent="0.2">
      <c r="A53" t="s">
        <v>76</v>
      </c>
      <c r="B53" t="s">
        <v>29</v>
      </c>
      <c r="C53" s="9" t="s">
        <v>148</v>
      </c>
      <c r="G53" t="s">
        <v>141</v>
      </c>
    </row>
    <row r="54" spans="1:10" x14ac:dyDescent="0.2">
      <c r="A54" t="s">
        <v>76</v>
      </c>
      <c r="B54" t="s">
        <v>30</v>
      </c>
      <c r="C54" s="9" t="s">
        <v>148</v>
      </c>
      <c r="G54" t="s">
        <v>141</v>
      </c>
    </row>
    <row r="55" spans="1:10" x14ac:dyDescent="0.2">
      <c r="A55" t="s">
        <v>76</v>
      </c>
      <c r="B55" t="s">
        <v>31</v>
      </c>
      <c r="C55" s="9" t="s">
        <v>148</v>
      </c>
      <c r="G55" t="s">
        <v>141</v>
      </c>
    </row>
    <row r="56" spans="1:10" x14ac:dyDescent="0.2">
      <c r="A56" t="s">
        <v>13</v>
      </c>
      <c r="B56" t="s">
        <v>139</v>
      </c>
      <c r="C56" t="s">
        <v>155</v>
      </c>
      <c r="G56" t="s">
        <v>120</v>
      </c>
    </row>
    <row r="57" spans="1:10" ht="43.5" customHeight="1" x14ac:dyDescent="0.2">
      <c r="A57" t="s">
        <v>13</v>
      </c>
      <c r="B57" t="s">
        <v>27</v>
      </c>
      <c r="C57" t="s">
        <v>155</v>
      </c>
      <c r="J57" s="13" t="s">
        <v>156</v>
      </c>
    </row>
    <row r="58" spans="1:10" ht="16" customHeight="1" x14ac:dyDescent="0.2">
      <c r="A58" t="s">
        <v>13</v>
      </c>
      <c r="B58" t="s">
        <v>28</v>
      </c>
      <c r="C58" t="s">
        <v>155</v>
      </c>
      <c r="J58" s="12" t="s">
        <v>157</v>
      </c>
    </row>
    <row r="59" spans="1:10" ht="16" customHeight="1" x14ac:dyDescent="0.2">
      <c r="A59" t="s">
        <v>13</v>
      </c>
      <c r="B59" t="s">
        <v>29</v>
      </c>
      <c r="C59" t="s">
        <v>155</v>
      </c>
      <c r="J59" s="12"/>
    </row>
    <row r="60" spans="1:10" x14ac:dyDescent="0.2">
      <c r="A60" t="s">
        <v>13</v>
      </c>
      <c r="B60" t="s">
        <v>30</v>
      </c>
      <c r="C60" t="s">
        <v>155</v>
      </c>
    </row>
    <row r="61" spans="1:10" x14ac:dyDescent="0.2">
      <c r="A61" t="s">
        <v>13</v>
      </c>
      <c r="B61" t="s">
        <v>31</v>
      </c>
      <c r="C61" t="s">
        <v>155</v>
      </c>
    </row>
    <row r="62" spans="1:10" x14ac:dyDescent="0.2">
      <c r="A62" t="s">
        <v>144</v>
      </c>
      <c r="B62" t="s">
        <v>139</v>
      </c>
      <c r="C62" t="s">
        <v>155</v>
      </c>
      <c r="G62" t="s">
        <v>120</v>
      </c>
    </row>
    <row r="63" spans="1:10" x14ac:dyDescent="0.2">
      <c r="A63" t="s">
        <v>144</v>
      </c>
      <c r="B63" t="s">
        <v>27</v>
      </c>
      <c r="C63" t="s">
        <v>155</v>
      </c>
    </row>
    <row r="64" spans="1:10" x14ac:dyDescent="0.2">
      <c r="A64" t="s">
        <v>144</v>
      </c>
      <c r="B64" t="s">
        <v>28</v>
      </c>
      <c r="C64" t="s">
        <v>155</v>
      </c>
    </row>
    <row r="65" spans="1:10" x14ac:dyDescent="0.2">
      <c r="A65" t="s">
        <v>144</v>
      </c>
      <c r="B65" t="s">
        <v>29</v>
      </c>
      <c r="C65" t="s">
        <v>155</v>
      </c>
    </row>
    <row r="66" spans="1:10" x14ac:dyDescent="0.2">
      <c r="A66" t="s">
        <v>144</v>
      </c>
      <c r="B66" t="s">
        <v>30</v>
      </c>
      <c r="C66" t="s">
        <v>155</v>
      </c>
    </row>
    <row r="67" spans="1:10" x14ac:dyDescent="0.2">
      <c r="A67" t="s">
        <v>144</v>
      </c>
      <c r="B67" t="s">
        <v>31</v>
      </c>
      <c r="C67" t="s">
        <v>155</v>
      </c>
    </row>
    <row r="68" spans="1:10" x14ac:dyDescent="0.2">
      <c r="A68" t="s">
        <v>76</v>
      </c>
      <c r="B68" t="s">
        <v>139</v>
      </c>
      <c r="C68" t="s">
        <v>155</v>
      </c>
      <c r="G68" s="15" t="s">
        <v>120</v>
      </c>
    </row>
    <row r="69" spans="1:10" x14ac:dyDescent="0.2">
      <c r="A69" t="s">
        <v>76</v>
      </c>
      <c r="B69" t="s">
        <v>27</v>
      </c>
      <c r="C69" t="s">
        <v>155</v>
      </c>
    </row>
    <row r="70" spans="1:10" x14ac:dyDescent="0.2">
      <c r="A70" t="s">
        <v>76</v>
      </c>
      <c r="B70" t="s">
        <v>28</v>
      </c>
      <c r="C70" t="s">
        <v>155</v>
      </c>
    </row>
    <row r="71" spans="1:10" x14ac:dyDescent="0.2">
      <c r="A71" t="s">
        <v>76</v>
      </c>
      <c r="B71" t="s">
        <v>29</v>
      </c>
      <c r="C71" t="s">
        <v>155</v>
      </c>
    </row>
    <row r="72" spans="1:10" x14ac:dyDescent="0.2">
      <c r="A72" t="s">
        <v>76</v>
      </c>
      <c r="B72" t="s">
        <v>30</v>
      </c>
      <c r="C72" t="s">
        <v>155</v>
      </c>
    </row>
    <row r="73" spans="1:10" x14ac:dyDescent="0.2">
      <c r="A73" t="s">
        <v>76</v>
      </c>
      <c r="B73" t="s">
        <v>31</v>
      </c>
      <c r="C73" t="s">
        <v>155</v>
      </c>
    </row>
    <row r="74" spans="1:10" ht="29.5" customHeight="1" x14ac:dyDescent="0.2">
      <c r="A74" t="s">
        <v>13</v>
      </c>
      <c r="B74" t="s">
        <v>139</v>
      </c>
      <c r="C74" t="s">
        <v>158</v>
      </c>
      <c r="D74" t="s">
        <v>159</v>
      </c>
      <c r="G74" s="12" t="s">
        <v>160</v>
      </c>
      <c r="J74" s="14" t="s">
        <v>161</v>
      </c>
    </row>
    <row r="75" spans="1:10" x14ac:dyDescent="0.2">
      <c r="A75" t="s">
        <v>144</v>
      </c>
      <c r="B75" t="s">
        <v>139</v>
      </c>
      <c r="C75" t="s">
        <v>158</v>
      </c>
      <c r="D75" t="s">
        <v>159</v>
      </c>
      <c r="J75" t="s">
        <v>162</v>
      </c>
    </row>
    <row r="76" spans="1:10" x14ac:dyDescent="0.2">
      <c r="A76" t="s">
        <v>76</v>
      </c>
      <c r="B76" t="s">
        <v>139</v>
      </c>
      <c r="C76" t="s">
        <v>158</v>
      </c>
      <c r="D76" t="s">
        <v>159</v>
      </c>
    </row>
  </sheetData>
  <dataValidations count="3">
    <dataValidation allowBlank="1" showInputMessage="1" showErrorMessage="1" sqref="A1" xr:uid="{00000000-0002-0000-0500-000000000000}"/>
    <dataValidation type="list" allowBlank="1" showInputMessage="1" showErrorMessage="1" sqref="A2:A1048576" xr:uid="{00000000-0002-0000-0500-000001000000}">
      <formula1>"Nigeria,Ethiopia,India"</formula1>
    </dataValidation>
    <dataValidation type="list" allowBlank="1" showInputMessage="1" showErrorMessage="1" sqref="B1:B1048576" xr:uid="{00000000-0002-0000-0500-000002000000}">
      <formula1>"All (assumed same),Total,Lowest,Second,Middle,Fourth,Highest"</formula1>
    </dataValidation>
  </dataValidations>
  <hyperlinks>
    <hyperlink ref="G39" r:id="rId1" xr:uid="{00000000-0004-0000-0500-000000000000}"/>
    <hyperlink ref="G40" r:id="rId2" xr:uid="{00000000-0004-0000-0500-000001000000}"/>
    <hyperlink ref="G41" r:id="rId3" xr:uid="{00000000-0004-0000-0500-000002000000}"/>
    <hyperlink ref="G42" r:id="rId4" xr:uid="{00000000-0004-0000-0500-000003000000}"/>
    <hyperlink ref="G43" r:id="rId5" xr:uid="{00000000-0004-0000-0500-000004000000}"/>
    <hyperlink ref="G45" r:id="rId6" display="Nigeria DHS survey report " xr:uid="{00000000-0004-0000-0500-000005000000}"/>
    <hyperlink ref="G46" r:id="rId7" display="Nigeria DHS survey report " xr:uid="{00000000-0004-0000-0500-000006000000}"/>
    <hyperlink ref="G47" r:id="rId8" display="Nigeria DHS survey report " xr:uid="{00000000-0004-0000-0500-000007000000}"/>
    <hyperlink ref="G48" r:id="rId9" display="Nigeria DHS survey report " xr:uid="{00000000-0004-0000-0500-000008000000}"/>
    <hyperlink ref="G49" r:id="rId10" display="Nigeria DHS survey report " xr:uid="{00000000-0004-0000-0500-000009000000}"/>
    <hyperlink ref="J74" r:id="rId11" display="There is also some data on stillbirth-to-livebirth ratio among NTDs in the literature, see Blencowe et al 2018. " xr:uid="{00000000-0004-0000-0500-00000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52.5" bestFit="1" customWidth="1"/>
    <col min="2" max="2" width="12.5" bestFit="1" customWidth="1"/>
    <col min="3" max="3" width="9.6640625" bestFit="1" customWidth="1"/>
    <col min="5" max="5" width="29" customWidth="1"/>
  </cols>
  <sheetData>
    <row r="1" spans="1:5" ht="16" x14ac:dyDescent="0.2">
      <c r="A1" s="3" t="s">
        <v>1</v>
      </c>
      <c r="B1" s="28" t="s">
        <v>14</v>
      </c>
      <c r="C1" s="28" t="s">
        <v>43</v>
      </c>
      <c r="D1" s="29" t="s">
        <v>77</v>
      </c>
      <c r="E1" s="1" t="s">
        <v>12</v>
      </c>
    </row>
    <row r="2" spans="1:5" x14ac:dyDescent="0.2">
      <c r="A2" s="1" t="s">
        <v>4</v>
      </c>
      <c r="B2" s="1"/>
      <c r="C2" s="1"/>
    </row>
    <row r="3" spans="1:5" x14ac:dyDescent="0.2">
      <c r="A3" s="4" t="s">
        <v>163</v>
      </c>
      <c r="B3" t="s">
        <v>102</v>
      </c>
      <c r="C3" t="str">
        <f>IF(COUNTIFS('Vehicle Extraction'!$A$2:$A$904, C$1,  'Vehicle Extraction'!$B$2:$B$904, $A3) = 0, "Missing", "Complete")</f>
        <v>Complete</v>
      </c>
      <c r="D3" t="str">
        <f>IF(COUNTIFS('Vehicle Extraction'!$A$2:$A$904, D$1,  'Vehicle Extraction'!$B$2:$B$904, $A3) = 0, "Missing", "Complete")</f>
        <v>Complete</v>
      </c>
    </row>
    <row r="4" spans="1:5" x14ac:dyDescent="0.2">
      <c r="A4" s="26" t="s">
        <v>164</v>
      </c>
      <c r="B4" t="s">
        <v>102</v>
      </c>
      <c r="C4" t="str">
        <f>IF(COUNTIFS('Vehicle Extraction'!$A$2:$A$904, C$1,  'Vehicle Extraction'!$B$2:$B$904, $A4) = 0, "Missing", "Complete")</f>
        <v>Complete</v>
      </c>
      <c r="D4" t="str">
        <f>IF(COUNTIFS('Vehicle Extraction'!$A$2:$A$904, D$1,  'Vehicle Extraction'!$B$2:$B$904, $A4) = 0, "Missing", "Complete")</f>
        <v>Complete</v>
      </c>
    </row>
  </sheetData>
  <conditionalFormatting sqref="B3:D4">
    <cfRule type="cellIs" dxfId="1" priority="2" operator="equal">
      <formula>"Missing"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8" bestFit="1" customWidth="1"/>
    <col min="2" max="2" width="46.5" bestFit="1" customWidth="1"/>
    <col min="3" max="3" width="19" customWidth="1"/>
    <col min="4" max="4" width="18.33203125" customWidth="1"/>
    <col min="6" max="6" width="34.1640625" customWidth="1"/>
    <col min="8" max="8" width="13.1640625" bestFit="1" customWidth="1"/>
    <col min="9" max="9" width="50.5" customWidth="1"/>
  </cols>
  <sheetData>
    <row r="1" spans="1:9" x14ac:dyDescent="0.2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</row>
    <row r="2" spans="1:9" ht="115.5" customHeight="1" x14ac:dyDescent="0.2">
      <c r="A2" t="s">
        <v>77</v>
      </c>
      <c r="B2" t="s">
        <v>163</v>
      </c>
      <c r="C2" t="s">
        <v>165</v>
      </c>
      <c r="D2" t="s">
        <v>166</v>
      </c>
      <c r="E2" t="s">
        <v>167</v>
      </c>
      <c r="F2" s="5" t="s">
        <v>168</v>
      </c>
      <c r="G2" s="26">
        <v>3.25</v>
      </c>
      <c r="H2" s="26" t="s">
        <v>169</v>
      </c>
      <c r="I2" s="5" t="s">
        <v>170</v>
      </c>
    </row>
    <row r="3" spans="1:9" x14ac:dyDescent="0.2">
      <c r="A3" t="s">
        <v>14</v>
      </c>
      <c r="B3" t="s">
        <v>163</v>
      </c>
      <c r="C3" t="s">
        <v>165</v>
      </c>
      <c r="D3" t="s">
        <v>166</v>
      </c>
      <c r="E3">
        <v>2021</v>
      </c>
      <c r="F3" t="s">
        <v>171</v>
      </c>
      <c r="G3">
        <v>4.4000000000000004</v>
      </c>
      <c r="H3" t="s">
        <v>172</v>
      </c>
      <c r="I3" s="6" t="s">
        <v>173</v>
      </c>
    </row>
    <row r="4" spans="1:9" ht="57.75" customHeight="1" x14ac:dyDescent="0.2">
      <c r="A4" t="s">
        <v>43</v>
      </c>
      <c r="B4" t="s">
        <v>163</v>
      </c>
      <c r="C4" t="s">
        <v>165</v>
      </c>
      <c r="D4" t="s">
        <v>166</v>
      </c>
      <c r="E4">
        <v>2012</v>
      </c>
      <c r="F4" s="5" t="s">
        <v>174</v>
      </c>
      <c r="G4">
        <v>4.2</v>
      </c>
      <c r="H4" t="s">
        <v>175</v>
      </c>
      <c r="I4" s="6" t="s">
        <v>176</v>
      </c>
    </row>
    <row r="5" spans="1:9" ht="43.5" customHeight="1" x14ac:dyDescent="0.2">
      <c r="A5" t="s">
        <v>77</v>
      </c>
      <c r="B5" t="s">
        <v>164</v>
      </c>
      <c r="C5" t="s">
        <v>165</v>
      </c>
      <c r="D5" t="s">
        <v>177</v>
      </c>
      <c r="E5">
        <v>2013</v>
      </c>
      <c r="F5" s="5" t="s">
        <v>178</v>
      </c>
      <c r="G5">
        <v>1.67</v>
      </c>
      <c r="H5" t="s">
        <v>179</v>
      </c>
      <c r="I5" s="6" t="s">
        <v>180</v>
      </c>
    </row>
    <row r="6" spans="1:9" x14ac:dyDescent="0.2">
      <c r="A6" t="s">
        <v>43</v>
      </c>
      <c r="B6" t="s">
        <v>164</v>
      </c>
      <c r="C6" t="s">
        <v>165</v>
      </c>
      <c r="D6" t="s">
        <v>177</v>
      </c>
      <c r="E6">
        <v>2013</v>
      </c>
      <c r="F6" t="s">
        <v>178</v>
      </c>
      <c r="G6">
        <v>1.67</v>
      </c>
      <c r="H6" t="s">
        <v>179</v>
      </c>
      <c r="I6" s="6" t="s">
        <v>180</v>
      </c>
    </row>
    <row r="7" spans="1:9" ht="115.5" customHeight="1" x14ac:dyDescent="0.2">
      <c r="A7" t="inlineStr">
        <is>
          <t>Wheat</t>
        </is>
      </c>
      <c r="B7" t="inlineStr">
        <is>
          <t>Iron fortification/consumption effect on hemoglobin</t>
        </is>
      </c>
      <c r="C7" t="inlineStr">
        <is>
          <t>Mean difference</t>
        </is>
      </c>
      <c r="D7" t="inlineStr">
        <is>
          <t>g/L</t>
        </is>
      </c>
      <c s="5" r="F7" t="inlineStr">
        <is>
          <t>DUMMY (MIC-7549)</t>
        </is>
      </c>
      <c s="26" r="G7" t="n">
        <v>3.25</v>
      </c>
      <c s="5" r="I7" t="inlineStr">
        <is>
          <t>DUMMY PLACEHOLDER (MIC-7549): value copied from the corresponding Rice row. Replace with real wheat data.</t>
        </is>
      </c>
    </row>
    <row r="8" spans="1:9" ht="43.5" customHeight="1" x14ac:dyDescent="0.2">
      <c r="A8" t="inlineStr">
        <is>
          <t>Wheat</t>
        </is>
      </c>
      <c r="B8" t="inlineStr">
        <is>
          <t>Iron fortification/consumption effect on birthweight</t>
        </is>
      </c>
      <c r="C8" t="inlineStr">
        <is>
          <t>Mean difference</t>
        </is>
      </c>
      <c r="D8" t="inlineStr">
        <is>
          <t>g/(mg/person-day)</t>
        </is>
      </c>
      <c s="5" r="F8" t="inlineStr">
        <is>
          <t>DUMMY (MIC-7549)</t>
        </is>
      </c>
      <c r="G8" t="n">
        <v>1.67</v>
      </c>
      <c s="6" r="I8" t="inlineStr">
        <is>
          <t>DUMMY PLACEHOLDER (MIC-7549): value copied from the corresponding Rice row. Replace with real wheat data.</t>
        </is>
      </c>
    </row>
    <row r="9" spans="1:9" ht="43.5" customHeight="1" x14ac:dyDescent="0.2">
      <c r="A9" t="inlineStr">
        <is>
          <t>Salt</t>
        </is>
      </c>
      <c r="B9" t="inlineStr">
        <is>
          <t>Iron fortification/consumption effect on birthweight</t>
        </is>
      </c>
      <c r="C9" t="inlineStr">
        <is>
          <t>Mean difference</t>
        </is>
      </c>
      <c r="D9" t="inlineStr">
        <is>
          <t>g/(mg/person-day)</t>
        </is>
      </c>
      <c r="F9" s="5" t="inlineStr">
        <is>
          <t>DUMMY (MIC-7580)</t>
        </is>
      </c>
      <c r="G9" t="n">
        <v>1.67</v>
      </c>
      <c r="I9" s="6" t="inlineStr">
        <is>
          <t>DUMMY PLACEHOLDER (MIC-7580): copied from the wheat row; every vehicle uses 1.67. Confirm for salt.</t>
        </is>
      </c>
    </row>
  </sheetData>
  <hyperlinks>
    <hyperlink ref="I3" r:id="rId1" xr:uid="{00000000-0004-0000-0700-000000000000}"/>
    <hyperlink ref="I4" r:id="rId2" xr:uid="{00000000-0004-0000-0700-000001000000}"/>
    <hyperlink ref="I5" r:id="rId3" xr:uid="{00000000-0004-0000-0700-000002000000}"/>
    <hyperlink ref="I6" r:id="rId4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56.5" bestFit="1" customWidth="1"/>
    <col min="2" max="2" width="32.33203125" bestFit="1" customWidth="1"/>
    <col min="4" max="4" width="12.5" bestFit="1" customWidth="1"/>
    <col min="5" max="5" width="150" bestFit="1" customWidth="1"/>
    <col min="6" max="6" width="36.5" bestFit="1" customWidth="1"/>
  </cols>
  <sheetData>
    <row r="1" spans="1:9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2" t="s">
        <v>12</v>
      </c>
      <c r="I1" s="23"/>
    </row>
    <row r="2" spans="1:9" x14ac:dyDescent="0.2">
      <c r="A2" s="26" t="s">
        <v>181</v>
      </c>
      <c r="B2" s="26"/>
      <c r="C2" s="26"/>
      <c r="D2" s="26"/>
      <c r="E2" s="26"/>
      <c r="F2" s="26"/>
      <c r="G2" s="26"/>
      <c r="H2" s="23"/>
      <c r="I2" s="23"/>
    </row>
    <row r="3" spans="1:9" x14ac:dyDescent="0.2">
      <c r="A3" s="26" t="s">
        <v>182</v>
      </c>
      <c r="B3" s="26" t="s">
        <v>183</v>
      </c>
      <c r="C3" s="26" t="s">
        <v>184</v>
      </c>
      <c r="D3" s="26">
        <v>2018</v>
      </c>
      <c r="E3" s="26" t="s">
        <v>185</v>
      </c>
      <c r="F3" s="26">
        <v>4.3</v>
      </c>
      <c r="G3" s="26" t="s">
        <v>186</v>
      </c>
      <c r="H3" s="24" t="s">
        <v>187</v>
      </c>
      <c r="I3" s="23"/>
    </row>
    <row r="4" spans="1:9" x14ac:dyDescent="0.2">
      <c r="A4" s="26" t="s">
        <v>188</v>
      </c>
      <c r="B4" s="26" t="s">
        <v>189</v>
      </c>
      <c r="C4" s="26" t="s">
        <v>190</v>
      </c>
      <c r="D4" s="26">
        <v>2015</v>
      </c>
      <c r="E4" s="25" t="s">
        <v>191</v>
      </c>
      <c r="F4" s="26">
        <v>6</v>
      </c>
      <c r="G4" s="27" t="s">
        <v>192</v>
      </c>
      <c r="H4" s="23"/>
      <c r="I4" s="23"/>
    </row>
    <row r="5" spans="1:9" x14ac:dyDescent="0.2">
      <c r="A5" s="26" t="s">
        <v>193</v>
      </c>
      <c r="B5" s="26"/>
      <c r="C5" s="26"/>
      <c r="D5" s="26"/>
      <c r="E5" s="26"/>
      <c r="F5" s="26"/>
      <c r="G5" s="26"/>
      <c r="H5" s="23"/>
      <c r="I5" s="23"/>
    </row>
    <row r="6" spans="1:9" x14ac:dyDescent="0.2">
      <c r="A6" s="26" t="s">
        <v>194</v>
      </c>
      <c r="B6" s="26" t="s">
        <v>195</v>
      </c>
      <c r="C6" s="26"/>
      <c r="D6" s="26"/>
      <c r="E6" s="26" t="s">
        <v>196</v>
      </c>
      <c r="F6" s="26" t="s">
        <v>197</v>
      </c>
      <c r="G6" s="26"/>
      <c r="H6" s="23"/>
      <c r="I6" s="23"/>
    </row>
    <row r="7" spans="1:9" ht="29.25" customHeight="1" x14ac:dyDescent="0.2">
      <c r="A7" s="26" t="s">
        <v>194</v>
      </c>
      <c r="B7" s="26" t="s">
        <v>195</v>
      </c>
      <c r="C7" s="26"/>
      <c r="D7" s="26"/>
      <c r="E7" s="26" t="s">
        <v>198</v>
      </c>
      <c r="F7" s="31" t="s">
        <v>199</v>
      </c>
      <c r="G7" s="26"/>
      <c r="H7" s="23"/>
      <c r="I7" s="23"/>
    </row>
    <row r="8" spans="1:9" x14ac:dyDescent="0.2">
      <c r="A8" s="26" t="s">
        <v>200</v>
      </c>
      <c r="B8" s="26" t="s">
        <v>159</v>
      </c>
      <c r="C8" s="26"/>
      <c r="D8" s="26"/>
      <c r="E8" s="26" t="s">
        <v>201</v>
      </c>
      <c r="F8" s="26" t="s">
        <v>202</v>
      </c>
      <c r="G8" s="26"/>
      <c r="H8" s="23" t="s">
        <v>203</v>
      </c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</sheetData>
  <hyperlinks>
    <hyperlink ref="H3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selection activeCell="G7" sqref="G7:G8"/>
    </sheetView>
  </sheetViews>
  <sheetFormatPr baseColWidth="10" defaultColWidth="8.83203125" defaultRowHeight="15" x14ac:dyDescent="0.2"/>
  <cols>
    <col min="1" max="1" width="52.5" bestFit="1" customWidth="1"/>
    <col min="2" max="2" width="21" bestFit="1" customWidth="1"/>
    <col min="3" max="3" width="22.33203125" bestFit="1" customWidth="1"/>
    <col min="4" max="5" width="11.5" bestFit="1" customWidth="1"/>
    <col min="6" max="7" width="11.5" customWidth="1"/>
    <col min="8" max="9" width="11.5" bestFit="1" customWidth="1"/>
  </cols>
  <sheetData>
    <row r="1" spans="1:10" ht="15" customHeight="1" x14ac:dyDescent="0.2">
      <c r="A1" s="3" t="s">
        <v>0</v>
      </c>
      <c r="B1" s="44" t="s">
        <v>13</v>
      </c>
      <c r="C1" s="42"/>
      <c r="D1" s="42"/>
      <c r="E1" s="45" t="s">
        <v>42</v>
      </c>
      <c r="F1" s="42"/>
      <c r="G1" s="42"/>
      <c r="H1" s="42"/>
      <c r="I1" s="45" t="s">
        <v>76</v>
      </c>
      <c r="J1" s="42"/>
    </row>
    <row r="2" spans="1:10" ht="15" customHeight="1" x14ac:dyDescent="0.2">
      <c r="A2" s="3" t="s">
        <v>1</v>
      </c>
      <c r="B2" s="44" t="s">
        <v>14</v>
      </c>
      <c r="C2" s="42"/>
      <c r="D2" s="42"/>
      <c r="E2" s="45" t="s">
        <v>43</v>
      </c>
      <c r="F2" s="42"/>
      <c r="G2" s="45" t="s">
        <v>77</v>
      </c>
      <c r="H2" s="42"/>
      <c r="I2" s="45" t="s">
        <v>77</v>
      </c>
      <c r="J2" s="42"/>
    </row>
    <row r="3" spans="1:10" ht="15" customHeight="1" x14ac:dyDescent="0.2">
      <c r="A3" s="3" t="s">
        <v>97</v>
      </c>
      <c r="B3" s="44" t="s">
        <v>98</v>
      </c>
      <c r="C3" s="42"/>
      <c r="D3" s="42"/>
      <c r="E3" s="32" t="s">
        <v>98</v>
      </c>
      <c r="F3" s="32" t="s">
        <v>99</v>
      </c>
      <c r="G3" s="32" t="s">
        <v>98</v>
      </c>
      <c r="H3" s="32" t="s">
        <v>99</v>
      </c>
      <c r="I3" s="32" t="s">
        <v>98</v>
      </c>
      <c r="J3" s="33" t="s">
        <v>99</v>
      </c>
    </row>
    <row r="4" spans="1:10" ht="15" customHeight="1" x14ac:dyDescent="0.2">
      <c r="A4" s="34" t="s">
        <v>204</v>
      </c>
      <c r="B4" s="35" t="s">
        <v>205</v>
      </c>
      <c r="C4" s="35" t="s">
        <v>206</v>
      </c>
      <c r="D4" s="36" t="s">
        <v>207</v>
      </c>
      <c r="E4" s="35" t="s">
        <v>208</v>
      </c>
      <c r="F4" s="35" t="s">
        <v>208</v>
      </c>
      <c r="G4" s="35" t="s">
        <v>208</v>
      </c>
      <c r="H4" s="35" t="s">
        <v>208</v>
      </c>
      <c r="I4" s="35" t="s">
        <v>208</v>
      </c>
      <c r="J4" s="4" t="s">
        <v>208</v>
      </c>
    </row>
    <row r="5" spans="1:10" ht="15" customHeight="1" x14ac:dyDescent="0.2">
      <c r="A5" s="1" t="s">
        <v>4</v>
      </c>
      <c r="B5" s="1"/>
      <c r="C5" s="1"/>
      <c r="E5" s="1"/>
      <c r="I5" s="1"/>
    </row>
    <row r="6" spans="1:10" ht="15" customHeight="1" x14ac:dyDescent="0.2">
      <c r="A6" t="s">
        <v>209</v>
      </c>
      <c r="B6" t="str">
        <f>IF(COUNTIFS('Scenario Definition Extraction'!$A$2:$A$1000, B$1,  'Scenario Definition Extraction'!$B$2:$B$1000, B$2,  'Scenario Definition Extraction'!$C$2:$C$1000, B$3, 'Scenario Definition Extraction'!$D$2:$D$1000, B$4, 'Scenario Definition Extraction'!$E$2:$E$1000, $A6) = 0, "Missing", "Complete")</f>
        <v>Complete</v>
      </c>
      <c r="C6" t="str">
        <f>IF(COUNTIFS('Scenario Definition Extraction'!$A$2:$A$1000, B$1,  'Scenario Definition Extraction'!$B$2:$B$1000, B$2,  'Scenario Definition Extraction'!$C$2:$C$1000, B$3, 'Scenario Definition Extraction'!$D$2:$D$1000, C$4, 'Scenario Definition Extraction'!$E$2:$E$1000, $A6) = 0, "Missing", "Complete")</f>
        <v>Complete</v>
      </c>
      <c r="D6" t="s">
        <v>210</v>
      </c>
      <c r="E6" t="str">
        <f>IF(COUNTIFS('Scenario Definition Extraction'!$A$2:$A$1000, E$1,  'Scenario Definition Extraction'!$B$2:$B$1000, E$2,  'Scenario Definition Extraction'!$C$2:$C$1000, E$3, 'Scenario Definition Extraction'!$D$2:$D$1000, E$4, 'Scenario Definition Extraction'!$E$2:$E$1000, $A6) = 0, "Missing", "Complete")</f>
        <v>Complete</v>
      </c>
      <c r="F6" t="str">
        <f>IF(COUNTIFS('Scenario Definition Extraction'!$A$2:$A$1000, E$1,  'Scenario Definition Extraction'!$B$2:$B$1000, E$2,  'Scenario Definition Extraction'!$C$2:$C$1000, F$3, 'Scenario Definition Extraction'!$D$2:$D$1000, F$4, 'Scenario Definition Extraction'!$E$2:$E$1000, $A6) = 0, "Missing", "Complete")</f>
        <v>Complete</v>
      </c>
      <c r="G6" t="str">
        <f>IF(COUNTIFS('Scenario Definition Extraction'!$A$2:$A$1000, E$1,  'Scenario Definition Extraction'!$B$2:$B$1000, G$2,  'Scenario Definition Extraction'!$C$2:$C$1000, G$3, 'Scenario Definition Extraction'!$D$2:$D$1000, G$4, 'Scenario Definition Extraction'!$E$2:$E$1000, $A6) = 0, "Missing", "Complete")</f>
        <v>Complete</v>
      </c>
      <c r="H6" t="str">
        <f>IF(COUNTIFS('Scenario Definition Extraction'!$A$2:$A$1000, E$1,  'Scenario Definition Extraction'!$B$2:$B$1000, G$2,  'Scenario Definition Extraction'!$C$2:$C$1000, H$3, 'Scenario Definition Extraction'!$D$2:$D$1000, H$4, 'Scenario Definition Extraction'!$E$2:$E$1000, $A6) = 0, "Missing", "Complete")</f>
        <v>Complete</v>
      </c>
      <c r="I6" t="str">
        <f>IF(COUNTIFS('Scenario Definition Extraction'!$A$2:$A$1000, I$1,  'Scenario Definition Extraction'!$B$2:$B$1000, I$2,  'Scenario Definition Extraction'!$C$2:$C$1000, I$3, 'Scenario Definition Extraction'!$D$2:$D$1000, I$4, 'Scenario Definition Extraction'!$E$2:$E$1000, $A6) = 0, "Missing", "Complete")</f>
        <v>Complete</v>
      </c>
      <c r="J6" t="str">
        <f>IF(COUNTIFS('Scenario Definition Extraction'!$A$2:$A$1000, I$1,  'Scenario Definition Extraction'!$B$2:$B$1000, I$2,  'Scenario Definition Extraction'!$C$2:$C$1000, J$3, 'Scenario Definition Extraction'!$D$2:$D$1000, J$4, 'Scenario Definition Extraction'!$E$2:$E$1000, $A6) = 0, "Missing", "Complete")</f>
        <v>Complete</v>
      </c>
    </row>
    <row r="7" spans="1:10" ht="15" customHeight="1" x14ac:dyDescent="0.2">
      <c r="A7" t="s">
        <v>211</v>
      </c>
      <c r="B7" t="str">
        <f>IF(COUNTIFS('Scenario Definition Extraction'!$A$2:$A$1000, B$1,  'Scenario Definition Extraction'!$B$2:$B$1000, B$2,  'Scenario Definition Extraction'!$C$2:$C$1000, B$3, 'Scenario Definition Extraction'!$D$2:$D$1000, B$4, 'Scenario Definition Extraction'!$E$2:$E$1000, $A7) = 0, "Missing", "Complete")</f>
        <v>Complete</v>
      </c>
      <c r="C7" t="str">
        <f>IF(COUNTIFS('Scenario Definition Extraction'!$A$2:$A$1000, B$1,  'Scenario Definition Extraction'!$B$2:$B$1000, B$2,  'Scenario Definition Extraction'!$C$2:$C$1000, B$3, 'Scenario Definition Extraction'!$D$2:$D$1000, C$4, 'Scenario Definition Extraction'!$E$2:$E$1000, $A7) = 0, "Missing", "Complete")</f>
        <v>Complete</v>
      </c>
      <c r="D7" t="s">
        <v>210</v>
      </c>
      <c r="E7" t="str">
        <f>IF(COUNTIFS('Scenario Definition Extraction'!$A$2:$A$1000, E$1,  'Scenario Definition Extraction'!$B$2:$B$1000, E$2,  'Scenario Definition Extraction'!$C$2:$C$1000, E$3, 'Scenario Definition Extraction'!$D$2:$D$1000, E$4, 'Scenario Definition Extraction'!$E$2:$E$1000, $A7) = 0, "Missing", "Complete")</f>
        <v>Complete</v>
      </c>
      <c r="F7" t="str">
        <f>IF(COUNTIFS('Scenario Definition Extraction'!$A$2:$A$1000, E$1,  'Scenario Definition Extraction'!$B$2:$B$1000, E$2,  'Scenario Definition Extraction'!$C$2:$C$1000, F$3, 'Scenario Definition Extraction'!$D$2:$D$1000, F$4, 'Scenario Definition Extraction'!$E$2:$E$1000, $A7) = 0, "Missing", "Complete")</f>
        <v>Complete</v>
      </c>
      <c r="G7" t="str">
        <f>IF(COUNTIFS('Scenario Definition Extraction'!$A$2:$A$1000, E$1,  'Scenario Definition Extraction'!$B$2:$B$1000, G$2,  'Scenario Definition Extraction'!$C$2:$C$1000, G$3, 'Scenario Definition Extraction'!$D$2:$D$1000, G$4, 'Scenario Definition Extraction'!$E$2:$E$1000, $A7) = 0, "Missing", "Complete")</f>
        <v>Complete</v>
      </c>
      <c r="H7" t="str">
        <f>IF(COUNTIFS('Scenario Definition Extraction'!$A$2:$A$1000, E$1,  'Scenario Definition Extraction'!$B$2:$B$1000, G$2,  'Scenario Definition Extraction'!$C$2:$C$1000, H$3, 'Scenario Definition Extraction'!$D$2:$D$1000, H$4, 'Scenario Definition Extraction'!$E$2:$E$1000, $A7) = 0, "Missing", "Complete")</f>
        <v>Complete</v>
      </c>
      <c r="I7" t="str">
        <f>IF(COUNTIFS('Scenario Definition Extraction'!$A$2:$A$1000, I$1,  'Scenario Definition Extraction'!$B$2:$B$1000, I$2,  'Scenario Definition Extraction'!$C$2:$C$1000, I$3, 'Scenario Definition Extraction'!$D$2:$D$1000, I$4, 'Scenario Definition Extraction'!$E$2:$E$1000, $A7) = 0, "Missing", "Complete")</f>
        <v>Complete</v>
      </c>
      <c r="J7" t="str">
        <f>IF(COUNTIFS('Scenario Definition Extraction'!$A$2:$A$1000, I$1,  'Scenario Definition Extraction'!$B$2:$B$1000, I$2,  'Scenario Definition Extraction'!$C$2:$C$1000, J$3, 'Scenario Definition Extraction'!$D$2:$D$1000, J$4, 'Scenario Definition Extraction'!$E$2:$E$1000, $A7) = 0, "Missing", "Complete")</f>
        <v>Complete</v>
      </c>
    </row>
    <row r="8" spans="1:10" ht="15" customHeight="1" x14ac:dyDescent="0.2">
      <c r="A8" t="s">
        <v>212</v>
      </c>
      <c r="B8" t="str">
        <f>IF(COUNTIFS('Scenario Definition Extraction'!$A$2:$A$1000, B$1,  'Scenario Definition Extraction'!$B$2:$B$1000, B$2,  'Scenario Definition Extraction'!$C$2:$C$1000, B$3, 'Scenario Definition Extraction'!$D$2:$D$1000, B$4, 'Scenario Definition Extraction'!$E$2:$E$1000, $A8) = 0, "Missing", "Complete")</f>
        <v>Complete</v>
      </c>
      <c r="C8" t="str">
        <f>IF(COUNTIFS('Scenario Definition Extraction'!$A$2:$A$1000, B$1,  'Scenario Definition Extraction'!$B$2:$B$1000, B$2,  'Scenario Definition Extraction'!$C$2:$C$1000, B$3, 'Scenario Definition Extraction'!$D$2:$D$1000, C$4, 'Scenario Definition Extraction'!$E$2:$E$1000, $A8) = 0, "Missing", "Complete")</f>
        <v>Complete</v>
      </c>
      <c r="D8" t="s">
        <v>210</v>
      </c>
      <c r="E8" t="str">
        <f>IF(COUNTIFS('Scenario Definition Extraction'!$A$2:$A$1000, E$1,  'Scenario Definition Extraction'!$B$2:$B$1000, E$2,  'Scenario Definition Extraction'!$C$2:$C$1000, E$3, 'Scenario Definition Extraction'!$D$2:$D$1000, E$4, 'Scenario Definition Extraction'!$E$2:$E$1000, $A8) = 0, "Missing", "Complete")</f>
        <v>Complete</v>
      </c>
      <c r="F8" t="str">
        <f>IF(COUNTIFS('Scenario Definition Extraction'!$A$2:$A$1000, E$1,  'Scenario Definition Extraction'!$B$2:$B$1000, E$2,  'Scenario Definition Extraction'!$C$2:$C$1000, F$3, 'Scenario Definition Extraction'!$D$2:$D$1000, F$4, 'Scenario Definition Extraction'!$E$2:$E$1000, $A8) = 0, "Missing", "Complete")</f>
        <v>Complete</v>
      </c>
      <c r="G8" t="str">
        <f>IF(COUNTIFS('Scenario Definition Extraction'!$A$2:$A$1000, E$1,  'Scenario Definition Extraction'!$B$2:$B$1000, G$2,  'Scenario Definition Extraction'!$C$2:$C$1000, G$3, 'Scenario Definition Extraction'!$D$2:$D$1000, G$4, 'Scenario Definition Extraction'!$E$2:$E$1000, $A8) = 0, "Missing", "Complete")</f>
        <v>Complete</v>
      </c>
      <c r="H8" t="str">
        <f>IF(COUNTIFS('Scenario Definition Extraction'!$A$2:$A$1000, E$1,  'Scenario Definition Extraction'!$B$2:$B$1000, G$2,  'Scenario Definition Extraction'!$C$2:$C$1000, H$3, 'Scenario Definition Extraction'!$D$2:$D$1000, H$4, 'Scenario Definition Extraction'!$E$2:$E$1000, $A8) = 0, "Missing", "Complete")</f>
        <v>Complete</v>
      </c>
      <c r="I8" t="str">
        <f>IF(COUNTIFS('Scenario Definition Extraction'!$A$2:$A$1000, I$1,  'Scenario Definition Extraction'!$B$2:$B$1000, I$2,  'Scenario Definition Extraction'!$C$2:$C$1000, I$3, 'Scenario Definition Extraction'!$D$2:$D$1000, I$4, 'Scenario Definition Extraction'!$E$2:$E$1000, $A8) = 0, "Missing", "Complete")</f>
        <v>Complete</v>
      </c>
      <c r="J8" t="str">
        <f>IF(COUNTIFS('Scenario Definition Extraction'!$A$2:$A$1000, I$1,  'Scenario Definition Extraction'!$B$2:$B$1000, I$2,  'Scenario Definition Extraction'!$C$2:$C$1000, J$3, 'Scenario Definition Extraction'!$D$2:$D$1000, J$4, 'Scenario Definition Extraction'!$E$2:$E$1000, $A8) = 0, "Missing", "Complete")</f>
        <v>Complete</v>
      </c>
    </row>
  </sheetData>
  <mergeCells count="8">
    <mergeCell ref="B3:D3"/>
    <mergeCell ref="G2:H2"/>
    <mergeCell ref="E2:F2"/>
    <mergeCell ref="B1:D1"/>
    <mergeCell ref="I2:J2"/>
    <mergeCell ref="B2:D2"/>
    <mergeCell ref="E1:H1"/>
    <mergeCell ref="I1:J1"/>
  </mergeCells>
  <conditionalFormatting sqref="B6:I8">
    <cfRule type="cellIs" dxfId="0" priority="1" operator="equal">
      <formula>"Missing"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"/>
  <sheetViews>
    <sheetView workbookViewId="0">
      <pane ySplit="1" topLeftCell="A2" activePane="bottomLeft" state="frozen"/>
      <selection pane="bottomLeft" activeCell="J20" sqref="J20"/>
    </sheetView>
  </sheetViews>
  <sheetFormatPr baseColWidth="10" defaultColWidth="8.83203125" defaultRowHeight="15" x14ac:dyDescent="0.2"/>
  <cols>
    <col min="1" max="1" width="8" bestFit="1" customWidth="1"/>
    <col min="3" max="3" width="10.33203125" bestFit="1" customWidth="1"/>
    <col min="4" max="4" width="26.6640625" customWidth="1"/>
    <col min="5" max="5" width="52.6640625" bestFit="1" customWidth="1"/>
    <col min="6" max="6" width="19" customWidth="1"/>
    <col min="8" max="8" width="25.83203125" bestFit="1" customWidth="1"/>
    <col min="10" max="10" width="50.5" customWidth="1"/>
  </cols>
  <sheetData>
    <row r="1" spans="1:10" x14ac:dyDescent="0.2">
      <c r="A1" s="1" t="s">
        <v>0</v>
      </c>
      <c r="B1" s="1" t="s">
        <v>1</v>
      </c>
      <c r="C1" s="1" t="s">
        <v>97</v>
      </c>
      <c r="D1" s="1" t="s">
        <v>204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12</v>
      </c>
    </row>
    <row r="2" spans="1:10" x14ac:dyDescent="0.2">
      <c r="A2" t="s">
        <v>42</v>
      </c>
      <c r="B2" t="s">
        <v>43</v>
      </c>
      <c r="C2" t="s">
        <v>99</v>
      </c>
      <c r="D2" t="s">
        <v>208</v>
      </c>
      <c r="E2" t="s">
        <v>211</v>
      </c>
      <c r="F2" t="s">
        <v>18</v>
      </c>
      <c r="G2" t="s">
        <v>19</v>
      </c>
      <c r="H2" t="s">
        <v>213</v>
      </c>
      <c r="I2" s="37">
        <v>0.71499999999999997</v>
      </c>
      <c r="J2" t="s">
        <v>214</v>
      </c>
    </row>
    <row r="3" spans="1:10" x14ac:dyDescent="0.2">
      <c r="A3" t="s">
        <v>42</v>
      </c>
      <c r="B3" t="s">
        <v>43</v>
      </c>
      <c r="C3" t="s">
        <v>98</v>
      </c>
      <c r="D3" t="s">
        <v>208</v>
      </c>
      <c r="E3" t="s">
        <v>211</v>
      </c>
      <c r="F3" t="s">
        <v>18</v>
      </c>
      <c r="G3" t="s">
        <v>19</v>
      </c>
      <c r="H3" t="s">
        <v>213</v>
      </c>
      <c r="I3" s="37">
        <v>0.71499999999999997</v>
      </c>
      <c r="J3" t="s">
        <v>214</v>
      </c>
    </row>
    <row r="4" spans="1:10" ht="15" customHeight="1" x14ac:dyDescent="0.2">
      <c r="A4" t="s">
        <v>42</v>
      </c>
      <c r="B4" t="s">
        <v>77</v>
      </c>
      <c r="C4" t="s">
        <v>99</v>
      </c>
      <c r="D4" t="s">
        <v>208</v>
      </c>
      <c r="E4" t="s">
        <v>211</v>
      </c>
      <c r="F4" t="s">
        <v>18</v>
      </c>
      <c r="G4" t="s">
        <v>19</v>
      </c>
      <c r="H4" t="s">
        <v>215</v>
      </c>
      <c r="I4" s="37">
        <v>0.95</v>
      </c>
      <c r="J4" t="s">
        <v>216</v>
      </c>
    </row>
    <row r="5" spans="1:10" x14ac:dyDescent="0.2">
      <c r="A5" t="s">
        <v>42</v>
      </c>
      <c r="B5" t="s">
        <v>77</v>
      </c>
      <c r="C5" t="s">
        <v>98</v>
      </c>
      <c r="D5" t="s">
        <v>208</v>
      </c>
      <c r="E5" t="s">
        <v>211</v>
      </c>
      <c r="F5" t="s">
        <v>18</v>
      </c>
      <c r="G5" t="s">
        <v>19</v>
      </c>
      <c r="H5" t="s">
        <v>215</v>
      </c>
      <c r="I5" s="37">
        <v>0.95</v>
      </c>
      <c r="J5" t="s">
        <v>216</v>
      </c>
    </row>
    <row r="6" spans="1:10" x14ac:dyDescent="0.2">
      <c r="A6" t="s">
        <v>13</v>
      </c>
      <c r="B6" t="s">
        <v>14</v>
      </c>
      <c r="C6" t="s">
        <v>98</v>
      </c>
      <c r="D6" t="s">
        <v>205</v>
      </c>
      <c r="E6" t="s">
        <v>211</v>
      </c>
      <c r="F6" t="s">
        <v>18</v>
      </c>
      <c r="G6" t="s">
        <v>19</v>
      </c>
      <c r="H6" t="s">
        <v>217</v>
      </c>
      <c r="I6" s="37">
        <v>0.95</v>
      </c>
      <c r="J6" t="s">
        <v>218</v>
      </c>
    </row>
    <row r="7" spans="1:10" x14ac:dyDescent="0.2">
      <c r="A7" t="s">
        <v>13</v>
      </c>
      <c r="B7" t="s">
        <v>14</v>
      </c>
      <c r="C7" t="s">
        <v>98</v>
      </c>
      <c r="D7" t="s">
        <v>206</v>
      </c>
      <c r="E7" t="s">
        <v>211</v>
      </c>
      <c r="F7" t="s">
        <v>18</v>
      </c>
      <c r="G7" t="s">
        <v>19</v>
      </c>
      <c r="H7" t="s">
        <v>217</v>
      </c>
      <c r="I7" s="37">
        <v>0.95</v>
      </c>
      <c r="J7" t="s">
        <v>218</v>
      </c>
    </row>
    <row r="8" spans="1:10" x14ac:dyDescent="0.2">
      <c r="A8" t="s">
        <v>13</v>
      </c>
      <c r="B8" t="s">
        <v>14</v>
      </c>
      <c r="C8" t="s">
        <v>98</v>
      </c>
      <c r="D8" t="s">
        <v>207</v>
      </c>
      <c r="E8" t="s">
        <v>211</v>
      </c>
      <c r="F8" t="s">
        <v>18</v>
      </c>
      <c r="G8" t="s">
        <v>19</v>
      </c>
      <c r="H8" t="s">
        <v>217</v>
      </c>
      <c r="I8" s="37">
        <v>0.95</v>
      </c>
      <c r="J8" t="s">
        <v>219</v>
      </c>
    </row>
    <row r="9" spans="1:10" x14ac:dyDescent="0.2">
      <c r="A9" t="s">
        <v>76</v>
      </c>
      <c r="B9" t="s">
        <v>77</v>
      </c>
      <c r="C9" t="s">
        <v>99</v>
      </c>
      <c r="D9" t="s">
        <v>208</v>
      </c>
      <c r="E9" t="s">
        <v>211</v>
      </c>
      <c r="F9" t="s">
        <v>18</v>
      </c>
      <c r="G9" t="s">
        <v>19</v>
      </c>
      <c r="H9" t="s">
        <v>220</v>
      </c>
      <c r="I9" s="37">
        <v>0.92</v>
      </c>
      <c r="J9" t="s">
        <v>221</v>
      </c>
    </row>
    <row r="10" spans="1:10" x14ac:dyDescent="0.2">
      <c r="A10" t="s">
        <v>76</v>
      </c>
      <c r="B10" t="s">
        <v>77</v>
      </c>
      <c r="C10" t="s">
        <v>98</v>
      </c>
      <c r="D10" t="s">
        <v>208</v>
      </c>
      <c r="E10" t="s">
        <v>211</v>
      </c>
      <c r="F10" t="s">
        <v>18</v>
      </c>
      <c r="G10" t="s">
        <v>19</v>
      </c>
      <c r="H10" t="s">
        <v>220</v>
      </c>
      <c r="I10" s="37">
        <v>0.92</v>
      </c>
      <c r="J10" t="s">
        <v>221</v>
      </c>
    </row>
    <row r="11" spans="1:10" x14ac:dyDescent="0.2">
      <c r="A11" t="s">
        <v>42</v>
      </c>
      <c r="B11" t="s">
        <v>43</v>
      </c>
      <c r="C11" t="s">
        <v>99</v>
      </c>
      <c r="D11" t="s">
        <v>208</v>
      </c>
      <c r="E11" t="s">
        <v>212</v>
      </c>
      <c r="F11" t="s">
        <v>18</v>
      </c>
      <c r="G11" t="s">
        <v>19</v>
      </c>
      <c r="H11" t="s">
        <v>213</v>
      </c>
      <c r="I11" s="37">
        <v>0.71499999999999997</v>
      </c>
      <c r="J11" t="s">
        <v>214</v>
      </c>
    </row>
    <row r="12" spans="1:10" x14ac:dyDescent="0.2">
      <c r="A12" t="s">
        <v>42</v>
      </c>
      <c r="B12" t="s">
        <v>43</v>
      </c>
      <c r="C12" t="s">
        <v>98</v>
      </c>
      <c r="D12" t="s">
        <v>208</v>
      </c>
      <c r="E12" t="s">
        <v>212</v>
      </c>
      <c r="F12" t="s">
        <v>18</v>
      </c>
      <c r="G12" t="s">
        <v>19</v>
      </c>
      <c r="H12" t="s">
        <v>213</v>
      </c>
      <c r="I12" s="37">
        <v>0.71499999999999997</v>
      </c>
      <c r="J12" t="s">
        <v>214</v>
      </c>
    </row>
    <row r="13" spans="1:10" ht="15" customHeight="1" x14ac:dyDescent="0.2">
      <c r="A13" t="s">
        <v>42</v>
      </c>
      <c r="B13" t="s">
        <v>77</v>
      </c>
      <c r="C13" t="s">
        <v>99</v>
      </c>
      <c r="D13" t="s">
        <v>208</v>
      </c>
      <c r="E13" t="s">
        <v>212</v>
      </c>
      <c r="F13" t="s">
        <v>18</v>
      </c>
      <c r="G13" t="s">
        <v>19</v>
      </c>
      <c r="H13" t="s">
        <v>215</v>
      </c>
      <c r="I13" s="37">
        <v>0.95</v>
      </c>
      <c r="J13" t="s">
        <v>216</v>
      </c>
    </row>
    <row r="14" spans="1:10" x14ac:dyDescent="0.2">
      <c r="A14" t="s">
        <v>42</v>
      </c>
      <c r="B14" t="s">
        <v>77</v>
      </c>
      <c r="C14" t="s">
        <v>98</v>
      </c>
      <c r="D14" t="s">
        <v>208</v>
      </c>
      <c r="E14" t="s">
        <v>212</v>
      </c>
      <c r="F14" t="s">
        <v>18</v>
      </c>
      <c r="G14" t="s">
        <v>19</v>
      </c>
      <c r="H14" t="s">
        <v>215</v>
      </c>
      <c r="I14" s="37">
        <v>0.95</v>
      </c>
      <c r="J14" t="s">
        <v>216</v>
      </c>
    </row>
    <row r="15" spans="1:10" x14ac:dyDescent="0.2">
      <c r="A15" t="s">
        <v>13</v>
      </c>
      <c r="B15" t="s">
        <v>14</v>
      </c>
      <c r="C15" t="s">
        <v>98</v>
      </c>
      <c r="D15" t="s">
        <v>205</v>
      </c>
      <c r="E15" t="s">
        <v>212</v>
      </c>
      <c r="F15" t="s">
        <v>18</v>
      </c>
      <c r="G15" t="s">
        <v>19</v>
      </c>
      <c r="H15" t="s">
        <v>217</v>
      </c>
      <c r="I15" s="37">
        <v>0.95</v>
      </c>
      <c r="J15" t="s">
        <v>218</v>
      </c>
    </row>
    <row r="16" spans="1:10" x14ac:dyDescent="0.2">
      <c r="A16" t="s">
        <v>13</v>
      </c>
      <c r="B16" t="s">
        <v>14</v>
      </c>
      <c r="C16" t="s">
        <v>98</v>
      </c>
      <c r="D16" t="s">
        <v>206</v>
      </c>
      <c r="E16" t="s">
        <v>212</v>
      </c>
      <c r="F16" t="s">
        <v>18</v>
      </c>
      <c r="G16" t="s">
        <v>19</v>
      </c>
      <c r="H16" t="s">
        <v>217</v>
      </c>
      <c r="I16" s="37">
        <v>0.95</v>
      </c>
      <c r="J16" t="s">
        <v>218</v>
      </c>
    </row>
    <row r="17" spans="1:10" x14ac:dyDescent="0.2">
      <c r="A17" t="s">
        <v>13</v>
      </c>
      <c r="B17" t="s">
        <v>14</v>
      </c>
      <c r="C17" t="s">
        <v>98</v>
      </c>
      <c r="D17" t="s">
        <v>207</v>
      </c>
      <c r="E17" t="s">
        <v>212</v>
      </c>
      <c r="F17" t="s">
        <v>18</v>
      </c>
      <c r="G17" t="s">
        <v>19</v>
      </c>
      <c r="H17" t="s">
        <v>217</v>
      </c>
      <c r="I17" s="37">
        <v>0.95</v>
      </c>
      <c r="J17" t="s">
        <v>218</v>
      </c>
    </row>
    <row r="18" spans="1:10" ht="43.5" customHeight="1" x14ac:dyDescent="0.2">
      <c r="A18" t="s">
        <v>76</v>
      </c>
      <c r="B18" t="s">
        <v>77</v>
      </c>
      <c r="C18" t="s">
        <v>99</v>
      </c>
      <c r="D18" t="s">
        <v>208</v>
      </c>
      <c r="E18" t="s">
        <v>212</v>
      </c>
      <c r="F18" t="s">
        <v>18</v>
      </c>
      <c r="G18" t="s">
        <v>19</v>
      </c>
      <c r="H18" t="s">
        <v>220</v>
      </c>
      <c r="I18" s="37">
        <v>0.92</v>
      </c>
      <c r="J18" s="5" t="s">
        <v>221</v>
      </c>
    </row>
    <row r="19" spans="1:10" ht="43.5" customHeight="1" x14ac:dyDescent="0.2">
      <c r="A19" t="s">
        <v>76</v>
      </c>
      <c r="B19" t="s">
        <v>77</v>
      </c>
      <c r="C19" t="s">
        <v>98</v>
      </c>
      <c r="D19" t="s">
        <v>208</v>
      </c>
      <c r="E19" t="s">
        <v>212</v>
      </c>
      <c r="F19" t="s">
        <v>18</v>
      </c>
      <c r="G19" t="s">
        <v>19</v>
      </c>
      <c r="H19" t="s">
        <v>220</v>
      </c>
      <c r="I19" s="37">
        <v>0.92</v>
      </c>
      <c r="J19" s="5" t="s">
        <v>221</v>
      </c>
    </row>
    <row r="20" spans="1:10" ht="29.25" customHeight="1" x14ac:dyDescent="0.2">
      <c r="A20" t="s">
        <v>42</v>
      </c>
      <c r="B20" t="s">
        <v>43</v>
      </c>
      <c r="C20" t="s">
        <v>99</v>
      </c>
      <c r="D20" t="s">
        <v>208</v>
      </c>
      <c r="E20" t="s">
        <v>209</v>
      </c>
      <c r="F20" t="s">
        <v>106</v>
      </c>
      <c r="G20" t="s">
        <v>107</v>
      </c>
      <c r="H20" t="s">
        <v>222</v>
      </c>
      <c r="I20">
        <v>1320</v>
      </c>
      <c r="J20" s="38" t="s">
        <v>223</v>
      </c>
    </row>
    <row r="21" spans="1:10" ht="29.25" customHeight="1" x14ac:dyDescent="0.2">
      <c r="A21" t="s">
        <v>42</v>
      </c>
      <c r="B21" t="s">
        <v>43</v>
      </c>
      <c r="C21" t="s">
        <v>98</v>
      </c>
      <c r="D21" t="s">
        <v>208</v>
      </c>
      <c r="E21" t="s">
        <v>209</v>
      </c>
      <c r="F21" t="s">
        <v>106</v>
      </c>
      <c r="G21" t="s">
        <v>107</v>
      </c>
      <c r="H21" t="s">
        <v>222</v>
      </c>
      <c r="I21">
        <v>24</v>
      </c>
      <c r="J21" s="38" t="s">
        <v>224</v>
      </c>
    </row>
    <row r="22" spans="1:10" x14ac:dyDescent="0.2">
      <c r="A22" t="s">
        <v>42</v>
      </c>
      <c r="B22" t="s">
        <v>77</v>
      </c>
      <c r="C22" t="s">
        <v>99</v>
      </c>
      <c r="D22" t="s">
        <v>208</v>
      </c>
      <c r="E22" t="s">
        <v>209</v>
      </c>
      <c r="F22" t="s">
        <v>106</v>
      </c>
      <c r="G22" t="s">
        <v>107</v>
      </c>
      <c r="H22" t="s">
        <v>225</v>
      </c>
      <c r="I22">
        <v>40</v>
      </c>
      <c r="J22" s="39" t="s">
        <v>226</v>
      </c>
    </row>
    <row r="23" spans="1:10" x14ac:dyDescent="0.2">
      <c r="A23" t="s">
        <v>42</v>
      </c>
      <c r="B23" t="s">
        <v>77</v>
      </c>
      <c r="C23" t="s">
        <v>98</v>
      </c>
      <c r="D23" t="s">
        <v>208</v>
      </c>
      <c r="E23" t="s">
        <v>209</v>
      </c>
      <c r="F23" t="s">
        <v>106</v>
      </c>
      <c r="G23" t="s">
        <v>107</v>
      </c>
      <c r="H23" t="s">
        <v>225</v>
      </c>
      <c r="I23">
        <v>1.69</v>
      </c>
      <c r="J23" s="39" t="s">
        <v>227</v>
      </c>
    </row>
    <row r="24" spans="1:10" x14ac:dyDescent="0.2">
      <c r="A24" t="s">
        <v>13</v>
      </c>
      <c r="B24" t="s">
        <v>14</v>
      </c>
      <c r="C24" t="s">
        <v>98</v>
      </c>
      <c r="D24" t="s">
        <v>205</v>
      </c>
      <c r="E24" t="s">
        <v>209</v>
      </c>
      <c r="F24" t="s">
        <v>106</v>
      </c>
      <c r="G24" t="s">
        <v>107</v>
      </c>
      <c r="H24" t="s">
        <v>222</v>
      </c>
      <c r="I24">
        <v>14.08450704225352</v>
      </c>
      <c r="J24" t="s">
        <v>228</v>
      </c>
    </row>
    <row r="25" spans="1:10" ht="15" customHeight="1" x14ac:dyDescent="0.2">
      <c r="A25" t="s">
        <v>13</v>
      </c>
      <c r="B25" t="s">
        <v>14</v>
      </c>
      <c r="C25" t="s">
        <v>98</v>
      </c>
      <c r="D25" t="s">
        <v>206</v>
      </c>
      <c r="E25" t="s">
        <v>209</v>
      </c>
      <c r="F25" t="s">
        <v>106</v>
      </c>
      <c r="G25" t="s">
        <v>107</v>
      </c>
      <c r="H25" s="40" t="s">
        <v>222</v>
      </c>
      <c r="I25">
        <v>56.338028169014088</v>
      </c>
      <c r="J25" s="40" t="s">
        <v>229</v>
      </c>
    </row>
    <row r="26" spans="1:10" x14ac:dyDescent="0.2">
      <c r="A26" t="s">
        <v>13</v>
      </c>
      <c r="B26" t="s">
        <v>14</v>
      </c>
      <c r="C26" t="s">
        <v>98</v>
      </c>
      <c r="D26" t="s">
        <v>207</v>
      </c>
      <c r="E26" t="s">
        <v>209</v>
      </c>
      <c r="F26" t="s">
        <v>106</v>
      </c>
      <c r="G26" t="s">
        <v>107</v>
      </c>
      <c r="H26" t="s">
        <v>230</v>
      </c>
      <c r="I26">
        <v>45</v>
      </c>
      <c r="J26" t="s">
        <v>231</v>
      </c>
    </row>
    <row r="27" spans="1:10" x14ac:dyDescent="0.2">
      <c r="A27" t="s">
        <v>76</v>
      </c>
      <c r="B27" t="s">
        <v>77</v>
      </c>
      <c r="C27" t="s">
        <v>99</v>
      </c>
      <c r="D27" t="s">
        <v>208</v>
      </c>
      <c r="E27" t="s">
        <v>209</v>
      </c>
      <c r="F27" t="s">
        <v>106</v>
      </c>
      <c r="G27" t="s">
        <v>107</v>
      </c>
      <c r="H27" t="s">
        <v>232</v>
      </c>
      <c r="I27">
        <v>42.5</v>
      </c>
      <c r="J27" t="s">
        <v>233</v>
      </c>
    </row>
    <row r="28" spans="1:10" x14ac:dyDescent="0.2">
      <c r="A28" t="s">
        <v>76</v>
      </c>
      <c r="B28" t="s">
        <v>77</v>
      </c>
      <c r="C28" t="s">
        <v>98</v>
      </c>
      <c r="D28" t="s">
        <v>208</v>
      </c>
      <c r="E28" t="s">
        <v>209</v>
      </c>
      <c r="F28" t="s">
        <v>106</v>
      </c>
      <c r="G28" t="s">
        <v>107</v>
      </c>
      <c r="H28" s="39" t="s">
        <v>234</v>
      </c>
      <c r="I28">
        <v>1.3</v>
      </c>
      <c r="J28" s="39" t="s">
        <v>235</v>
      </c>
    </row>
    <row r="29" spans="1:10" x14ac:dyDescent="0.2">
      <c r="A29" t="s">
        <v>42</v>
      </c>
      <c r="B29" t="s">
        <v>14</v>
      </c>
      <c r="C29" t="s">
        <v>98</v>
      </c>
      <c r="D29" t="s">
        <v>205</v>
      </c>
      <c r="E29" t="s">
        <v>211</v>
      </c>
      <c r="F29" t="s">
        <v>18</v>
      </c>
      <c r="G29" t="s">
        <v>19</v>
      </c>
      <c r="H29" t="s">
        <v>236</v>
      </c>
      <c r="I29">
        <v>0.95</v>
      </c>
      <c r="J29" t="s">
        <v>237</v>
      </c>
    </row>
    <row r="30" spans="1:10" x14ac:dyDescent="0.2">
      <c r="A30" t="s">
        <v>42</v>
      </c>
      <c r="B30" t="s">
        <v>14</v>
      </c>
      <c r="C30" t="s">
        <v>98</v>
      </c>
      <c r="D30" t="s">
        <v>205</v>
      </c>
      <c r="E30" t="s">
        <v>212</v>
      </c>
      <c r="F30" t="s">
        <v>18</v>
      </c>
      <c r="G30" t="s">
        <v>19</v>
      </c>
      <c r="H30" t="s">
        <v>236</v>
      </c>
      <c r="I30">
        <v>0.95</v>
      </c>
      <c r="J30" t="s">
        <v>237</v>
      </c>
    </row>
    <row r="31" spans="1:10" x14ac:dyDescent="0.2">
      <c r="A31" t="s">
        <v>42</v>
      </c>
      <c r="B31" t="s">
        <v>14</v>
      </c>
      <c r="C31" t="s">
        <v>98</v>
      </c>
      <c r="D31" t="s">
        <v>205</v>
      </c>
      <c r="E31" t="s">
        <v>209</v>
      </c>
      <c r="F31" t="s">
        <v>106</v>
      </c>
      <c r="G31" t="s">
        <v>107</v>
      </c>
      <c r="H31" t="s">
        <v>238</v>
      </c>
      <c r="I31">
        <v>25.641025641025639</v>
      </c>
      <c r="J31" t="s">
        <v>239</v>
      </c>
    </row>
    <row r="32" spans="1:10" x14ac:dyDescent="0.2">
      <c r="A32" t="s">
        <v>42</v>
      </c>
      <c r="B32" t="s">
        <v>14</v>
      </c>
      <c r="C32" t="s">
        <v>98</v>
      </c>
      <c r="D32" t="s">
        <v>206</v>
      </c>
      <c r="E32" t="s">
        <v>211</v>
      </c>
      <c r="F32" t="s">
        <v>18</v>
      </c>
      <c r="G32" t="s">
        <v>19</v>
      </c>
      <c r="H32" t="s">
        <v>236</v>
      </c>
      <c r="I32">
        <v>0.95</v>
      </c>
      <c r="J32" t="s">
        <v>237</v>
      </c>
    </row>
    <row r="33" spans="1:10" x14ac:dyDescent="0.2">
      <c r="A33" t="s">
        <v>42</v>
      </c>
      <c r="B33" t="s">
        <v>14</v>
      </c>
      <c r="C33" t="s">
        <v>98</v>
      </c>
      <c r="D33" t="s">
        <v>206</v>
      </c>
      <c r="E33" t="s">
        <v>212</v>
      </c>
      <c r="F33" t="s">
        <v>18</v>
      </c>
      <c r="G33" t="s">
        <v>19</v>
      </c>
      <c r="H33" t="s">
        <v>236</v>
      </c>
      <c r="I33">
        <v>0.95</v>
      </c>
      <c r="J33" t="s">
        <v>237</v>
      </c>
    </row>
    <row r="34" spans="1:10" x14ac:dyDescent="0.2">
      <c r="A34" t="s">
        <v>42</v>
      </c>
      <c r="B34" t="s">
        <v>14</v>
      </c>
      <c r="C34" t="s">
        <v>98</v>
      </c>
      <c r="D34" t="s">
        <v>206</v>
      </c>
      <c r="E34" t="s">
        <v>209</v>
      </c>
      <c r="F34" t="s">
        <v>106</v>
      </c>
      <c r="G34" t="s">
        <v>107</v>
      </c>
      <c r="H34" t="s">
        <v>238</v>
      </c>
      <c r="I34">
        <v>102.5641025641026</v>
      </c>
      <c r="J34" t="s">
        <v>240</v>
      </c>
    </row>
    <row r="35" spans="1:10" ht="15" customHeight="1" x14ac:dyDescent="0.2">
      <c r="A35" t="inlineStr">
        <is>
          <t>Nigeria</t>
        </is>
      </c>
      <c r="B35" t="inlineStr">
        <is>
          <t>Wheat</t>
        </is>
      </c>
      <c r="C35" t="inlineStr">
        <is>
          <t>Iron</t>
        </is>
      </c>
      <c r="D35" t="inlineStr">
        <is>
          <t>Intervention</t>
        </is>
      </c>
      <c r="E35" t="inlineStr">
        <is>
          <t>Intervention coverage % of fortifiable</t>
        </is>
      </c>
      <c r="F35" t="inlineStr">
        <is>
          <t>percentage</t>
        </is>
      </c>
      <c r="G35" t="inlineStr">
        <is>
          <t>%</t>
        </is>
      </c>
      <c r="H35" t="inlineStr">
        <is>
          <t>DUMMY (MIC-7549)</t>
        </is>
      </c>
      <c s="37" r="I35" t="n">
        <v>0.95</v>
      </c>
      <c r="J35" t="inlineStr">
        <is>
          <t>DUMMY PLACEHOLDER (MIC-7549): value copied from the corresponding Rice row. Replace with real wheat data.</t>
        </is>
      </c>
    </row>
    <row r="36" spans="1:10" ht="15" customHeight="1" x14ac:dyDescent="0.2">
      <c r="A36" t="inlineStr">
        <is>
          <t>Nigeria</t>
        </is>
      </c>
      <c r="B36" t="inlineStr">
        <is>
          <t>Wheat</t>
        </is>
      </c>
      <c r="C36" t="inlineStr">
        <is>
          <t>Iron</t>
        </is>
      </c>
      <c r="D36" t="inlineStr">
        <is>
          <t>Intervention</t>
        </is>
      </c>
      <c r="E36" t="inlineStr">
        <is>
          <t>Intervention effective % of fortified</t>
        </is>
      </c>
      <c r="F36" t="inlineStr">
        <is>
          <t>percentage</t>
        </is>
      </c>
      <c r="G36" t="inlineStr">
        <is>
          <t>%</t>
        </is>
      </c>
      <c r="H36" t="inlineStr">
        <is>
          <t>DUMMY (MIC-7549)</t>
        </is>
      </c>
      <c s="37" r="I36" t="n">
        <v>0.95</v>
      </c>
      <c r="J36" t="inlineStr">
        <is>
          <t>DUMMY PLACEHOLDER (MIC-7549): value copied from the corresponding Rice row. Replace with real wheat data.</t>
        </is>
      </c>
    </row>
    <row r="37" spans="1:10" x14ac:dyDescent="0.2">
      <c r="A37" t="inlineStr">
        <is>
          <t>Nigeria</t>
        </is>
      </c>
      <c r="B37" t="inlineStr">
        <is>
          <t>Wheat</t>
        </is>
      </c>
      <c r="C37" t="inlineStr">
        <is>
          <t>Iron</t>
        </is>
      </c>
      <c r="D37" t="inlineStr">
        <is>
          <t>Intervention</t>
        </is>
      </c>
      <c r="E37" t="inlineStr">
        <is>
          <t>Vehicle fortification in intervention -- amount among fortified</t>
        </is>
      </c>
      <c r="F37" t="inlineStr">
        <is>
          <t>concentration</t>
        </is>
      </c>
      <c r="G37" t="inlineStr">
        <is>
          <t>mcg/g</t>
        </is>
      </c>
      <c r="H37" t="inlineStr">
        <is>
          <t>DUMMY (MIC-7549)</t>
        </is>
      </c>
      <c r="I37" t="n">
        <v>40</v>
      </c>
      <c s="39" r="J37" t="inlineStr">
        <is>
          <t>DUMMY PLACEHOLDER (MIC-7549): value copied from the corresponding Rice row. Replace with real wheat data.</t>
        </is>
      </c>
    </row>
    <row r="38" spans="1:10" ht="15" customHeight="1" x14ac:dyDescent="0.2">
      <c r="A38" t="inlineStr">
        <is>
          <t>Nigeria</t>
        </is>
      </c>
      <c r="B38" t="inlineStr">
        <is>
          <t>Wheat</t>
        </is>
      </c>
      <c r="C38" t="inlineStr">
        <is>
          <t>Folate</t>
        </is>
      </c>
      <c r="D38" t="inlineStr">
        <is>
          <t>Intervention</t>
        </is>
      </c>
      <c r="E38" t="inlineStr">
        <is>
          <t>Intervention coverage % of fortifiable</t>
        </is>
      </c>
      <c r="F38" t="inlineStr">
        <is>
          <t>percentage</t>
        </is>
      </c>
      <c r="G38" t="inlineStr">
        <is>
          <t>%</t>
        </is>
      </c>
      <c r="H38" t="inlineStr">
        <is>
          <t>DUMMY (SSCI-2784)</t>
        </is>
      </c>
      <c r="I38" s="37" t="n">
        <v>0.95</v>
      </c>
      <c r="J38" t="inlineStr">
        <is>
          <t>DUMMY PLACEHOLDER (SSCI-2784): folate value copied from the corresponding Nigeria Rice Folate row. Replace with real wheat data.</t>
        </is>
      </c>
    </row>
    <row r="39" spans="1:10" ht="15" customHeight="1" x14ac:dyDescent="0.2">
      <c r="A39" t="inlineStr">
        <is>
          <t>Nigeria</t>
        </is>
      </c>
      <c r="B39" t="inlineStr">
        <is>
          <t>Wheat</t>
        </is>
      </c>
      <c r="C39" t="inlineStr">
        <is>
          <t>Folate</t>
        </is>
      </c>
      <c r="D39" t="inlineStr">
        <is>
          <t>Intervention</t>
        </is>
      </c>
      <c r="E39" t="inlineStr">
        <is>
          <t>Intervention effective % of fortified</t>
        </is>
      </c>
      <c r="F39" t="inlineStr">
        <is>
          <t>percentage</t>
        </is>
      </c>
      <c r="G39" t="inlineStr">
        <is>
          <t>%</t>
        </is>
      </c>
      <c r="H39" t="inlineStr">
        <is>
          <t>DUMMY (SSCI-2784)</t>
        </is>
      </c>
      <c r="I39" s="37" t="n">
        <v>0.95</v>
      </c>
      <c r="J39" t="inlineStr">
        <is>
          <t>DUMMY PLACEHOLDER (SSCI-2784): folate value copied from the corresponding Nigeria Rice Folate row. Replace with real wheat data.</t>
        </is>
      </c>
    </row>
    <row r="40" spans="1:10" x14ac:dyDescent="0.2">
      <c r="A40" t="inlineStr">
        <is>
          <t>Nigeria</t>
        </is>
      </c>
      <c r="B40" t="inlineStr">
        <is>
          <t>Wheat</t>
        </is>
      </c>
      <c r="C40" t="inlineStr">
        <is>
          <t>Folate</t>
        </is>
      </c>
      <c r="D40" t="inlineStr">
        <is>
          <t>Intervention</t>
        </is>
      </c>
      <c r="E40" t="inlineStr">
        <is>
          <t>Vehicle fortification in intervention -- amount among fortified</t>
        </is>
      </c>
      <c r="F40" t="inlineStr">
        <is>
          <t>concentration</t>
        </is>
      </c>
      <c r="G40" t="inlineStr">
        <is>
          <t>mcg/g</t>
        </is>
      </c>
      <c r="H40" t="inlineStr">
        <is>
          <t>DUMMY (SSCI-2784)</t>
        </is>
      </c>
      <c r="I40" t="n">
        <v>1.69</v>
      </c>
      <c r="J40" s="39" t="inlineStr">
        <is>
          <t>DUMMY PLACEHOLDER (SSCI-2784): folate value copied from the corresponding Nigeria Rice Folate row. Replace with real wheat data.</t>
        </is>
      </c>
    </row>
    <row r="41" spans="1:10" ht="15" customHeight="1" x14ac:dyDescent="0.2">
      <c r="A41" t="inlineStr">
        <is>
          <t>India</t>
        </is>
      </c>
      <c r="B41" t="inlineStr">
        <is>
          <t>Wheat</t>
        </is>
      </c>
      <c r="C41" t="inlineStr">
        <is>
          <t>Iron</t>
        </is>
      </c>
      <c r="D41" t="inlineStr">
        <is>
          <t>Intervention</t>
        </is>
      </c>
      <c r="E41" t="inlineStr">
        <is>
          <t>Intervention coverage % of fortifiable</t>
        </is>
      </c>
      <c r="F41" t="inlineStr">
        <is>
          <t>percentage</t>
        </is>
      </c>
      <c r="G41" t="inlineStr">
        <is>
          <t>%</t>
        </is>
      </c>
      <c r="H41" t="inlineStr">
        <is>
          <t>DUMMY (MIC-7580)</t>
        </is>
      </c>
      <c s="37" r="I41" t="n">
        <v>0.95</v>
      </c>
      <c r="J41" t="inlineStr">
        <is>
          <t>DUMMY PLACEHOLDER (MIC-7580): value copied from the Nigeria wheat placeholder row (itself copied from Nigeria rice). Replace with real India wheat data.</t>
        </is>
      </c>
    </row>
    <row r="42" spans="1:10" ht="15" customHeight="1" x14ac:dyDescent="0.2">
      <c r="A42" t="inlineStr">
        <is>
          <t>India</t>
        </is>
      </c>
      <c r="B42" t="inlineStr">
        <is>
          <t>Wheat</t>
        </is>
      </c>
      <c r="C42" t="inlineStr">
        <is>
          <t>Iron</t>
        </is>
      </c>
      <c r="D42" t="inlineStr">
        <is>
          <t>Intervention</t>
        </is>
      </c>
      <c r="E42" t="inlineStr">
        <is>
          <t>Intervention effective % of fortified</t>
        </is>
      </c>
      <c r="F42" t="inlineStr">
        <is>
          <t>percentage</t>
        </is>
      </c>
      <c r="G42" t="inlineStr">
        <is>
          <t>%</t>
        </is>
      </c>
      <c r="H42" t="inlineStr">
        <is>
          <t>DUMMY (MIC-7580)</t>
        </is>
      </c>
      <c s="37" r="I42" t="n">
        <v>0.95</v>
      </c>
      <c r="J42" t="inlineStr">
        <is>
          <t>DUMMY PLACEHOLDER (MIC-7580): value copied from the Nigeria wheat placeholder row (itself copied from Nigeria rice). Replace with real India wheat data.</t>
        </is>
      </c>
    </row>
    <row r="43" spans="1:10" x14ac:dyDescent="0.2">
      <c r="A43" t="inlineStr">
        <is>
          <t>India</t>
        </is>
      </c>
      <c r="B43" t="inlineStr">
        <is>
          <t>Wheat</t>
        </is>
      </c>
      <c r="C43" t="inlineStr">
        <is>
          <t>Iron</t>
        </is>
      </c>
      <c r="D43" t="inlineStr">
        <is>
          <t>Intervention</t>
        </is>
      </c>
      <c r="E43" t="inlineStr">
        <is>
          <t>Vehicle fortification in intervention -- amount among fortified</t>
        </is>
      </c>
      <c r="F43" t="inlineStr">
        <is>
          <t>concentration</t>
        </is>
      </c>
      <c r="G43" t="inlineStr">
        <is>
          <t>mcg/g</t>
        </is>
      </c>
      <c r="H43" t="inlineStr">
        <is>
          <t>DUMMY (MIC-7580)</t>
        </is>
      </c>
      <c r="I43" t="n">
        <v>40</v>
      </c>
      <c r="J43" s="39" t="inlineStr">
        <is>
          <t>DUMMY PLACEHOLDER (MIC-7580): value copied from the Nigeria wheat placeholder row (itself copied from Nigeria rice). Replace with real India wheat data.</t>
        </is>
      </c>
    </row>
    <row r="44" spans="1:10" ht="15" customHeight="1" x14ac:dyDescent="0.2">
      <c r="A44" t="inlineStr">
        <is>
          <t>India</t>
        </is>
      </c>
      <c r="B44" t="inlineStr">
        <is>
          <t>Salt</t>
        </is>
      </c>
      <c r="C44" t="inlineStr">
        <is>
          <t>Iron</t>
        </is>
      </c>
      <c r="D44" t="inlineStr">
        <is>
          <t>Intervention</t>
        </is>
      </c>
      <c r="E44" t="inlineStr">
        <is>
          <t>Intervention coverage % of fortifiable</t>
        </is>
      </c>
      <c r="F44" t="inlineStr">
        <is>
          <t>percentage</t>
        </is>
      </c>
      <c r="G44" t="inlineStr">
        <is>
          <t>%</t>
        </is>
      </c>
      <c r="H44" t="inlineStr">
        <is>
          <t>DUMMY (MIC-7580)</t>
        </is>
      </c>
      <c s="37" r="I44" t="n">
        <v>0.95</v>
      </c>
      <c r="J44" t="inlineStr">
        <is>
          <t>DUMMY PLACEHOLDER (MIC-7580): value copied from the India wheat placeholder row. Replace with real India salt data.</t>
        </is>
      </c>
    </row>
    <row r="45" spans="1:10" ht="15" customHeight="1" x14ac:dyDescent="0.2">
      <c r="A45" t="inlineStr">
        <is>
          <t>India</t>
        </is>
      </c>
      <c r="B45" t="inlineStr">
        <is>
          <t>Salt</t>
        </is>
      </c>
      <c r="C45" t="inlineStr">
        <is>
          <t>Iron</t>
        </is>
      </c>
      <c r="D45" t="inlineStr">
        <is>
          <t>Intervention</t>
        </is>
      </c>
      <c r="E45" t="inlineStr">
        <is>
          <t>Intervention effective % of fortified</t>
        </is>
      </c>
      <c r="F45" t="inlineStr">
        <is>
          <t>percentage</t>
        </is>
      </c>
      <c r="G45" t="inlineStr">
        <is>
          <t>%</t>
        </is>
      </c>
      <c r="H45" t="inlineStr">
        <is>
          <t>DUMMY (MIC-7580)</t>
        </is>
      </c>
      <c s="37" r="I45" t="n">
        <v>0.95</v>
      </c>
      <c r="J45" t="inlineStr">
        <is>
          <t>DUMMY PLACEHOLDER (MIC-7580): value copied from the India wheat placeholder row. Replace with real India salt data.</t>
        </is>
      </c>
    </row>
    <row r="46" spans="1:10" x14ac:dyDescent="0.2">
      <c r="A46" t="inlineStr">
        <is>
          <t>India</t>
        </is>
      </c>
      <c r="B46" t="inlineStr">
        <is>
          <t>Salt</t>
        </is>
      </c>
      <c r="C46" t="inlineStr">
        <is>
          <t>Iron</t>
        </is>
      </c>
      <c r="D46" t="inlineStr">
        <is>
          <t>Intervention</t>
        </is>
      </c>
      <c r="E46" t="inlineStr">
        <is>
          <t>Vehicle fortification in intervention -- amount among fortified</t>
        </is>
      </c>
      <c r="F46" t="inlineStr">
        <is>
          <t>concentration</t>
        </is>
      </c>
      <c r="G46" t="inlineStr">
        <is>
          <t>mcg/g</t>
        </is>
      </c>
      <c r="H46" t="inlineStr">
        <is>
          <t>DUMMY (MIC-7580)</t>
        </is>
      </c>
      <c r="I46" t="n">
        <v>40</v>
      </c>
      <c r="J46" s="39" t="inlineStr">
        <is>
          <t>DUMMY PLACEHOLDER (MIC-7580): value copied from the India wheat placeholder row. Replace with real India salt data.</t>
        </is>
      </c>
    </row>
    <row r="47" spans="1:10" ht="15" customHeight="1" x14ac:dyDescent="0.2">
      <c r="A47" t="inlineStr">
        <is>
          <t>Ethiopia</t>
        </is>
      </c>
      <c r="B47" t="inlineStr">
        <is>
          <t>Wheat</t>
        </is>
      </c>
      <c r="C47" t="inlineStr">
        <is>
          <t>Folate</t>
        </is>
      </c>
      <c r="D47" t="inlineStr">
        <is>
          <t>Intervention</t>
        </is>
      </c>
      <c r="E47" t="inlineStr">
        <is>
          <t>Intervention coverage % of fortifiable</t>
        </is>
      </c>
      <c r="F47" t="inlineStr">
        <is>
          <t>percentage</t>
        </is>
      </c>
      <c r="G47" t="inlineStr">
        <is>
          <t>%</t>
        </is>
      </c>
      <c r="H47" t="inlineStr">
        <is>
          <t>DUMMY (MIC-7585)</t>
        </is>
      </c>
      <c r="I47" s="37" t="n">
        <v>0.95</v>
      </c>
      <c r="J47" t="inlineStr">
        <is>
          <t>DUMMY PLACEHOLDER (MIC-7585): value copied from the Nigeria wheat folate placeholder row. Replace with real Ethiopia wheat data.</t>
        </is>
      </c>
    </row>
    <row r="48" spans="1:10" ht="15" customHeight="1" x14ac:dyDescent="0.2">
      <c r="A48" t="inlineStr">
        <is>
          <t>Ethiopia</t>
        </is>
      </c>
      <c r="B48" t="inlineStr">
        <is>
          <t>Wheat</t>
        </is>
      </c>
      <c r="C48" t="inlineStr">
        <is>
          <t>Folate</t>
        </is>
      </c>
      <c r="D48" t="inlineStr">
        <is>
          <t>Intervention</t>
        </is>
      </c>
      <c r="E48" t="inlineStr">
        <is>
          <t>Intervention effective % of fortified</t>
        </is>
      </c>
      <c r="F48" t="inlineStr">
        <is>
          <t>percentage</t>
        </is>
      </c>
      <c r="G48" t="inlineStr">
        <is>
          <t>%</t>
        </is>
      </c>
      <c r="H48" t="inlineStr">
        <is>
          <t>DUMMY (MIC-7585)</t>
        </is>
      </c>
      <c r="I48" s="37" t="n">
        <v>0.95</v>
      </c>
      <c r="J48" t="inlineStr">
        <is>
          <t>DUMMY PLACEHOLDER (MIC-7585): value copied from the Nigeria wheat folate placeholder row. Replace with real Ethiopia wheat data.</t>
        </is>
      </c>
    </row>
    <row r="49" spans="1:10" x14ac:dyDescent="0.2">
      <c r="A49" t="inlineStr">
        <is>
          <t>Ethiopia</t>
        </is>
      </c>
      <c r="B49" t="inlineStr">
        <is>
          <t>Wheat</t>
        </is>
      </c>
      <c r="C49" t="inlineStr">
        <is>
          <t>Folate</t>
        </is>
      </c>
      <c r="D49" t="inlineStr">
        <is>
          <t>Intervention</t>
        </is>
      </c>
      <c r="E49" t="inlineStr">
        <is>
          <t>Vehicle fortification in intervention -- amount among fortified</t>
        </is>
      </c>
      <c r="F49" t="inlineStr">
        <is>
          <t>concentration</t>
        </is>
      </c>
      <c r="G49" t="inlineStr">
        <is>
          <t>mcg/g</t>
        </is>
      </c>
      <c r="H49" t="inlineStr">
        <is>
          <t>DUMMY (MIC-7585)</t>
        </is>
      </c>
      <c r="I49" t="n">
        <v>1.69</v>
      </c>
      <c r="J49" s="39" t="inlineStr">
        <is>
          <t>DUMMY PLACEHOLDER (MIC-7585): value copied from the Nigeria wheat folate placeholder row. Replace with real Ethiopia wheat data.</t>
        </is>
      </c>
    </row>
  </sheetData>
  <dataValidations count="4">
    <dataValidation allowBlank="1" showInputMessage="1" showErrorMessage="1" sqref="A1:B1" xr:uid="{00000000-0002-0000-0A00-000000000000}"/>
    <dataValidation type="list" allowBlank="1" showInputMessage="1" showErrorMessage="1" sqref="A2:A1048576" xr:uid="{00000000-0002-0000-0A00-000001000000}">
      <formula1>"Nigeria,Ethiopia,India"</formula1>
    </dataValidation>
    <dataValidation type="list" allowBlank="1" showInputMessage="1" showErrorMessage="1" sqref="C2:C1048576" xr:uid="{00000000-0002-0000-0A00-000002000000}">
      <formula1>"Iron,Folate"</formula1>
    </dataValidation>
    <dataValidation type="list" allowBlank="1" showInputMessage="1" showErrorMessage="1" sqref="B2:B1048576" xr:uid="{00000000-0002-0000-0A00-000003000000}">
      <formula1>"Bouillon,Salt,Rice"</formula1>
    </dataValidation>
  </dataValidations>
  <hyperlinks>
    <hyperlink ref="J20" r:id="rId1" xr:uid="{00000000-0004-0000-0A00-000000000000}"/>
    <hyperlink ref="J21" r:id="rId2" xr:uid="{00000000-0004-0000-0A00-000001000000}"/>
    <hyperlink ref="H25" r:id="rId3" xr:uid="{00000000-0004-0000-0A00-000002000000}"/>
    <hyperlink ref="J25" r:id="rId4" xr:uid="{00000000-0004-0000-0A00-000003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40.5" bestFit="1" customWidth="1"/>
    <col min="5" max="5" width="10.5" bestFit="1" customWidth="1"/>
    <col min="6" max="6" width="14.1640625" bestFit="1" customWidth="1"/>
  </cols>
  <sheetData>
    <row r="1" spans="1:6" x14ac:dyDescent="0.2">
      <c r="A1" s="1" t="s">
        <v>241</v>
      </c>
      <c r="B1" s="1" t="s">
        <v>242</v>
      </c>
      <c r="C1" s="1" t="s">
        <v>243</v>
      </c>
      <c r="D1" s="1" t="s">
        <v>244</v>
      </c>
      <c r="E1" s="1" t="s">
        <v>7</v>
      </c>
      <c r="F1" s="1" t="s">
        <v>245</v>
      </c>
    </row>
    <row r="2" spans="1:6" ht="43.5" customHeight="1" x14ac:dyDescent="0.2">
      <c r="A2" t="s">
        <v>44</v>
      </c>
      <c r="B2" s="5" t="s">
        <v>246</v>
      </c>
      <c r="C2" s="6" t="s">
        <v>46</v>
      </c>
      <c r="D2" t="s">
        <v>247</v>
      </c>
      <c r="E2">
        <v>2021</v>
      </c>
    </row>
    <row r="3" spans="1:6" x14ac:dyDescent="0.2">
      <c r="A3" t="s">
        <v>248</v>
      </c>
      <c r="B3" t="s">
        <v>249</v>
      </c>
    </row>
    <row r="4" spans="1:6" x14ac:dyDescent="0.2">
      <c r="A4" t="s">
        <v>250</v>
      </c>
      <c r="B4" t="s">
        <v>251</v>
      </c>
      <c r="C4" s="6" t="s">
        <v>252</v>
      </c>
      <c r="D4" t="s">
        <v>253</v>
      </c>
      <c r="E4" s="16" t="s">
        <v>254</v>
      </c>
      <c r="F4" t="s">
        <v>255</v>
      </c>
    </row>
  </sheetData>
  <hyperlinks>
    <hyperlink ref="C2" r:id="rId1" xr:uid="{00000000-0004-0000-0B00-000000000000}"/>
    <hyperlink ref="C4" r:id="rId2" xr:uid="{00000000-0004-0000-0B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Country-Vehicle Progress</vt:lpstr>
      <vt:lpstr>Country-Vehicle Extraction</vt:lpstr>
      <vt:lpstr>Country-Vehicle-Fortif Progress</vt:lpstr>
      <vt:lpstr>Country-Vehicle-Fort Extraction</vt:lpstr>
      <vt:lpstr>Country Progress</vt:lpstr>
      <vt:lpstr>Country Extraction</vt:lpstr>
      <vt:lpstr>Vehicle Progress</vt:lpstr>
      <vt:lpstr>Vehicle Extraction</vt:lpstr>
      <vt:lpstr>Universal</vt:lpstr>
      <vt:lpstr>Scenario Definition Progress</vt:lpstr>
      <vt:lpstr>Scenario Definition Extraction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Nathaniel Blair-Stahn</cp:lastModifiedBy>
  <dcterms:created xsi:type="dcterms:W3CDTF">2024-07-16T18:29:07Z</dcterms:created>
  <dcterms:modified xsi:type="dcterms:W3CDTF">2026-09-26T08:01:13Z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0x010100447C4EFE3BCDC24F9D43FB479AF7E97A</vt:lpwstr>
  </property>
  <property fmtid="{D5CDD505-2E9C-101B-9397-08002B2CF9AE}" pid="3" name="MediaServiceImageTags">
    <vt:lpwstr/>
  </property>
</Properties>
</file>