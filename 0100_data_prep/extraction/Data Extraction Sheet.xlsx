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/>
      </c>
      <c r="C5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/>
      </c>
      <c r="D5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/>
      </c>
      <c r="E5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/>
      </c>
      <c r="F5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/>
      </c>
      <c r="G5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/>
      </c>
      <c r="C6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/>
      </c>
      <c r="D6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/>
      </c>
      <c r="E6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/>
      </c>
      <c r="F6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/>
      </c>
      <c r="G6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/>
      </c>
      <c r="C7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/>
      </c>
      <c r="D7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/>
      </c>
      <c r="E7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/>
      </c>
      <c r="F7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/>
      </c>
      <c r="G7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/>
      </c>
      <c r="C8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/>
      </c>
      <c r="D8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/>
      </c>
      <c r="E8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/>
      </c>
      <c r="F8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/>
      </c>
      <c r="G8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/>
      </c>
      <c r="C9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/>
      </c>
      <c r="D9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/>
      </c>
      <c r="E9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/>
      </c>
      <c r="F9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/>
      </c>
      <c r="G9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/>
      </c>
      <c r="H9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2026</v>
      </c>
      <c r="I65" t="inlineStr">
        <is>
          <t>GF 'Input data to IHME models' workbook (2026-04-16), Vehicles - WRA tab</t>
        </is>
      </c>
      <c r="J65" s="21" t="n">
        <v>0.513</v>
      </c>
      <c r="M65" s="5" t="inlineStr">
        <is>
          <t>Industry consolidation, applied to non-government-distributed rice in prep_extracted (government/PDS rice is fortifiable by assumption). History: JG sent 51.3% on 7/19 (M4N Database), but on 8/15 the team agreed to treat all open-market rice as unfortifiable (value 0, PDS-only reach). The GF Apr-2026 workbook now supplies 51.3% as an input to our models, superseding that agreement. NOTE: the workbook's preschool tab says 45% for the same quantity -- inconsistency flagged to GF; using the WRA-tab 51.3%.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/>
      </c>
      <c r="I6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/>
      </c>
      <c r="I7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/>
      </c>
      <c r="O7" t="inlineStr">
        <is>
          <t>N/A</t>
        </is>
      </c>
      <c r="P7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/>
      </c>
      <c r="I8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/>
      </c>
      <c r="O8" t="inlineStr">
        <is>
          <t>N/A</t>
        </is>
      </c>
      <c r="P8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>
        <f>IF(COUNTIFS('Country Extraction'!$A$2:$A$980, B$1,  'Country Extraction'!$B$2:$B$980, "All",  'Country Extraction'!$C$2:$C$980, $A5) = 0, "Missing", "Complete")</f>
        <v/>
      </c>
      <c r="C5">
        <f>IF(COUNTIFS('Country Extraction'!$A$1:$A$995, D$1, 'Country Extraction'!$B$1:$B$995, "&lt;&gt;All", 'Country Extraction'!$C$1:$C$995, $A5, 'Country Extraction'!$H$1:$H$995, "&lt;&gt;") &lt; 5, "Missing", "Complete")</f>
        <v/>
      </c>
      <c r="D5">
        <f>IF(COUNTIFS('Country Extraction'!$A$2:$A$980, D$1,  'Country Extraction'!$B$2:$B$980, "All",  'Country Extraction'!$C$2:$C$980, $A5) = 0, "Missing", "Complete")</f>
        <v/>
      </c>
      <c r="E5">
        <f>IF(COUNTIFS('Country Extraction'!$A$1:$A$995, F$1, 'Country Extraction'!$B$1:$B$995, "&lt;&gt;All", 'Country Extraction'!$C$1:$C$995, $A5, 'Country Extraction'!$H$1:$H$995, "&lt;&gt;") &lt; 5, "Missing", "Complete")</f>
        <v/>
      </c>
      <c r="F5">
        <f>IF(COUNTIFS('Country Extraction'!$A$2:$A$980, F$1,  'Country Extraction'!$B$2:$B$980, "All",  'Country Extraction'!$C$2:$C$980, $A5) = 0, "Missing", "Complete")</f>
        <v/>
      </c>
      <c r="G5">
        <f>IF(COUNTIFS('Country Extraction'!$A$1:$A$995, H$1, 'Country Extraction'!$B$1:$B$995, "&lt;&gt;All", 'Country Extraction'!$C$1:$C$995, $A5, 'Country Extraction'!$H$1:$H$995, "&lt;&gt;") &lt; 5, "Missing", "Complete")</f>
        <v/>
      </c>
    </row>
    <row r="6">
      <c r="A6" t="inlineStr">
        <is>
          <t>RBC folate levels at baseline</t>
        </is>
      </c>
      <c r="B6">
        <f>IF(COUNTIFS('Country Extraction'!$A$2:$A$980, B$1,  'Country Extraction'!$B$2:$B$980, "All",  'Country Extraction'!$C$2:$C$980, $A6) = 0, "Missing", "Complete")</f>
        <v/>
      </c>
      <c r="C6">
        <f>IF(COUNTIFS('Country Extraction'!$A$1:$A$995, D$1, 'Country Extraction'!$B$1:$B$995, "&lt;&gt;All", 'Country Extraction'!$C$1:$C$995, $A6, 'Country Extraction'!$H$1:$H$995, "&lt;&gt;") &lt; 5, "Missing", "Complete")</f>
        <v/>
      </c>
      <c r="D6">
        <f>IF(COUNTIFS('Country Extraction'!$A$2:$A$980, D$1,  'Country Extraction'!$B$2:$B$980, "All",  'Country Extraction'!$C$2:$C$980, $A6) = 0, "Missing", "Complete")</f>
        <v/>
      </c>
      <c r="E6">
        <f>IF(COUNTIFS('Country Extraction'!$A$1:$A$995, F$1, 'Country Extraction'!$B$1:$B$995, "&lt;&gt;All", 'Country Extraction'!$C$1:$C$995, $A6, 'Country Extraction'!$H$1:$H$995, "&lt;&gt;") &lt; 5, "Missing", "Complete")</f>
        <v/>
      </c>
      <c r="F6">
        <f>IF(COUNTIFS('Country Extraction'!$A$2:$A$980, F$1,  'Country Extraction'!$B$2:$B$980, "All",  'Country Extraction'!$C$2:$C$980, $A6) = 0, "Missing", "Complete")</f>
        <v/>
      </c>
      <c r="G6">
        <f>IF(COUNTIFS('Country Extraction'!$A$1:$A$995, H$1, 'Country Extraction'!$B$1:$B$995, "&lt;&gt;All", 'Country Extraction'!$C$1:$C$995, $A6, 'Country Extraction'!$H$1:$H$995, "&lt;&gt;") &lt; 5, "Missing", "Complete")</f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>
        <f>IF(COUNTIFS('Country Extraction'!$A$1:$A$995, F$1, 'Country Extraction'!$B$1:$B$995, "&lt;&gt;All", 'Country Extraction'!$C$1:$C$995, $A10, 'Country Extraction'!$H$1:$H$995, "&lt;&gt;") &lt; 5, "Missing", "Complete")</f>
        <v/>
      </c>
      <c r="F10" t="inlineStr">
        <is>
          <t>GBD</t>
        </is>
      </c>
      <c r="G10">
        <f>IF(COUNTIFS('Country Extraction'!$A$1:$A$995, H$1, 'Country Extraction'!$B$1:$B$995, "&lt;&gt;All", 'Country Extraction'!$C$1:$C$995, $A10, 'Country Extraction'!$H$1:$H$995, "&lt;&gt;") &lt; 5, "Missing", "Complete")</f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>
        <f>IF(COUNTIFS('Country Extraction'!$A$1:$A$995, F$1, 'Country Extraction'!$B$1:$B$995, "&lt;&gt;All", 'Country Extraction'!$C$1:$C$995, $A11, 'Country Extraction'!$H$1:$H$995, "&lt;&gt;") &lt; 5, "Missing", "Complete")</f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>
        <f>IF(COUNTIFS('Country Extraction'!$A$1:$A$995, D$1, 'Country Extraction'!$B$1:$B$995, "&lt;&gt;All", 'Country Extraction'!$C$1:$C$995, $A15, 'Country Extraction'!$H$1:$H$995, "&lt;&gt;") &lt; 5, "Missing", "Complete")</f>
        <v/>
      </c>
      <c r="D15" t="inlineStr">
        <is>
          <t>GBD</t>
        </is>
      </c>
      <c r="E15">
        <f>IF(COUNTIFS('Country Extraction'!$A$1:$A$995, F$1, 'Country Extraction'!$B$1:$B$995, "&lt;&gt;All", 'Country Extraction'!$C$1:$C$995, $A15, 'Country Extraction'!$H$1:$H$995, "&lt;&gt;") &lt; 5, "Missing", "Complete")</f>
        <v/>
      </c>
      <c r="F15" t="inlineStr">
        <is>
          <t>GBD</t>
        </is>
      </c>
      <c r="G15">
        <f>IF(COUNTIFS('Country Extraction'!$A$1:$A$995, H$1, 'Country Extraction'!$B$1:$B$995, "&lt;&gt;All", 'Country Extraction'!$C$1:$C$995, $A15, 'Country Extraction'!$H$1:$H$995, "&lt;&gt;") &lt; 5, "Missing", "Complete")</f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>
        <f>IF(COUNTIFS('Vehicle Extraction'!$A$2:$A$904, C$1,  'Vehicle Extraction'!$B$2:$B$904, $A3) = 0, "Missing", "Complete")</f>
        <v/>
      </c>
      <c r="D3">
        <f>IF(COUNTIFS('Vehicle Extraction'!$A$2:$A$904, D$1,  'Vehicle Extraction'!$B$2:$B$904, $A3) = 0, "Missing", "Complete")</f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>
        <f>IF(COUNTIFS('Vehicle Extraction'!$A$2:$A$904, C$1,  'Vehicle Extraction'!$B$2:$B$904, $A4) = 0, "Missing", "Complete")</f>
        <v/>
      </c>
      <c r="D4">
        <f>IF(COUNTIFS('Vehicle Extraction'!$A$2:$A$904, D$1,  'Vehicle Extraction'!$B$2:$B$904, $A4) = 0, "Missing", "Complete")</f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/>
      </c>
      <c r="C6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/>
      </c>
      <c r="D6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/>
      </c>
      <c r="E6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/>
      </c>
      <c r="F6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/>
      </c>
      <c r="G6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/>
      </c>
      <c r="H6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/>
      </c>
      <c r="I6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/>
      </c>
    </row>
    <row r="7" ht="15" customHeight="1">
      <c r="A7" t="inlineStr">
        <is>
          <t>Intervention coverage % of fortifiable</t>
        </is>
      </c>
      <c r="B7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/>
      </c>
      <c r="C7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/>
      </c>
      <c r="D7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/>
      </c>
      <c r="E7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/>
      </c>
      <c r="F7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/>
      </c>
      <c r="G7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/>
      </c>
      <c r="H7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/>
      </c>
      <c r="I7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/>
      </c>
    </row>
    <row r="8" ht="15" customHeight="1">
      <c r="A8" t="inlineStr">
        <is>
          <t>Intervention effective % of fortified</t>
        </is>
      </c>
      <c r="B8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/>
      </c>
      <c r="C8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/>
      </c>
      <c r="D8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/>
      </c>
      <c r="E8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/>
      </c>
      <c r="F8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/>
      </c>
      <c r="G8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/>
      </c>
      <c r="H8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/>
      </c>
      <c r="I8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GF 'Input data to IHME models' workbook (2026-04-16), compliance projections</t>
        </is>
      </c>
      <c r="I10" s="7" t="n">
        <v>0.3333333333333333</v>
      </c>
      <c r="J10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'Input data to IHME models' workbook (2026-04-16), compliance projections</t>
        </is>
      </c>
      <c r="I11" s="7" t="n">
        <v>0.3333333333333333</v>
      </c>
      <c r="J11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'Input data to IHME models' workbook (2026-04-16), compliance projections</t>
        </is>
      </c>
      <c r="I12" s="7" t="n">
        <v>0.4444444444444445</v>
      </c>
      <c r="J12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'Input data to IHME models' workbook (2026-04-16), compliance projections</t>
        </is>
      </c>
      <c r="I13" s="7" t="n">
        <v>0.4444444444444445</v>
      </c>
      <c r="J13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'Input data to IHME models' workbook (2026-04-16), compliance projections</t>
        </is>
      </c>
      <c r="I14" s="7" t="n">
        <v>1</v>
      </c>
      <c r="J14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'Input data to IHME models' workbook (2026-04-16), compliance projections</t>
        </is>
      </c>
      <c r="I15" s="7" t="n">
        <v>1</v>
      </c>
      <c r="J15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'Input data to IHME models' workbook (2026-04-16), compliance projections</t>
        </is>
      </c>
      <c r="I16" s="7" t="n">
        <v>0.9375</v>
      </c>
      <c r="J16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'Input data to IHME models' workbook (2026-04-16), compliance projections</t>
        </is>
      </c>
      <c r="I17" s="7" t="n">
        <v>0.9375</v>
      </c>
      <c r="J17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Intervention coverage % of fortifiable</t>
        </is>
      </c>
      <c r="F26" t="inlineStr">
        <is>
          <t>percentage</t>
        </is>
      </c>
      <c r="G26" t="inlineStr">
        <is>
          <t>%</t>
        </is>
      </c>
      <c r="H26" t="inlineStr">
        <is>
          <t>Andy Garcia email 7/26 (same reach as the NRV scenarios)</t>
        </is>
      </c>
      <c r="I26" t="n">
        <v>0.8</v>
      </c>
      <c r="J26" t="inlineStr">
        <is>
          <t>Program reach among fortifiable salt; unchanged from the 25%/100% NRV scenarios.</t>
        </is>
      </c>
    </row>
    <row r="27">
      <c r="A27" t="inlineStr">
        <is>
          <t>Ethiopia</t>
        </is>
      </c>
      <c r="B27" t="inlineStr">
        <is>
          <t>Salt</t>
        </is>
      </c>
      <c r="C27" t="inlineStr">
        <is>
          <t>Folate</t>
        </is>
      </c>
      <c r="D27" t="inlineStr">
        <is>
          <t>Intervention - 45 ppm</t>
        </is>
      </c>
      <c r="E27" t="inlineStr">
        <is>
          <t>Intervention effective % of fortified</t>
        </is>
      </c>
      <c r="F27" t="inlineStr">
        <is>
          <t>percentage</t>
        </is>
      </c>
      <c r="G27" t="inlineStr">
        <is>
          <t>%</t>
        </is>
      </c>
      <c r="H27" t="inlineStr">
        <is>
          <t>GF 'Input data to IHME models' workbook (2026-04-16), compliance projections</t>
        </is>
      </c>
      <c r="I27" t="n">
        <v>1</v>
      </c>
      <c r="J27" t="inlineStr">
        <is>
          <t>GF 2030 compliance projection = 80% of fortifiable production fortified to standard (2035: 90%). Encoded so that coverage (0.8) x effectiveness = 0.8, matching the encoding used for the other scenarios.</t>
        </is>
      </c>
    </row>
    <row r="28">
      <c r="A28" t="inlineStr">
        <is>
          <t>Ethiopia</t>
        </is>
      </c>
      <c r="B28" t="inlineStr">
        <is>
          <t>Salt</t>
        </is>
      </c>
      <c r="C28" t="inlineStr">
        <is>
          <t>Folate</t>
        </is>
      </c>
      <c r="D28" t="inlineStr">
        <is>
          <t>Intervention - 45 ppm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t="inlineStr">
        <is>
          <t>GF 'Input data to IHME models' workbook (2026-04-16), 'Notes for Discussion' tab</t>
        </is>
      </c>
      <c r="I28" t="n">
        <v>45</v>
      </c>
      <c r="J28" t="inlineStr">
        <is>
          <t>Preliminary Ethiopian standard for DFS-IoFA: 45 +/- 5 ppm (scenario grid says 'Preliminary standard - 40-50 PPM'). 45 mcg/g x 7.1 g/day mean intake = ~320 mcg/day = ~80% of the 400 mcg Codex NRV, i.e. between the two existing NRV scenarios.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2026-08-28T21:39:08Z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