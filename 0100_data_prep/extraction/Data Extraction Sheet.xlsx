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Country-Vehicle Progress" sheetId="1" state="visible" r:id="rId3"/>
    <sheet name="Country-Vehicle Extraction" sheetId="2" state="visible" r:id="rId4"/>
    <sheet name="Country-Vehicle-Fortif Progress" sheetId="3" state="visible" r:id="rId5"/>
    <sheet name="Country-Vehicle-Fort Extraction" sheetId="4" state="visible" r:id="rId6"/>
    <sheet name="Country Progress" sheetId="5" state="visible" r:id="rId7"/>
    <sheet name="Country Extraction" sheetId="6" state="visible" r:id="rId8"/>
    <sheet name="Vehicle Progress" sheetId="7" state="visible" r:id="rId9"/>
    <sheet name="Vehicle Extraction" sheetId="8" state="visible" r:id="rId10"/>
    <sheet name="Universal" sheetId="9" state="visible" r:id="rId11"/>
    <sheet name="Scenario Definition Progress" sheetId="10" state="visible" r:id="rId12"/>
    <sheet name="Scenario Definition Extraction" sheetId="11" state="visible" r:id="rId13"/>
    <sheet name="Data 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<sst xmlns="http://schemas.openxmlformats.org/spreadsheetml/2006/main" count="3185" uniqueCount="329">
  <si>
    <t xml:space="preserve">Country</t>
  </si>
  <si>
    <t xml:space="preserve">Ethiopia</t>
  </si>
  <si>
    <t xml:space="preserve">Nigeria</t>
  </si>
  <si>
    <t xml:space="preserve">India</t>
  </si>
  <si>
    <t xml:space="preserve">Vehicle</t>
  </si>
  <si>
    <t xml:space="preserve">Salt</t>
  </si>
  <si>
    <t xml:space="preserve">Bouillon</t>
  </si>
  <si>
    <t xml:space="preserve">Rice</t>
  </si>
  <si>
    <t xml:space="preserve">Wealth</t>
  </si>
  <si>
    <t xml:space="preserve">Overall</t>
  </si>
  <si>
    <t xml:space="preserve">Quintile</t>
  </si>
  <si>
    <t xml:space="preserve">Data need</t>
  </si>
  <si>
    <t xml:space="preserve">Vehicle consumption by WRA -- any</t>
  </si>
  <si>
    <t xml:space="preserve">Microdata: HCES</t>
  </si>
  <si>
    <t xml:space="preserve">Vehicle consumption by WRA -- amount</t>
  </si>
  <si>
    <t xml:space="preserve">Vehicle consumption by U5 children -- any</t>
  </si>
  <si>
    <t xml:space="preserve">Vehicle consumption by U5 children -- amount</t>
  </si>
  <si>
    <t xml:space="preserve">Vehicle "fortifiability" (essentially amount industrially produced)</t>
  </si>
  <si>
    <t xml:space="preserve">Sex</t>
  </si>
  <si>
    <t xml:space="preserve">Data point name</t>
  </si>
  <si>
    <t xml:space="preserve">Units</t>
  </si>
  <si>
    <t xml:space="preserve">Year</t>
  </si>
  <si>
    <t xml:space="preserve">Data source</t>
  </si>
  <si>
    <t xml:space="preserve">Value</t>
  </si>
  <si>
    <t xml:space="preserve">CI</t>
  </si>
  <si>
    <t xml:space="preserve">SE</t>
  </si>
  <si>
    <t xml:space="preserve">Notes</t>
  </si>
  <si>
    <t xml:space="preserve">All (assumed same)</t>
  </si>
  <si>
    <t xml:space="preserve">Female</t>
  </si>
  <si>
    <t xml:space="preserve">percentage</t>
  </si>
  <si>
    <t xml:space="preserve">%</t>
  </si>
  <si>
    <t xml:space="preserve">GF Nutrition PST Background Data (updated 30 Sep 2026)</t>
  </si>
  <si>
    <t xml:space="preserve">GF 'Burden x Vehicle Matrix'!AF6; GF Coverage (% using the vehicle); national, no quintile breakdown in GF (was 0.97 from 'EPHI data sent by Andy Garcia')</t>
  </si>
  <si>
    <t xml:space="preserve">Total</t>
  </si>
  <si>
    <t xml:space="preserve">mean</t>
  </si>
  <si>
    <t xml:space="preserve">g/day</t>
  </si>
  <si>
    <t xml:space="preserve">GF 'Burden x Vehicle Matrix'!AG6; GF national g/cap as published; only sanity-checks the quintiles (was 7.1 from 'EPHI data sent by Andy Garcia')</t>
  </si>
  <si>
    <t xml:space="preserve">Lowest</t>
  </si>
  <si>
    <t xml:space="preserve">GF 'Ethiopia (stratified)'!AG23; GF g/cap as published (mean over all WRA) (was 7.1 from 'EPHI data sent by Andy Garcia')</t>
  </si>
  <si>
    <t xml:space="preserve">Second</t>
  </si>
  <si>
    <t xml:space="preserve">GF 'Ethiopia (stratified)'!AG24; GF g/cap as published (mean over all WRA) (was 7.2 from 'EPHI data sent by Andy Garcia')</t>
  </si>
  <si>
    <t xml:space="preserve">Middle</t>
  </si>
  <si>
    <t xml:space="preserve">GF 'Ethiopia (stratified)'!AG25; GF g/cap as published (mean over all WRA) (was 7.7 from 'EPHI data sent by Andy Garcia')</t>
  </si>
  <si>
    <t xml:space="preserve">Fourth</t>
  </si>
  <si>
    <t xml:space="preserve">GF 'Ethiopia (stratified)'!AG26; GF g/cap as published (mean over all WRA) (was 7.2 from 'EPHI data sent by Andy Garcia')</t>
  </si>
  <si>
    <t xml:space="preserve">Highest</t>
  </si>
  <si>
    <t xml:space="preserve">GF 'Ethiopia (stratified)'!AG27; GF g/cap as published (mean over all WRA) (was 6.5 from 'EPHI data sent by Andy Garcia')</t>
  </si>
  <si>
    <t xml:space="preserve">standard deviation</t>
  </si>
  <si>
    <t xml:space="preserve">Survey in Addis Ababa</t>
  </si>
  <si>
    <t xml:space="preserve">https://www.ncbi.nlm.nih.gov/pmc/articles/PMC10195378/; among all adults</t>
  </si>
  <si>
    <t xml:space="preserve">Total population (?), not U5 specifically</t>
  </si>
  <si>
    <t xml:space="preserve">EPHI data sent by Andy Garcia</t>
  </si>
  <si>
    <t xml:space="preserve">2022 National Nutrition Survey; Total population (?), not U5 specifically</t>
  </si>
  <si>
    <t xml:space="preserve">GF 'Coverage Over Time'!L18; GF 2035 consolidation; national, applied to every quintile (was 1 from 'Assumption')</t>
  </si>
  <si>
    <t xml:space="preserve">NFCMS</t>
  </si>
  <si>
    <t xml:space="preserve">[97.5,98.8]</t>
  </si>
  <si>
    <t xml:space="preserve">https://www.unicef.org/nigeria/media/9271/file/%20National%20Food%20Consumption%20and%20Micronutrient%20Survey%20(2021).pdf</t>
  </si>
  <si>
    <t xml:space="preserve">[94.2, 98.4]</t>
  </si>
  <si>
    <t xml:space="preserve">Table 169, page 220</t>
  </si>
  <si>
    <t xml:space="preserve">[96.8, 99.3]</t>
  </si>
  <si>
    <t xml:space="preserve">95% CI</t>
  </si>
  <si>
    <t xml:space="preserve">[98.5, 99.8]</t>
  </si>
  <si>
    <t xml:space="preserve">These numbers are for non-pregnant WRA, not all WRA</t>
  </si>
  <si>
    <t xml:space="preserve">[97.8, 99.4]</t>
  </si>
  <si>
    <t xml:space="preserve">[97.5, 99.7]</t>
  </si>
  <si>
    <t xml:space="preserve">[6.0, 6.6]</t>
  </si>
  <si>
    <t xml:space="preserve">Table 170, page 222</t>
  </si>
  <si>
    <t xml:space="preserve">[7.7, 9.0]</t>
  </si>
  <si>
    <t xml:space="preserve">[7.3, 8.7]</t>
  </si>
  <si>
    <t xml:space="preserve">Pregnant and non-pregnant WRA have been stratified in the NFCMS final report, these are the non-pregnant numbers  </t>
  </si>
  <si>
    <t xml:space="preserve">[5.3, 6.5]</t>
  </si>
  <si>
    <t xml:space="preserve">Also, these numbers are across all women, not just those who consume bouillon</t>
  </si>
  <si>
    <t xml:space="preserve">[4.3, 5.4]</t>
  </si>
  <si>
    <t xml:space="preserve">[4.1, 5.2]</t>
  </si>
  <si>
    <t xml:space="preserve">Very rough estimate using SD = IQR / 1.35 (normality assumption), IQR reported in table 170</t>
  </si>
  <si>
    <t xml:space="preserve">[98.3,99.2]</t>
  </si>
  <si>
    <t xml:space="preserve">Annex 43, page 549</t>
  </si>
  <si>
    <t xml:space="preserve">Children 6-59 months old (doesn't include U6months)</t>
  </si>
  <si>
    <t xml:space="preserve">Not stratified by wealth quintile for children; wealth stratification numbers are for WRA</t>
  </si>
  <si>
    <t xml:space="preserve">[4.0, 4.5]</t>
  </si>
  <si>
    <t xml:space="preserve">Table 171, page 223</t>
  </si>
  <si>
    <t xml:space="preserve">[3.8, 4.4]</t>
  </si>
  <si>
    <t xml:space="preserve">Male</t>
  </si>
  <si>
    <t xml:space="preserve">[4.0, 4.6]</t>
  </si>
  <si>
    <t xml:space="preserve">Very rough estimate using SD = IQR / 1.35 (normality assumption), IQR reported in table 171</t>
  </si>
  <si>
    <t xml:space="preserve">GF 'Coverage Over Time'!L13; GF 2035 consolidation; national, applied to every quintile (was 0.979612640163099 from 'NFCMS')</t>
  </si>
  <si>
    <t xml:space="preserve">GF 'Coverage Over Time'!L13; GF 2035 consolidation; national, applied to every quintile (was 0.965732087227414 from 'NFCMS')</t>
  </si>
  <si>
    <t xml:space="preserve">GF 'Coverage Over Time'!L13; GF 2035 consolidation; national, applied to every quintile (was 0.9785932721712538 from 'NFCMS')</t>
  </si>
  <si>
    <t xml:space="preserve">GF 'Coverage Over Time'!L13; GF 2035 consolidation; national, applied to every quintile (was 0.9808467741935484 from 'NFCMS')</t>
  </si>
  <si>
    <t xml:space="preserve">GF 'Coverage Over Time'!L13; GF 2035 consolidation; national, applied to every quintile (was 0.9888438133874239 from 'NFCMS')</t>
  </si>
  <si>
    <t xml:space="preserve">GF 'Coverage Over Time'!L13; GF 2035 consolidation; national, applied to every quintile (was 0.9837728194726166 from 'NFCMS')</t>
  </si>
  <si>
    <t xml:space="preserve">Laura Key (BCG), "India_Bangladesh_data" (note in "Vehicles - preschool!Q48" of "20260416_Input data to IHME models.xlsx"</t>
  </si>
  <si>
    <t xml:space="preserve"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</si>
  <si>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 xml:space="preserve">GF 'Coverage Over Time'!L10; GF 2035 consolidation; national, applied to every quintile (was 0.74 from 'BCG-measured tonnage')</t>
  </si>
  <si>
    <t xml:space="preserve">Table 172, page 224; based on email from Jonathan Gorstein 8/31 we have assumed the number reported is among consumers, so have multiplied it by coverage here</t>
  </si>
  <si>
    <t xml:space="preserve">GF 'Nigeria (stratified)'!Y14; x WRA coverage; Keep Nigeria rice on the among-consumers basis used in earlier runs (JG email 8/31), so results stay comparable. NFCMS usual intake is probably population-wide (Juhi, Oct 2026); revisit with P007 [decision D006] (was 11.491200000000001 from 'NFCMS')</t>
  </si>
  <si>
    <t xml:space="preserve">GF 'Burden x Vehicle Matrix'!X9; GF Coverage (% using the vehicle); Total only sanity-checks the quintiles (was 0.536 from 'INTAKE')</t>
  </si>
  <si>
    <t xml:space="preserve">INTAKE</t>
  </si>
  <si>
    <t xml:space="preserve">Very rough estimate using SD = IQR / 1.35 (normality assumption), IQR reported in table 172</t>
  </si>
  <si>
    <t xml:space="preserve">Table 173, page 224; based on email from Jonathan Gorstein 8/31 we have assumed the number reported is among consumers, so have multiplied it by coverage here</t>
  </si>
  <si>
    <t xml:space="preserve">Very rough estimate using SD = IQR / 1.35 (normality assumption), IQR reported in table 173</t>
  </si>
  <si>
    <t xml:space="preserve">INTAKE tabulation of NFCMS (?) shared by Jonathan Gorstein on 8/30; presumably in WRA</t>
  </si>
  <si>
    <t xml:space="preserve">GF 'Input data to IHME models' workbook (2026-04-16) (NFCMS 2021), Vehicles - WRA</t>
  </si>
  <si>
    <t xml:space="preserve">Coverage 99.3</t>
  </si>
  <si>
    <t xml:space="preserve">Mean per capita salt intake; at 99.3% coverage the among-consumers vs population-mean distinction is immaterial.</t>
  </si>
  <si>
    <t xml:space="preserve">Assumption</t>
  </si>
  <si>
    <t xml:space="preserve"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</si>
  <si>
    <t xml:space="preserve">GF 'Input data to IHME models' workbook (2026-04-16) (NFCMS 2021), Vehicles - preschool</t>
  </si>
  <si>
    <t xml:space="preserve">GF 'Input data to IHME models' workbook (2026-04-16), Vehicles - WRA</t>
  </si>
  <si>
    <t xml:space="preserve">Industry consolidation 95%; consistent with GAIN's 93% coverage / 90% compliance for the iodization program.</t>
  </si>
  <si>
    <t xml:space="preserve">Wheat</t>
  </si>
  <si>
    <t xml:space="preserve">GF 'Coverage Over Time'!L8; GF 2035 consolidation; national, applied to every quintile (was 0.74 from 'DUMMY (MIC-7549)')</t>
  </si>
  <si>
    <t xml:space="preserve">GF 'Burden x Vehicle Matrix'!Q9; GF national g/cap as published; only sanity-checks the quintiles (was 32.803200000000004 from 'DUMMY (MIC-7549)')</t>
  </si>
  <si>
    <t xml:space="preserve">GF 'Nigeria (stratified)'!Q14; GF g/cap as published (mean over all WRA) (was 11.491200000000001 from 'DUMMY (MIC-7549)')</t>
  </si>
  <si>
    <t xml:space="preserve">GF 'Nigeria (stratified)'!Q15; GF g/cap as published (mean over all WRA) (was 23.4752 from 'DUMMY (MIC-7549)')</t>
  </si>
  <si>
    <t xml:space="preserve">GF 'Nigeria (stratified)'!Q16; GF g/cap as published (mean over all WRA) (was 33.1422 from 'DUMMY (MIC-7549)')</t>
  </si>
  <si>
    <t xml:space="preserve">GF 'Nigeria (stratified)'!Q17; GF g/cap as published (mean over all WRA) (was 46.652100000000004 from 'DUMMY (MIC-7549)')</t>
  </si>
  <si>
    <t xml:space="preserve">GF 'Nigeria (stratified)'!Q18; GF g/cap as published (mean over all WRA) (was 53.742000000000004 from 'DUMMY (MIC-7549)')</t>
  </si>
  <si>
    <t xml:space="preserve">GF 'Burden x Vehicle Matrix'!P9; GF Coverage (% using the vehicle); Total only sanity-checks the quintiles (was 0.536 from 'DUMMY (MIC-7549)')</t>
  </si>
  <si>
    <t xml:space="preserve">GF 'Nigeria (stratified)'!P14; GF Coverage (% using the vehicle) (was 0.336 from 'DUMMY (MIC-7549)')</t>
  </si>
  <si>
    <t xml:space="preserve">GF 'Nigeria (stratified)'!P15; GF Coverage (% using the vehicle) (was 0.448 from 'DUMMY (MIC-7549)')</t>
  </si>
  <si>
    <t xml:space="preserve">GF 'Nigeria (stratified)'!P16; GF Coverage (% using the vehicle) (was 0.546 from 'DUMMY (MIC-7549)')</t>
  </si>
  <si>
    <t xml:space="preserve">GF 'Nigeria (stratified)'!P17; GF Coverage (% using the vehicle) (was 0.633 from 'DUMMY (MIC-7549)')</t>
  </si>
  <si>
    <t xml:space="preserve">GF 'Nigeria (stratified)'!P18; GF Coverage (% using the vehicle) (was 0.676 from 'DUMMY (MIC-7549)')</t>
  </si>
  <si>
    <t xml:space="preserve">Derived from NFCMS, Table 147, p 193: literature CV applied to consumers</t>
  </si>
  <si>
    <t xml:space="preserve">lit:85610524 / lit:de716389 (NFCMS, Table 147, p 193); consumer CV 0.832 (= 32.44 / 39); consumer mean = 39 / coverage 0.28; SD over all women = sqrt(p (CV mu)^2 + p (1 - p) mu^2); NFCMS usual-intake SDs are incompatible with the zero-inflated model at 19-35% coverage; give consumers the NFCMS CV (CONSUMPTION_DISTRIBUTION.md section 4) [decision D007] (was 40.07407407407407 from 'DUMMY (MIC-7549)')</t>
  </si>
  <si>
    <t xml:space="preserve">lit:5415905e / lit:d2a4ac3f (NFCMS, Table 147, p 193); consumer CV 0.824 (= 13.26 / 16.1); consumer mean = 16.1 / coverage 0.191; SD over all women = sqrt(p (CV mu)^2 + p (1 - p) mu^2); NFCMS usual-intake SDs are incompatible with the zero-inflated model at 19-35% coverage; give consumers the NFCMS CV (CONSUMPTION_DISTRIBUTION.md section 4) [decision D007] (was 24.814814814814813 from 'DUMMY (MIC-7549)')</t>
  </si>
  <si>
    <t xml:space="preserve">lit:6793fc86 / lit:bad76af0 (NFCMS, Table 147, p 193); consumer CV 0.810 (= 18.96 / 23.4); consumer mean = 23.4 / coverage 0.253; SD over all women = sqrt(p (CV mu)^2 + p (1 - p) mu^2); NFCMS usual-intake SDs are incompatible with the zero-inflated model at 19-35% coverage; give consumers the NFCMS CV (CONSUMPTION_DISTRIBUTION.md section 4) [decision D007] (was 33.333333333333336 from 'DUMMY (MIC-7549)')</t>
  </si>
  <si>
    <t xml:space="preserve">lit:bbf81d86 / lit:edddfdd7 (NFCMS, Table 147, p 193); consumer CV 0.719 (= 27.48 / 38.2); consumer mean = 38.2 / coverage 0.305; SD over all women = sqrt(p (CV mu)^2 + p (1 - p) mu^2); NFCMS usual-intake SDs are incompatible with the zero-inflated model at 19-35% coverage; give consumers the NFCMS CV (CONSUMPTION_DISTRIBUTION.md section 4) [decision D007] (was 35.03703703703703 from 'DUMMY (MIC-7549)')</t>
  </si>
  <si>
    <t xml:space="preserve">lit:8aa0d9e8 / lit:d4410159 (NFCMS, Table 147, p 193); consumer CV 0.636 (= 31.33 / 49.3); consumer mean = 49.3 / coverage 0.333; SD over all women = sqrt(p (CV mu)^2 + p (1 - p) mu^2); NFCMS usual-intake SDs are incompatible with the zero-inflated model at 19-35% coverage; give consumers the NFCMS CV (CONSUMPTION_DISTRIBUTION.md section 4) [decision D007] (was 37.77777777777778 from 'DUMMY (MIC-7549)')</t>
  </si>
  <si>
    <t xml:space="preserve">lit:8b148579 / lit:b1c4b09c (NFCMS, Table 147, p 193); consumer CV 0.528 (= 32.96 / 62.4); consumer mean = 62.4 / coverage 0.353; SD over all women = sqrt(p (CV mu)^2 + p (1 - p) mu^2); NFCMS usual-intake SDs are incompatible with the zero-inflated model at 19-35% coverage; give consumers the NFCMS CV (CONSUMPTION_DISTRIBUTION.md section 4) [decision D007] (was 39.03703703703703 from 'DUMMY (MIC-7549)')</t>
  </si>
  <si>
    <t xml:space="preserve">Literature extraction: NFCMS, Table 148, p 194</t>
  </si>
  <si>
    <t xml:space="preserve">lit:09d00f55 (Vehicle Consumption row 22: NFCMS, Table 148, p 194); NFCMS Table 148 U5 wheat intake replaces the value derived from rice [decision D003] (was 20.5288 from 'DUMMY (MIC-7549)')</t>
  </si>
  <si>
    <t xml:space="preserve">lit:4ebcf9f8 (Vehicle Consumption row 24: NFCMS, Table 148, p 194); NFCMS Table 148 U5 wheat intake (girls) replaces the value derived from rice [decision D004] (was 19.028000000000002 from 'DUMMY (MIC-7549)')</t>
  </si>
  <si>
    <t xml:space="preserve">lit:abec9d3d (Vehicle Consumption row 23: NFCMS, Table 148, p 194); NFCMS Table 148 U5 wheat intake (boys) replaces the value derived from rice [decision D005] (was 21.976000000000003 from 'DUMMY (MIC-7549)')</t>
  </si>
  <si>
    <t xml:space="preserve">Derived from NFCMS, Table 148, p 194: literature CV applied to consumers</t>
  </si>
  <si>
    <t xml:space="preserve">lit:93a5fa19 / lit:09d00f55 (NFCMS, Table 148, p 194); consumer CV 0.823 (= 21.41 / 26); consumer mean = 26 / coverage 0.28; SD over all children (national WRA coverage) = sqrt(p (CV mu)^2 + p (1 - p) mu^2); As D007, for U5 rows [decision D008] (was 25.62962962962963 from 'DUMMY (MIC-7549)')</t>
  </si>
  <si>
    <t xml:space="preserve">lit:c26111d6 / lit:4ebcf9f8 (NFCMS, Table 148, p 194); consumer CV 0.758 (= 19.04 / 25.1); consumer mean = 25.1 / coverage 0.28; SD over all children (national WRA coverage) = sqrt(p (CV mu)^2 + p (1 - p) mu^2); As D007, for U5 rows [decision D008] (was 23.999999999999996 from 'DUMMY (MIC-7549)')</t>
  </si>
  <si>
    <t xml:space="preserve">lit:96c07e23 / lit:abec9d3d (NFCMS, Table 148, p 194); consumer CV 0.881 (= 23.7 / 26.9); consumer mean = 26.9 / coverage 0.28; SD over all children (national WRA coverage) = sqrt(p (CV mu)^2 + p (1 - p) mu^2); As D007, for U5 rows [decision D008] (was 27.333333333333336 from 'DUMMY (MIC-7549)')</t>
  </si>
  <si>
    <t xml:space="preserve">GF 'Burden x Vehicle Matrix'!P9; GF Coverage (% using the vehicle); U5 row mirrors WRA (was 0.536 from 'DUMMY (MIC-7549)')</t>
  </si>
  <si>
    <t xml:space="preserve">GF 'Nigeria (stratified)'!P14; GF Coverage (% using the vehicle); U5 row mirrors WRA (was 0.336 from 'DUMMY (MIC-7549)')</t>
  </si>
  <si>
    <t xml:space="preserve">GF 'Nigeria (stratified)'!P15; GF Coverage (% using the vehicle); U5 row mirrors WRA (was 0.448 from 'DUMMY (MIC-7549)')</t>
  </si>
  <si>
    <t xml:space="preserve">GF 'Nigeria (stratified)'!P16; GF Coverage (% using the vehicle); U5 row mirrors WRA (was 0.546 from 'DUMMY (MIC-7549)')</t>
  </si>
  <si>
    <t xml:space="preserve">GF 'Nigeria (stratified)'!P17; GF Coverage (% using the vehicle); U5 row mirrors WRA (was 0.633 from 'DUMMY (MIC-7549)')</t>
  </si>
  <si>
    <t xml:space="preserve">GF 'Nigeria (stratified)'!P18; GF Coverage (% using the vehicle); U5 row mirrors WRA (was 0.676 from 'DUMMY (MIC-7549)')</t>
  </si>
  <si>
    <t xml:space="preserve">DUMMY (MIC-7580)</t>
  </si>
  <si>
    <t xml:space="preserve">DUMMY PLACEHOLDER (MIC-7580): value copied from the Nigeria wheat placeholder row (itself copied from Nigeria rice). Replace with real India wheat data.</t>
  </si>
  <si>
    <t xml:space="preserve">DUMMY PLACEHOLDER (MIC-7580): Nigeria wheat WRA Total SD, applied to every quintile. Replace with real India wheat data.</t>
  </si>
  <si>
    <t xml:space="preserve">DUMMY PLACEHOLDER (MIC-7580): value copied from the India wheat placeholder row. Replace with real India salt data.</t>
  </si>
  <si>
    <t xml:space="preserve">DUMMY (MIC-7585)</t>
  </si>
  <si>
    <t xml:space="preserve">DUMMY PLACEHOLDER (MIC-7585): value copied from the India wheat placeholder row. Replace with real Ethiopia wheat data.</t>
  </si>
  <si>
    <t xml:space="preserve">Fortificant</t>
  </si>
  <si>
    <t xml:space="preserve">Folate</t>
  </si>
  <si>
    <t xml:space="preserve">Iron</t>
  </si>
  <si>
    <t xml:space="preserve">Vehicle fortification at baseline -- any</t>
  </si>
  <si>
    <t xml:space="preserve">Zero</t>
  </si>
  <si>
    <t xml:space="preserve">Not modeled</t>
  </si>
  <si>
    <t xml:space="preserve">Vehicle fortification at baseline -- amount among fortified</t>
  </si>
  <si>
    <t xml:space="preserve">N/A</t>
  </si>
  <si>
    <t xml:space="preserve">Baseline effective % of fortified</t>
  </si>
  <si>
    <t xml:space="preserve">concentration</t>
  </si>
  <si>
    <t xml:space="preserve">mcg/g</t>
  </si>
  <si>
    <t xml:space="preserve">Jonathan Gorstein, 8/30</t>
  </si>
  <si>
    <t xml:space="preserve">Assumption: labeled as fortified = fortified (basically true for salt). Divided "consumed food labeled as fortified" by "consumed food".</t>
  </si>
  <si>
    <t xml:space="preserve"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</si>
  <si>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 xml:space="preserve"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</si>
  <si>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</si>
  <si>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 xml:space="preserve">Originally in mg/100g; https://www.wolframalpha.com/input?i=4.25+mg+per+100+grams+in+micrograms+per+gram</t>
  </si>
  <si>
    <t xml:space="preserve">Originally in mcg/100g; https://www.wolframalpha.com/input?i=12.5+mcg+per+100+grams+in+micrograms+per+gram</t>
  </si>
  <si>
    <t xml:space="preserve">Jonathan Gorstein, 8/15</t>
  </si>
  <si>
    <t xml:space="preserve">Same as intervention, for now</t>
  </si>
  <si>
    <t xml:space="preserve">Does not matter, no baseline fortification</t>
  </si>
  <si>
    <t xml:space="preserve">Nigeria mandates salt iodization, not folic acid; zero baseline FA recorded as data per the checklist.</t>
  </si>
  <si>
    <t xml:space="preserve">GF 'Burden x Vehicle Matrix'!O9 x GF 'Burden x Vehicle Matrix'!R9; consolidation x sqrt(compliance) = 1.0 x 0.79 (was 0 from 'DUMMY (MIC-7549)')</t>
  </si>
  <si>
    <t xml:space="preserve">Literature extraction: NFCMS,Table</t>
  </si>
  <si>
    <t xml:space="preserve">lit:4091afc5 (MN baseline fortification row 4: NFCMS,Table); Assume current concentration is at Nigeria standard [decision D019] (was 0 from 'DUMMY (MIC-7549)')</t>
  </si>
  <si>
    <t xml:space="preserve">GF 'Burden x Vehicle Matrix'!R9; sqrt(current compliance 0.63), 2 d.p. (was 0.8 from 'DUMMY (MIC-7549)')</t>
  </si>
  <si>
    <t xml:space="preserve">GF 'Burden x Vehicle Matrix'!O9 x GF 'Burden x Vehicle Matrix'!R9; consolidation x sqrt(compliance) = 1.0 x 0.79 (was 0.0 from 'DUMMY (SSCI-2784)')</t>
  </si>
  <si>
    <t xml:space="preserve">Decision D020</t>
  </si>
  <si>
    <t xml:space="preserve">value typed in decision D020; 2.6 mg/kg from Table 2 premix values from Technoserve [decision D020] (was 0.0 from 'DUMMY (SSCI-2784)')</t>
  </si>
  <si>
    <t xml:space="preserve">GF 'Burden x Vehicle Matrix'!R9; sqrt(current compliance 0.63), 2 d.p. (was 0.8 from 'DUMMY (SSCI-2784)')</t>
  </si>
  <si>
    <t xml:space="preserve">Decision D024</t>
  </si>
  <si>
    <t xml:space="preserve">value typed in decision D024; India wheat baseline share fortified = consolidation 0.15 x sqrt(5% compliance) = 0.15 x 0.2236; see D023. Confirm with GF [decision D024] (was 0 from 'DUMMY (MIC-7580)')</t>
  </si>
  <si>
    <t xml:space="preserve">Decision D023</t>
  </si>
  <si>
    <t xml:space="preserve">value typed in decision D023; sqrt, 2 d.p.; GF cover sheet gives India wheat current compliance 5%, Coverage Over Time says 50% (GF update log 28 Sep says it was changed from 5% to 50%). 5% judged more plausible; confirm with GF. sqrt split [decision D023] (was 0.8 from 'DUMMY (MIC-7580)')</t>
  </si>
  <si>
    <t xml:space="preserve">DUMMY PLACEHOLDER (MIC-7585): value copied from the Nigeria wheat folate placeholder row. Replace with real Ethiopia wheat data.</t>
  </si>
  <si>
    <t xml:space="preserve">value typed in decision D024; India wheat baseline share fortified = consolidation 0.15 x sqrt(5% compliance) = 0.15 x 0.2236; see D023. Confirm with GF [decision D024] (was 0.0 from 'DUMMY (MIC-7585)')</t>
  </si>
  <si>
    <t xml:space="preserve">DUMMY PLACEHOLDER (MIC-7585): value copied from the Nigeria wheat folate placeholder row. Replace with real India wheat data.</t>
  </si>
  <si>
    <t xml:space="preserve">value typed in decision D023; sqrt, 2 d.p.; GF cover sheet gives India wheat current compliance 5%, Coverage Over Time says 50% (GF update log 28 Sep says it was changed from 5% to 50%). 5% judged more plausible; confirm with GF. sqrt split [decision D023] (was 0.8 from 'DUMMY (MIC-7585)')</t>
  </si>
  <si>
    <t xml:space="preserve">Pregnant people hemoglobin levels at baseline</t>
  </si>
  <si>
    <t xml:space="preserve">GBD</t>
  </si>
  <si>
    <t xml:space="preserve">DHS 2018</t>
  </si>
  <si>
    <t xml:space="preserve">DHS 2016</t>
  </si>
  <si>
    <t xml:space="preserve">Serum/plasma folate levels at baseline</t>
  </si>
  <si>
    <t xml:space="preserve">RBC folate levels at baseline</t>
  </si>
  <si>
    <t xml:space="preserve">LBWSG prevalence</t>
  </si>
  <si>
    <t xml:space="preserve">CGF prevalence</t>
  </si>
  <si>
    <t xml:space="preserve">Measles prevalence</t>
  </si>
  <si>
    <t xml:space="preserve">We have microdata on whether child has received Measles 1 vaccination.</t>
  </si>
  <si>
    <t xml:space="preserve">LRI prevalence</t>
  </si>
  <si>
    <t xml:space="preserve">We have microdata on whether child has had cough in the last two weeks, or ARI prevalence in DHS final reports.</t>
  </si>
  <si>
    <t xml:space="preserve">Malaria prevalence</t>
  </si>
  <si>
    <t xml:space="preserve">For India, we might have to use the DHS microdata for whether child has had fever in the last two weeks as a proxy for malaria.</t>
  </si>
  <si>
    <t xml:space="preserve">U5 hemoglobin levels at baseline</t>
  </si>
  <si>
    <t xml:space="preserve">Maternal disorders incidence</t>
  </si>
  <si>
    <t xml:space="preserve">Using DHS' maternal mortality ratio as a proxy for maternal disorders</t>
  </si>
  <si>
    <t xml:space="preserve">Maternal hemorrhage incidence</t>
  </si>
  <si>
    <t xml:space="preserve">Using DHS' maternal mortality ratio as a proxy for maternal hemorrhage</t>
  </si>
  <si>
    <t xml:space="preserve">Neural tube defect deaths</t>
  </si>
  <si>
    <t xml:space="preserve">All</t>
  </si>
  <si>
    <t xml:space="preserve">Serum folate levels at baseline </t>
  </si>
  <si>
    <t xml:space="preserve">?</t>
  </si>
  <si>
    <t xml:space="preserve">potential data gap!  </t>
  </si>
  <si>
    <t xml:space="preserve">Back-calculate from GBD NTDs? (and DHS NTDs for wealth quintiles?)</t>
  </si>
  <si>
    <t xml:space="preserve">Nigeria </t>
  </si>
  <si>
    <t xml:space="preserve">Red blood cell folate levels at baseline -- Also called “whole blood lysate”? </t>
  </si>
  <si>
    <t xml:space="preserve">nmol/L?</t>
  </si>
  <si>
    <t xml:space="preserve">potential data gap! </t>
  </si>
  <si>
    <t xml:space="preserve">Pregnancies longer than 7 months </t>
  </si>
  <si>
    <t xml:space="preserve">Most recent DHS for Ethiopia</t>
  </si>
  <si>
    <t xml:space="preserve">Ethiopia DHS survey report Table 8.4 </t>
  </si>
  <si>
    <t xml:space="preserve">Most recent DHS for Nigeria</t>
  </si>
  <si>
    <t xml:space="preserve">Nigeria DHS survey report -  Table 8.4 </t>
  </si>
  <si>
    <t xml:space="preserve">Nigeria DHS survey report -  Table 8.4 </t>
  </si>
  <si>
    <t xml:space="preserve"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</si>
  <si>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</si>
  <si>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</si>
  <si>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 xml:space="preserve"> </t>
  </si>
  <si>
    <t xml:space="preserve">NTD stillbirth to death ratio </t>
  </si>
  <si>
    <t xml:space="preserve">Ratio</t>
  </si>
  <si>
    <t xml:space="preserve">From CHAMPS? </t>
  </si>
  <si>
    <t xml:space="preserve">There is also some data on stillbirth-to-livebirth ratio among NTDs in the literature, see Blencowe et al 2018.</t>
  </si>
  <si>
    <t xml:space="preserve">Assumed no variation between quintiles</t>
  </si>
  <si>
    <t xml:space="preserve">Iron fortification/consumption effect on hemoglobin</t>
  </si>
  <si>
    <t xml:space="preserve">Iron fortification/consumption effect on birthweight</t>
  </si>
  <si>
    <t xml:space="preserve">Mean difference</t>
  </si>
  <si>
    <t xml:space="preserve">g/L</t>
  </si>
  <si>
    <t xml:space="preserve">Unpublished</t>
  </si>
  <si>
    <t xml:space="preserve">Dorbu et al. Nutritional anemia reductions due to food fortification among women of childbearing age: a systematic review and Bayesian meta-analysis. Unpublished data.</t>
  </si>
  <si>
    <t xml:space="preserve">0.9-5.71</t>
  </si>
  <si>
    <t xml:space="preserve"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</si>
  <si>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 xml:space="preserve">Can Double Fortification of Salt with Iron and Iodine Reduce Anemia, Iron Deficiency Anemia, Iron Deficiency, Iodine Deficiency, and Functional Outcomes? Evidence of Efficacy, Effectiveness, and Safety</t>
  </si>
  <si>
    <t xml:space="preserve">2.3-6.4</t>
  </si>
  <si>
    <t xml:space="preserve">https://www.ncbi.nlm.nih.gov/pmc/articles/PMC7882357/; meta-analysis of 22 studies</t>
  </si>
  <si>
    <t xml:space="preserve">Effect of iron-fortified foods on hematologic and biological outcomes: systematic review of randomized controlled trials</t>
  </si>
  <si>
    <t xml:space="preserve">2.8-5.6</t>
  </si>
  <si>
    <t xml:space="preserve">https://www.sciencedirect.com/science/article/pii/S0002916523028915; could not find anything bouillon-specific</t>
  </si>
  <si>
    <t xml:space="preserve">g/(mg/person-day)</t>
  </si>
  <si>
    <t xml:space="preserve">Anaemia, prenatal iron use, and risk of adverse pregnancy outcomes: systematic review and meta-analysis</t>
  </si>
  <si>
    <t xml:space="preserve">0.729 to 2.611</t>
  </si>
  <si>
    <t xml:space="preserve">https://www.bmj.com/content/346/bmj.f3443; study of supplementation at higher doses than fortification; selected the effect among trials &lt;66mg/day as all fortification would fall in this range</t>
  </si>
  <si>
    <t xml:space="preserve">DUMMY (MIC-7549)</t>
  </si>
  <si>
    <t xml:space="preserve">DUMMY PLACEHOLDER (MIC-7549): value copied from the corresponding Rice row. Replace with real wheat data.</t>
  </si>
  <si>
    <t xml:space="preserve">DUMMY PLACEHOLDER (MIC-7580): copied from the wheat row; every vehicle uses 1.67. Confirm for salt.</t>
  </si>
  <si>
    <t xml:space="preserve">Folate fortification/consumption effect on serum/plasma folate</t>
  </si>
  <si>
    <t xml:space="preserve">    Rice</t>
  </si>
  <si>
    <t xml:space="preserve">Risk Difference</t>
  </si>
  <si>
    <t xml:space="preserve">nmol/L</t>
  </si>
  <si>
    <t xml:space="preserve">WHO 2018 systematic review</t>
  </si>
  <si>
    <t xml:space="preserve">2.00-6.60</t>
  </si>
  <si>
    <t xml:space="preserve">https://iris.who.int/bitstream/handle/10665/272535/9789241550291-eng.pdf?ua=1 found a single study</t>
  </si>
  <si>
    <t xml:space="preserve">Folate fortification/consumption effect on RBC folate</t>
  </si>
  <si>
    <t xml:space="preserve">Relative Risk (linear dose-response)</t>
  </si>
  <si>
    <t xml:space="preserve">percent RBC increase per 10% increase in folate intake</t>
  </si>
  <si>
    <t xml:space="preserve">Marchetta et al, 2015</t>
  </si>
  <si>
    <t xml:space="preserve">4-9</t>
  </si>
  <si>
    <t xml:space="preserve">Serum/plasma folate effect on RBC folate</t>
  </si>
  <si>
    <t xml:space="preserve">RBC folate effect on NTD incidence</t>
  </si>
  <si>
    <t xml:space="preserve">non-linear relationship</t>
  </si>
  <si>
    <t xml:space="preserve">(Daly et al, 1995)</t>
  </si>
  <si>
    <t xml:space="preserve">ln (odds of NTD risk) = 1.6563 − 1.2193 × ln (RBC) </t>
  </si>
  <si>
    <t xml:space="preserve">(Crider et al, 2014)</t>
  </si>
  <si>
    <t xml:space="preserve">ln (odds of NTD risk) = 4.57 − 1.70 × ln (RBC)</t>
  </si>
  <si>
    <t xml:space="preserve">NTD stillbirth-to-death ratio</t>
  </si>
  <si>
    <t xml:space="preserve">NTD Stillbirths paper in Lancet Global Health based on CHAMPS MITS data</t>
  </si>
  <si>
    <t xml:space="preserve">51/18</t>
  </si>
  <si>
    <t xml:space="preserve">There might be more data available since this paper was published</t>
  </si>
  <si>
    <t xml:space="preserve">Scenario</t>
  </si>
  <si>
    <t xml:space="preserve">Intervention - 25% NRV</t>
  </si>
  <si>
    <t xml:space="preserve">Intervention - 100% NRV</t>
  </si>
  <si>
    <t xml:space="preserve">Intervention - 45 ppm</t>
  </si>
  <si>
    <t xml:space="preserve">Intervention</t>
  </si>
  <si>
    <t xml:space="preserve">Vehicle fortification in intervention -- amount among fortified</t>
  </si>
  <si>
    <t xml:space="preserve">Complete</t>
  </si>
  <si>
    <t xml:space="preserve">Intervention coverage % of fortifiable</t>
  </si>
  <si>
    <t xml:space="preserve">Intervention effective % of fortified</t>
  </si>
  <si>
    <t xml:space="preserve">GF 'Coverage Over Time'!M13; sqrt(2035 compliance 0.85), 2 d.p. (equal split, KB 9/9) (was 0.715 from "GF Apr-2026 workbook 'Vehicles - WRA' BI10/BL10 (2035 compliance 50%); Kathy Banke email 9/9/2026: use 2035 targets")</t>
  </si>
  <si>
    <t xml:space="preserve">GF 'Coverage Over Time'!M10; sqrt(2035 compliance 0.85), 2 d.p. (equal split, KB 9/9) (was 0.95 from "GF Apr-2026 workbook 'Vehicles - WRA' V10/Y10 (2035 compliance 90%); Kathy Banke email 9/9/2026: use 2035 targets")</t>
  </si>
  <si>
    <t xml:space="preserve">GF 'Coverage Over Time'!M18; sqrt(2035 compliance 0.85), 2 d.p. (equal split, KB 9/9) (was 0.95 from "GF Apr-2026 workbook 'Vehicles - WRA' AZ27 (2035 FA compliance 90%); Kathy Banke email 9/9/2026: use 2035 targets")</t>
  </si>
  <si>
    <t xml:space="preserve">GF Apr-2026 workbook 'Vehicles - WRA' V55/Y55 (2035 compliance 85%); Kathy Banke email 9/9/2026: use 2035 targets</t>
  </si>
  <si>
    <t xml:space="preserve">coverage = effectiveness = sqrt(0.85) ~ 0.92, product 0.8464 realizes the 2035 compliance target</t>
  </si>
  <si>
    <t xml:space="preserve">Andy Garcia email 7/26</t>
  </si>
  <si>
    <t xml:space="preserve">15% Nigeria-specific NRV per 2.5 grams; https://www.wolframalpha.com/input?i=15%25+of+22mg+per+2.5+grams+in+mcg%2Fg</t>
  </si>
  <si>
    <t xml:space="preserve">15% Codex (60mcg) per 2.5 grams; https://www.wolframalpha.com/input?i=15%25+of+400mcg+per+2.5+grams+in+mcg%2Fg</t>
  </si>
  <si>
    <t xml:space="preserve">Jonathan Gorstein email 8/30</t>
  </si>
  <si>
    <t xml:space="preserve">https://www.wolframalpha.com/input?i=4+mg%2F100g+in+mcg%2Fg</t>
  </si>
  <si>
    <t xml:space="preserve">https://www.wolframalpha.com/input?i=0.169+mg%2F100g+in+mcg%2Fg</t>
  </si>
  <si>
    <t xml:space="preserve">25% Codex (100mcg) per 7.1 grams</t>
  </si>
  <si>
    <t xml:space="preserve">100% Codex (400mcg) per 7.1 grams</t>
  </si>
  <si>
    <t xml:space="preserve">20260416_Input data to IHME models.xlsx spreadsheet from Jonathan Gorstein, attached to Email 4/16/2026</t>
  </si>
  <si>
    <t xml:space="preserve">45 ppm = 45 µg/g</t>
  </si>
  <si>
    <t xml:space="preserve">FSSAI</t>
  </si>
  <si>
    <t xml:space="preserve">Same as baseline, PDS rice; see county-vehicle-fort extraction</t>
  </si>
  <si>
    <t xml:space="preserve">https://nyaspubs.onlinelibrary.wiley.com/doi/full/10.1111/nyas.12478</t>
  </si>
  <si>
    <t xml:space="preserve">https://www.wolframalpha.com/input?i=0.13+mg%2F100g+in+mcg%2Fg</t>
  </si>
  <si>
    <t xml:space="preserve">GAIN compliance targets (GF Apr-2026 workbook, 'Ref' tab): Nigeria salt new compliance 90%</t>
  </si>
  <si>
    <t xml:space="preserve"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</si>
  <si>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 xml:space="preserve">Codex NRV; convention mirrors Ethiopia ('NRV per average intake')</t>
  </si>
  <si>
    <t xml:space="preserve">25% of the Codex 400 mcg NRV per 3.9 g/day mean WRA salt intake. Convention pending GF confirmation of the Nigerian salt FA standard (scenario grid lists FA @ 25% and @ 100% NRV as net-new #5/#6).</t>
  </si>
  <si>
    <t xml:space="preserve">100% of the Codex 400 mcg NRV per 3.9 g/day mean WRA salt intake. Convention pending GF confirmation of the Nigerian salt FA standard (scenario grid lists FA @ 25% and @ 100% NRV as net-new #5/#6).</t>
  </si>
  <si>
    <t xml:space="preserve">GF 'Coverage Over Time'!M8; sqrt(2035 compliance 0.85), 2 d.p. (equal split, KB 9/9) (was 0.95 from 'DUMMY (MIC-7549)')</t>
  </si>
  <si>
    <t xml:space="preserve">GF 'Coverage Over Time'!M8; sqrt(2035 compliance 0.85), 2 d.p. (equal split, KB 9/9) (was 0.95 from 'DUMMY (SSCI-2784)')</t>
  </si>
  <si>
    <t xml:space="preserve">Literature extraction: TechnoServe, 2019; Table 2</t>
  </si>
  <si>
    <t xml:space="preserve">lit:f2b3831d (MN intervention fortification row 6: TechnoServe, 2019; Table 2); Nigeria mandatory standard for folic acid in wheat flour (TechnoServe 2019 Table 2); replaces the rice placeholder (1.69) [decision D002] (was 1.69 from 'DUMMY (SSCI-2784)')</t>
  </si>
  <si>
    <t xml:space="preserve">Name</t>
  </si>
  <si>
    <t xml:space="preserve">Full Title</t>
  </si>
  <si>
    <t xml:space="preserve">Link</t>
  </si>
  <si>
    <t xml:space="preserve">Authors</t>
  </si>
  <si>
    <t xml:space="preserve">In Sharepoint?</t>
  </si>
  <si>
    <t xml:space="preserve">National Food Consumption
and Micronutrient Survey
2021</t>
  </si>
  <si>
    <t xml:space="preserve">UNICEF</t>
  </si>
  <si>
    <t xml:space="preserve">HCES</t>
  </si>
  <si>
    <t xml:space="preserve">Household Consumption Expenditure Survey</t>
  </si>
  <si>
    <t xml:space="preserve">DHS</t>
  </si>
  <si>
    <t xml:space="preserve">Demographic and Health Surveys</t>
  </si>
  <si>
    <t xml:space="preserve">https://www.dhsprogram.com/pubs/pdf/DHSG4/Recode7_DHS_10Sep2018_DHSG4.pdf</t>
  </si>
  <si>
    <t xml:space="preserve">USAID</t>
  </si>
  <si>
    <t xml:space="preserve">2016; 2018</t>
  </si>
  <si>
    <t xml:space="preserve">J Drive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</si>
</sst>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"/>
    <numFmt numFmtId="168" formatCode="0.00%"/>
    <numFmt numFmtId="169" formatCode="0.00"/>
    <numFmt numFmtId="170" formatCode="@"/>
    <numFmt numFmtId="171" formatCode="#,##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Aptos Narrow"/>
      <family val="2"/>
      <charset val="1"/>
    </font>
    <font>
      <b val="true"/>
      <sz val="11"/>
      <color rgb="FF000000"/>
      <name val="Aptos Narrow"/>
      <family val="0"/>
      <charset val="1"/>
    </font>
    <font>
      <b val="true"/>
      <sz val="11"/>
      <color theme="1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444444"/>
      <name val="Aptos Narrow"/>
      <family val="0"/>
      <charset val="1"/>
    </font>
    <font>
      <sz val="11"/>
      <color rgb="FF000000"/>
      <name val="Aptos"/>
      <family val="0"/>
      <charset val="1"/>
    </font>
    <font>
      <b val="true"/>
      <sz val="12"/>
      <name val="Aptos"/>
      <family val="0"/>
      <charset val="1"/>
    </font>
    <font>
      <sz val="11"/>
      <name val="Aptos"/>
      <family val="0"/>
      <charset val="1"/>
    </font>
    <font>
      <sz val="12"/>
      <name val="Aptos"/>
      <family val="0"/>
      <charset val="1"/>
    </font>
    <font>
      <sz val="11"/>
      <color rgb="FF000000"/>
      <name val="Aptos Narrow"/>
      <family val="0"/>
      <charset val="1"/>
    </font>
    <font>
      <b val="true"/>
      <sz val="11"/>
      <color theme="1"/>
      <name val="Aptos Narrow"/>
      <family val="0"/>
      <charset val="1"/>
    </font>
    <font>
      <sz val="11"/>
      <color theme="1"/>
      <name val="Aptos Narrow"/>
      <family val="0"/>
      <charset val="1"/>
    </font>
    <font>
      <u val="single"/>
      <sz val="11"/>
      <color theme="10"/>
      <name val="Aptos Narrow"/>
      <family val="0"/>
      <charset val="1"/>
    </font>
    <font>
      <b val="true"/>
      <sz val="11"/>
      <color rgb="FF000000"/>
      <name val="Aptos Narrow"/>
      <family val="2"/>
      <charset val="1"/>
    </font>
    <font>
      <i val="true"/>
      <sz val="11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3" Type="http://schemas.openxmlformats.org/officeDocument/2006/relationships/hyperlink" Target="https://www.unicef.org/nigeria/media/9271/file/%20National%20Food%20Consumption%20and%20Micronutrient%20Survey%20(2021)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../../../../J:/DATA/DHS_PROG_DHS/ETH/2016/ETH_DHS7_2016_REP_QUEST_Y2017M08D15.PDF" TargetMode="External"/><Relationship Id="rId2" Type="http://schemas.openxmlformats.org/officeDocument/2006/relationships/hyperlink" Target="../../../../J:/DATA/DHS_PROG_DHS/ETH/2016/ETH_DHS7_2016_REP_QUEST_Y2017M08D15.PDF" TargetMode="External"/><Relationship Id="rId3" Type="http://schemas.openxmlformats.org/officeDocument/2006/relationships/hyperlink" Target="../../../../J:/DATA/DHS_PROG_DHS/ETH/2016/ETH_DHS7_2016_REP_QUEST_Y2017M08D15.PDF" TargetMode="External"/><Relationship Id="rId4" Type="http://schemas.openxmlformats.org/officeDocument/2006/relationships/hyperlink" Target="../../../../J:/DATA/DHS_PROG_DHS/ETH/2016/ETH_DHS7_2016_REP_QUEST_Y2017M08D15.PDF" TargetMode="External"/><Relationship Id="rId5" Type="http://schemas.openxmlformats.org/officeDocument/2006/relationships/hyperlink" Target="../../../../J:/DATA/DHS_PROG_DHS/ETH/2016/ETH_DHS7_2016_REP_QUEST_Y2017M08D15.PDF" TargetMode="External"/><Relationship Id="rId6" Type="http://schemas.openxmlformats.org/officeDocument/2006/relationships/hyperlink" Target="../../../../J:/DATA/DHS_PROG_DHS/NGA/2018/NGA_DHS7_2018_REP_QUEST_Y2019M11D05.PDF" TargetMode="External"/><Relationship Id="rId7" Type="http://schemas.openxmlformats.org/officeDocument/2006/relationships/hyperlink" Target="../../../../J:/DATA/DHS_PROG_DHS/NGA/2018/NGA_DHS7_2018_REP_QUEST_Y2019M11D05.PDF" TargetMode="External"/><Relationship Id="rId8" Type="http://schemas.openxmlformats.org/officeDocument/2006/relationships/hyperlink" Target="../../../../J:/DATA/DHS_PROG_DHS/NGA/2018/NGA_DHS7_2018_REP_QUEST_Y2019M11D05.PDF" TargetMode="External"/><Relationship Id="rId9" Type="http://schemas.openxmlformats.org/officeDocument/2006/relationships/hyperlink" Target="../../../../J:/DATA/DHS_PROG_DHS/NGA/2018/NGA_DHS7_2018_REP_QUEST_Y2019M11D05.PDF" TargetMode="External"/><Relationship Id="rId10" Type="http://schemas.openxmlformats.org/officeDocument/2006/relationships/hyperlink" Target="../../../../J:/DATA/DHS_PROG_DHS/NGA/2018/NGA_DHS7_2018_REP_QUEST_Y2019M11D05.PDF" TargetMode="External"/><Relationship Id="rId11" Type="http://schemas.openxmlformats.org/officeDocument/2006/relationships/hyperlink" Target="https://pubmed.ncbi.nlm.nih.gov/29363759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ncbi.nlm.nih.gov/pmc/articles/PMC7882357/;%20meta-analysis%20of%2022%20studies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www.wolframalpha.com/input?i=0.169+mg%2F100g+in+mcg%2Fg" TargetMode="External"/><Relationship Id="rId3" Type="http://schemas.openxmlformats.org/officeDocument/2006/relationships/hyperlink" Target="https://nyaspubs.onlinelibrary.wiley.com/doi/full/10.1111/nyas.12478" TargetMode="External"/><Relationship Id="rId4" Type="http://schemas.openxmlformats.org/officeDocument/2006/relationships/hyperlink" Target="https://www.wolframalpha.com/input?i=0.13+mg%2F100g+in+mcg%2Fg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dhsprogram.com/pubs/pdf/DHSG4/Recode7_DHS_10Sep2018_DHSG4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8.33"/>
    <col collapsed="false" customWidth="true" hidden="false" outlineLevel="0" max="2" min="2" style="0" width="12.5"/>
    <col collapsed="false" customWidth="true" hidden="false" outlineLevel="0" max="3" min="3" style="0" width="15.5"/>
    <col collapsed="false" customWidth="true" hidden="false" outlineLevel="0" max="4" min="4" style="0" width="9.67"/>
    <col collapsed="false" customWidth="true" hidden="false" outlineLevel="0" max="9" min="8" style="0" width="15.83"/>
  </cols>
  <sheetData>
    <row r="1" customFormat="false" ht="15" hidden="false" customHeight="true" outlineLevel="0" collapsed="false">
      <c r="A1" s="1" t="s">
        <v>0</v>
      </c>
      <c r="B1" s="2" t="s">
        <v>1</v>
      </c>
      <c r="C1" s="2"/>
      <c r="D1" s="2" t="s">
        <v>2</v>
      </c>
      <c r="E1" s="2"/>
      <c r="F1" s="2"/>
      <c r="G1" s="2"/>
      <c r="H1" s="2" t="s">
        <v>3</v>
      </c>
      <c r="I1" s="2"/>
    </row>
    <row r="2" customFormat="false" ht="15" hidden="false" customHeight="true" outlineLevel="0" collapsed="false">
      <c r="A2" s="1" t="s">
        <v>4</v>
      </c>
      <c r="B2" s="2" t="s">
        <v>5</v>
      </c>
      <c r="C2" s="2"/>
      <c r="D2" s="2" t="s">
        <v>6</v>
      </c>
      <c r="E2" s="2"/>
      <c r="F2" s="2" t="s">
        <v>7</v>
      </c>
      <c r="G2" s="2"/>
      <c r="H2" s="2" t="s">
        <v>7</v>
      </c>
      <c r="I2" s="2"/>
    </row>
    <row r="3" customFormat="false" ht="15" hidden="false" customHeight="true" outlineLevel="0" collapsed="false">
      <c r="A3" s="1" t="s">
        <v>8</v>
      </c>
      <c r="B3" s="3" t="s">
        <v>9</v>
      </c>
      <c r="C3" s="4" t="s">
        <v>10</v>
      </c>
      <c r="D3" s="3" t="s">
        <v>9</v>
      </c>
      <c r="E3" s="4" t="s">
        <v>10</v>
      </c>
      <c r="F3" s="3" t="s">
        <v>9</v>
      </c>
      <c r="G3" s="4" t="s">
        <v>10</v>
      </c>
      <c r="H3" s="3" t="s">
        <v>9</v>
      </c>
      <c r="I3" s="4" t="s">
        <v>10</v>
      </c>
    </row>
    <row r="4" customFormat="false" ht="15" hidden="false" customHeight="true" outlineLevel="0" collapsed="false">
      <c r="A4" s="4" t="s">
        <v>11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0" t="s">
        <v>12</v>
      </c>
      <c r="B5" s="0" t="str">
        <f aca="false"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s="0" t="str">
        <f aca="false"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s="0" t="str">
        <f aca="false"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s="0" t="str">
        <f aca="false"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s="0" t="str">
        <f aca="false"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s="0" t="str">
        <f aca="false"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s="0" t="s">
        <v>13</v>
      </c>
      <c r="I5" s="0" t="s">
        <v>13</v>
      </c>
    </row>
    <row r="6" customFormat="false" ht="15" hidden="false" customHeight="true" outlineLevel="0" collapsed="false">
      <c r="A6" s="0" t="s">
        <v>14</v>
      </c>
      <c r="B6" s="0" t="str">
        <f aca="false"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s="0" t="str">
        <f aca="false"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s="0" t="str">
        <f aca="false"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s="0" t="str">
        <f aca="false"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s="0" t="str">
        <f aca="false"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s="0" t="str">
        <f aca="false"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s="0" t="s">
        <v>13</v>
      </c>
      <c r="I6" s="0" t="s">
        <v>13</v>
      </c>
    </row>
    <row r="7" customFormat="false" ht="15" hidden="false" customHeight="true" outlineLevel="0" collapsed="false">
      <c r="A7" s="0" t="s">
        <v>15</v>
      </c>
      <c r="B7" s="0" t="str">
        <f aca="false"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s="0" t="str">
        <f aca="false"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s="0" t="str">
        <f aca="false"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s="0" t="str">
        <f aca="false"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s="0" t="str">
        <f aca="false"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s="0" t="str">
        <f aca="false"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s="0" t="s">
        <v>13</v>
      </c>
      <c r="I7" s="0" t="s">
        <v>13</v>
      </c>
    </row>
    <row r="8" customFormat="false" ht="15" hidden="false" customHeight="true" outlineLevel="0" collapsed="false">
      <c r="A8" s="0" t="s">
        <v>16</v>
      </c>
      <c r="B8" s="0" t="str">
        <f aca="false"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s="0" t="str">
        <f aca="false"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s="0" t="str">
        <f aca="false"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s="0" t="str">
        <f aca="false"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s="0" t="str">
        <f aca="false"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s="0" t="str">
        <f aca="false"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s="0" t="s">
        <v>13</v>
      </c>
      <c r="I8" s="0" t="s">
        <v>13</v>
      </c>
    </row>
    <row r="9" customFormat="false" ht="15" hidden="false" customHeight="true" outlineLevel="0" collapsed="false">
      <c r="A9" s="0" t="s">
        <v>17</v>
      </c>
      <c r="B9" s="0" t="str">
        <f aca="false"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s="0" t="str">
        <f aca="false"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s="0" t="str">
        <f aca="false"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s="0" t="str">
        <f aca="false"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s="0" t="str">
        <f aca="false"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s="0" t="str">
        <f aca="false"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s="0" t="str">
        <f aca="false"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s="0" t="s">
        <v>13</v>
      </c>
    </row>
  </sheetData>
  <mergeCells count="7">
    <mergeCell ref="B1:C1"/>
    <mergeCell ref="D1:G1"/>
    <mergeCell ref="H1:I1"/>
    <mergeCell ref="B2:C2"/>
    <mergeCell ref="D2:E2"/>
    <mergeCell ref="F2:G2"/>
    <mergeCell ref="H2:I2"/>
  </mergeCells>
  <conditionalFormatting sqref="B5:I9">
    <cfRule type="cellIs" priority="2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3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88" activePane="bottomLeft" state="frozen"/>
      <selection pane="topLeft" activeCell="E1" activeCellId="0" sqref="E1"/>
      <selection pane="bottomLeft" activeCell="M106" activeCellId="0" sqref="M106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3" style="0" width="18.33"/>
    <col collapsed="false" customWidth="true" hidden="false" outlineLevel="0" max="5" min="5" style="0" width="60.16"/>
    <col collapsed="false" customWidth="true" hidden="false" outlineLevel="0" max="6" min="6" style="0" width="19"/>
    <col collapsed="false" customWidth="true" hidden="false" outlineLevel="0" max="9" min="9" style="0" width="11.83"/>
    <col collapsed="false" customWidth="true" hidden="false" outlineLevel="0" max="10" min="10" style="0" width="10.33"/>
    <col collapsed="false" customWidth="true" hidden="false" outlineLevel="0" max="12" min="11" style="0" width="10.16"/>
    <col collapsed="false" customWidth="true" hidden="false" outlineLevel="0" max="13" min="13" style="0" width="50.5"/>
  </cols>
  <sheetData>
    <row r="1" customFormat="false" ht="15" hidden="false" customHeight="false" outlineLevel="0" collapsed="false">
      <c r="A1" s="4" t="s">
        <v>0</v>
      </c>
      <c r="B1" s="4" t="s">
        <v>4</v>
      </c>
      <c r="C1" s="4" t="s">
        <v>10</v>
      </c>
      <c r="D1" s="4" t="s">
        <v>18</v>
      </c>
      <c r="E1" s="4" t="s">
        <v>11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</row>
    <row r="2" customFormat="false" ht="15" hidden="false" customHeight="false" outlineLevel="0" collapsed="false">
      <c r="A2" s="0" t="s">
        <v>1</v>
      </c>
      <c r="B2" s="0" t="s">
        <v>5</v>
      </c>
      <c r="C2" s="0" t="s">
        <v>27</v>
      </c>
      <c r="D2" s="0" t="s">
        <v>28</v>
      </c>
      <c r="E2" s="0" t="s">
        <v>12</v>
      </c>
      <c r="F2" s="0" t="s">
        <v>29</v>
      </c>
      <c r="G2" s="0" t="s">
        <v>30</v>
      </c>
      <c r="I2" s="0" t="s">
        <v>31</v>
      </c>
      <c r="J2" s="5" t="n">
        <v>0.98</v>
      </c>
      <c r="M2" s="0" t="s">
        <v>32</v>
      </c>
    </row>
    <row r="3" customFormat="false" ht="29.25" hidden="false" customHeight="true" outlineLevel="0" collapsed="false">
      <c r="A3" s="0" t="s">
        <v>1</v>
      </c>
      <c r="B3" s="0" t="s">
        <v>5</v>
      </c>
      <c r="C3" s="0" t="s">
        <v>33</v>
      </c>
      <c r="D3" s="0" t="s">
        <v>28</v>
      </c>
      <c r="E3" s="0" t="s">
        <v>14</v>
      </c>
      <c r="F3" s="0" t="s">
        <v>34</v>
      </c>
      <c r="G3" s="0" t="s">
        <v>35</v>
      </c>
      <c r="I3" s="0" t="s">
        <v>31</v>
      </c>
      <c r="J3" s="6" t="n">
        <v>7.8</v>
      </c>
      <c r="M3" s="6" t="s">
        <v>36</v>
      </c>
    </row>
    <row r="4" customFormat="false" ht="15" hidden="false" customHeight="false" outlineLevel="0" collapsed="false">
      <c r="A4" s="0" t="s">
        <v>1</v>
      </c>
      <c r="B4" s="0" t="s">
        <v>5</v>
      </c>
      <c r="C4" s="0" t="s">
        <v>37</v>
      </c>
      <c r="D4" s="0" t="s">
        <v>28</v>
      </c>
      <c r="E4" s="0" t="s">
        <v>14</v>
      </c>
      <c r="F4" s="0" t="s">
        <v>34</v>
      </c>
      <c r="G4" s="0" t="s">
        <v>35</v>
      </c>
      <c r="I4" s="0" t="s">
        <v>31</v>
      </c>
      <c r="J4" s="0" t="n">
        <v>7.084152</v>
      </c>
      <c r="M4" s="0" t="s">
        <v>38</v>
      </c>
    </row>
    <row r="5" customFormat="false" ht="15" hidden="false" customHeight="false" outlineLevel="0" collapsed="false">
      <c r="A5" s="0" t="s">
        <v>1</v>
      </c>
      <c r="B5" s="0" t="s">
        <v>5</v>
      </c>
      <c r="C5" s="0" t="s">
        <v>39</v>
      </c>
      <c r="D5" s="0" t="s">
        <v>28</v>
      </c>
      <c r="E5" s="0" t="s">
        <v>14</v>
      </c>
      <c r="F5" s="0" t="s">
        <v>34</v>
      </c>
      <c r="G5" s="0" t="s">
        <v>35</v>
      </c>
      <c r="I5" s="0" t="s">
        <v>31</v>
      </c>
      <c r="J5" s="6" t="n">
        <v>7.235241</v>
      </c>
      <c r="M5" s="0" t="s">
        <v>40</v>
      </c>
    </row>
    <row r="6" customFormat="false" ht="15" hidden="false" customHeight="false" outlineLevel="0" collapsed="false">
      <c r="A6" s="0" t="s">
        <v>1</v>
      </c>
      <c r="B6" s="0" t="s">
        <v>5</v>
      </c>
      <c r="C6" s="0" t="s">
        <v>41</v>
      </c>
      <c r="D6" s="0" t="s">
        <v>28</v>
      </c>
      <c r="E6" s="0" t="s">
        <v>14</v>
      </c>
      <c r="F6" s="0" t="s">
        <v>34</v>
      </c>
      <c r="G6" s="0" t="s">
        <v>35</v>
      </c>
      <c r="I6" s="0" t="s">
        <v>31</v>
      </c>
      <c r="J6" s="0" t="n">
        <v>7.704005</v>
      </c>
      <c r="M6" s="0" t="s">
        <v>42</v>
      </c>
    </row>
    <row r="7" customFormat="false" ht="15" hidden="false" customHeight="false" outlineLevel="0" collapsed="false">
      <c r="A7" s="0" t="s">
        <v>1</v>
      </c>
      <c r="B7" s="0" t="s">
        <v>5</v>
      </c>
      <c r="C7" s="0" t="s">
        <v>43</v>
      </c>
      <c r="D7" s="0" t="s">
        <v>28</v>
      </c>
      <c r="E7" s="0" t="s">
        <v>14</v>
      </c>
      <c r="F7" s="0" t="s">
        <v>34</v>
      </c>
      <c r="G7" s="0" t="s">
        <v>35</v>
      </c>
      <c r="I7" s="0" t="s">
        <v>31</v>
      </c>
      <c r="J7" s="0" t="n">
        <v>7.157051</v>
      </c>
      <c r="M7" s="0" t="s">
        <v>44</v>
      </c>
    </row>
    <row r="8" customFormat="false" ht="15" hidden="false" customHeight="false" outlineLevel="0" collapsed="false">
      <c r="A8" s="0" t="s">
        <v>1</v>
      </c>
      <c r="B8" s="0" t="s">
        <v>5</v>
      </c>
      <c r="C8" s="0" t="s">
        <v>45</v>
      </c>
      <c r="D8" s="0" t="s">
        <v>28</v>
      </c>
      <c r="E8" s="0" t="s">
        <v>14</v>
      </c>
      <c r="F8" s="0" t="s">
        <v>34</v>
      </c>
      <c r="G8" s="0" t="s">
        <v>35</v>
      </c>
      <c r="I8" s="0" t="s">
        <v>31</v>
      </c>
      <c r="J8" s="0" t="n">
        <v>6.504427</v>
      </c>
      <c r="M8" s="0" t="s">
        <v>46</v>
      </c>
    </row>
    <row r="9" customFormat="false" ht="15" hidden="false" customHeight="false" outlineLevel="0" collapsed="false">
      <c r="A9" s="0" t="s">
        <v>1</v>
      </c>
      <c r="B9" s="0" t="s">
        <v>5</v>
      </c>
      <c r="C9" s="0" t="s">
        <v>27</v>
      </c>
      <c r="D9" s="0" t="s">
        <v>28</v>
      </c>
      <c r="E9" s="0" t="s">
        <v>14</v>
      </c>
      <c r="F9" s="0" t="s">
        <v>47</v>
      </c>
      <c r="G9" s="0" t="s">
        <v>35</v>
      </c>
      <c r="I9" s="0" t="s">
        <v>48</v>
      </c>
      <c r="J9" s="6" t="n">
        <v>2.2</v>
      </c>
      <c r="M9" s="7" t="s">
        <v>49</v>
      </c>
    </row>
    <row r="10" customFormat="false" ht="15" hidden="false" customHeight="false" outlineLevel="0" collapsed="false">
      <c r="A10" s="0" t="s">
        <v>1</v>
      </c>
      <c r="B10" s="0" t="s">
        <v>5</v>
      </c>
      <c r="C10" s="0" t="s">
        <v>27</v>
      </c>
      <c r="D10" s="0" t="s">
        <v>27</v>
      </c>
      <c r="E10" s="0" t="s">
        <v>15</v>
      </c>
      <c r="F10" s="0" t="s">
        <v>29</v>
      </c>
      <c r="G10" s="0" t="s">
        <v>30</v>
      </c>
      <c r="J10" s="5" t="n">
        <v>0.97</v>
      </c>
      <c r="M10" s="0" t="s">
        <v>50</v>
      </c>
    </row>
    <row r="11" customFormat="false" ht="15" hidden="false" customHeight="false" outlineLevel="0" collapsed="false">
      <c r="A11" s="0" t="s">
        <v>1</v>
      </c>
      <c r="B11" s="0" t="s">
        <v>5</v>
      </c>
      <c r="C11" s="0" t="s">
        <v>33</v>
      </c>
      <c r="D11" s="0" t="s">
        <v>27</v>
      </c>
      <c r="E11" s="0" t="s">
        <v>16</v>
      </c>
      <c r="F11" s="0" t="s">
        <v>34</v>
      </c>
      <c r="G11" s="0" t="s">
        <v>35</v>
      </c>
      <c r="I11" s="0" t="s">
        <v>51</v>
      </c>
      <c r="J11" s="6" t="n">
        <v>7.1</v>
      </c>
      <c r="M11" s="0" t="s">
        <v>52</v>
      </c>
    </row>
    <row r="12" customFormat="false" ht="15" hidden="false" customHeight="false" outlineLevel="0" collapsed="false">
      <c r="A12" s="0" t="s">
        <v>1</v>
      </c>
      <c r="B12" s="0" t="s">
        <v>5</v>
      </c>
      <c r="C12" s="0" t="s">
        <v>37</v>
      </c>
      <c r="D12" s="0" t="s">
        <v>27</v>
      </c>
      <c r="E12" s="0" t="s">
        <v>16</v>
      </c>
      <c r="F12" s="0" t="s">
        <v>34</v>
      </c>
      <c r="G12" s="0" t="s">
        <v>35</v>
      </c>
      <c r="I12" s="0" t="s">
        <v>51</v>
      </c>
      <c r="J12" s="0" t="n">
        <v>7.1</v>
      </c>
    </row>
    <row r="13" customFormat="false" ht="15" hidden="false" customHeight="false" outlineLevel="0" collapsed="false">
      <c r="A13" s="0" t="s">
        <v>1</v>
      </c>
      <c r="B13" s="0" t="s">
        <v>5</v>
      </c>
      <c r="C13" s="0" t="s">
        <v>39</v>
      </c>
      <c r="D13" s="0" t="s">
        <v>27</v>
      </c>
      <c r="E13" s="0" t="s">
        <v>16</v>
      </c>
      <c r="F13" s="0" t="s">
        <v>34</v>
      </c>
      <c r="G13" s="0" t="s">
        <v>35</v>
      </c>
      <c r="I13" s="0" t="s">
        <v>51</v>
      </c>
      <c r="J13" s="6" t="n">
        <v>7.2</v>
      </c>
    </row>
    <row r="14" customFormat="false" ht="15" hidden="false" customHeight="false" outlineLevel="0" collapsed="false">
      <c r="A14" s="0" t="s">
        <v>1</v>
      </c>
      <c r="B14" s="0" t="s">
        <v>5</v>
      </c>
      <c r="C14" s="0" t="s">
        <v>41</v>
      </c>
      <c r="D14" s="0" t="s">
        <v>27</v>
      </c>
      <c r="E14" s="0" t="s">
        <v>16</v>
      </c>
      <c r="F14" s="0" t="s">
        <v>34</v>
      </c>
      <c r="G14" s="0" t="s">
        <v>35</v>
      </c>
      <c r="I14" s="0" t="s">
        <v>51</v>
      </c>
      <c r="J14" s="0" t="n">
        <v>7.7</v>
      </c>
    </row>
    <row r="15" customFormat="false" ht="15" hidden="false" customHeight="false" outlineLevel="0" collapsed="false">
      <c r="A15" s="0" t="s">
        <v>1</v>
      </c>
      <c r="B15" s="0" t="s">
        <v>5</v>
      </c>
      <c r="C15" s="0" t="s">
        <v>43</v>
      </c>
      <c r="D15" s="0" t="s">
        <v>27</v>
      </c>
      <c r="E15" s="0" t="s">
        <v>16</v>
      </c>
      <c r="F15" s="0" t="s">
        <v>34</v>
      </c>
      <c r="G15" s="0" t="s">
        <v>35</v>
      </c>
      <c r="I15" s="0" t="s">
        <v>51</v>
      </c>
      <c r="J15" s="0" t="n">
        <v>7.2</v>
      </c>
    </row>
    <row r="16" customFormat="false" ht="15" hidden="false" customHeight="false" outlineLevel="0" collapsed="false">
      <c r="A16" s="0" t="s">
        <v>1</v>
      </c>
      <c r="B16" s="0" t="s">
        <v>5</v>
      </c>
      <c r="C16" s="0" t="s">
        <v>45</v>
      </c>
      <c r="D16" s="0" t="s">
        <v>27</v>
      </c>
      <c r="E16" s="0" t="s">
        <v>16</v>
      </c>
      <c r="F16" s="0" t="s">
        <v>34</v>
      </c>
      <c r="G16" s="0" t="s">
        <v>35</v>
      </c>
      <c r="I16" s="0" t="s">
        <v>51</v>
      </c>
      <c r="J16" s="0" t="n">
        <v>6.5</v>
      </c>
    </row>
    <row r="17" customFormat="false" ht="15" hidden="false" customHeight="false" outlineLevel="0" collapsed="false">
      <c r="A17" s="0" t="s">
        <v>1</v>
      </c>
      <c r="B17" s="0" t="s">
        <v>5</v>
      </c>
      <c r="C17" s="0" t="s">
        <v>27</v>
      </c>
      <c r="D17" s="0" t="s">
        <v>27</v>
      </c>
      <c r="E17" s="0" t="s">
        <v>16</v>
      </c>
      <c r="F17" s="0" t="s">
        <v>47</v>
      </c>
      <c r="G17" s="0" t="s">
        <v>35</v>
      </c>
      <c r="I17" s="0" t="s">
        <v>48</v>
      </c>
      <c r="J17" s="6" t="n">
        <v>2.2</v>
      </c>
      <c r="M17" s="7" t="s">
        <v>49</v>
      </c>
    </row>
    <row r="18" customFormat="false" ht="15" hidden="false" customHeight="false" outlineLevel="0" collapsed="false">
      <c r="A18" s="0" t="s">
        <v>1</v>
      </c>
      <c r="B18" s="0" t="s">
        <v>5</v>
      </c>
      <c r="C18" s="0" t="s">
        <v>27</v>
      </c>
      <c r="D18" s="0" t="s">
        <v>27</v>
      </c>
      <c r="E18" s="0" t="s">
        <v>17</v>
      </c>
      <c r="F18" s="0" t="s">
        <v>29</v>
      </c>
      <c r="G18" s="0" t="s">
        <v>30</v>
      </c>
      <c r="I18" s="0" t="s">
        <v>31</v>
      </c>
      <c r="J18" s="5" t="n">
        <v>0.95</v>
      </c>
      <c r="M18" s="0" t="s">
        <v>53</v>
      </c>
    </row>
    <row r="19" customFormat="false" ht="15" hidden="false" customHeight="false" outlineLevel="0" collapsed="false">
      <c r="A19" s="0" t="s">
        <v>2</v>
      </c>
      <c r="B19" s="0" t="s">
        <v>6</v>
      </c>
      <c r="C19" s="0" t="s">
        <v>33</v>
      </c>
      <c r="D19" s="0" t="s">
        <v>28</v>
      </c>
      <c r="E19" s="0" t="s">
        <v>12</v>
      </c>
      <c r="F19" s="0" t="s">
        <v>29</v>
      </c>
      <c r="G19" s="0" t="s">
        <v>30</v>
      </c>
      <c r="H19" s="0" t="n">
        <v>2021</v>
      </c>
      <c r="I19" s="0" t="s">
        <v>54</v>
      </c>
      <c r="J19" s="8" t="n">
        <v>0.981</v>
      </c>
      <c r="K19" s="0" t="s">
        <v>55</v>
      </c>
      <c r="M19" s="7" t="s">
        <v>56</v>
      </c>
    </row>
    <row r="20" customFormat="false" ht="15" hidden="false" customHeight="false" outlineLevel="0" collapsed="false">
      <c r="A20" s="0" t="s">
        <v>2</v>
      </c>
      <c r="B20" s="0" t="s">
        <v>6</v>
      </c>
      <c r="C20" s="0" t="s">
        <v>37</v>
      </c>
      <c r="D20" s="0" t="s">
        <v>28</v>
      </c>
      <c r="E20" s="0" t="s">
        <v>12</v>
      </c>
      <c r="F20" s="0" t="s">
        <v>29</v>
      </c>
      <c r="G20" s="0" t="s">
        <v>30</v>
      </c>
      <c r="H20" s="0" t="n">
        <v>2021</v>
      </c>
      <c r="I20" s="0" t="s">
        <v>54</v>
      </c>
      <c r="J20" s="8" t="n">
        <v>0.963</v>
      </c>
      <c r="K20" s="0" t="s">
        <v>57</v>
      </c>
      <c r="M20" s="0" t="s">
        <v>58</v>
      </c>
    </row>
    <row r="21" customFormat="false" ht="15" hidden="false" customHeight="false" outlineLevel="0" collapsed="false">
      <c r="A21" s="0" t="s">
        <v>2</v>
      </c>
      <c r="B21" s="0" t="s">
        <v>6</v>
      </c>
      <c r="C21" s="0" t="s">
        <v>39</v>
      </c>
      <c r="D21" s="0" t="s">
        <v>28</v>
      </c>
      <c r="E21" s="0" t="s">
        <v>12</v>
      </c>
      <c r="F21" s="0" t="s">
        <v>29</v>
      </c>
      <c r="G21" s="0" t="s">
        <v>30</v>
      </c>
      <c r="H21" s="0" t="n">
        <v>2021</v>
      </c>
      <c r="I21" s="0" t="s">
        <v>54</v>
      </c>
      <c r="J21" s="8" t="n">
        <v>0.981</v>
      </c>
      <c r="K21" s="0" t="s">
        <v>59</v>
      </c>
      <c r="M21" s="0" t="s">
        <v>60</v>
      </c>
    </row>
    <row r="22" customFormat="false" ht="15" hidden="false" customHeight="false" outlineLevel="0" collapsed="false">
      <c r="A22" s="0" t="s">
        <v>2</v>
      </c>
      <c r="B22" s="0" t="s">
        <v>6</v>
      </c>
      <c r="C22" s="0" t="s">
        <v>41</v>
      </c>
      <c r="D22" s="0" t="s">
        <v>28</v>
      </c>
      <c r="E22" s="0" t="s">
        <v>12</v>
      </c>
      <c r="F22" s="0" t="s">
        <v>29</v>
      </c>
      <c r="G22" s="0" t="s">
        <v>30</v>
      </c>
      <c r="H22" s="0" t="n">
        <v>2021</v>
      </c>
      <c r="I22" s="0" t="s">
        <v>54</v>
      </c>
      <c r="J22" s="8" t="n">
        <v>0.992</v>
      </c>
      <c r="K22" s="0" t="s">
        <v>61</v>
      </c>
      <c r="M22" s="0" t="s">
        <v>62</v>
      </c>
    </row>
    <row r="23" customFormat="false" ht="15" hidden="false" customHeight="false" outlineLevel="0" collapsed="false">
      <c r="A23" s="0" t="s">
        <v>2</v>
      </c>
      <c r="B23" s="0" t="s">
        <v>6</v>
      </c>
      <c r="C23" s="0" t="s">
        <v>43</v>
      </c>
      <c r="D23" s="0" t="s">
        <v>28</v>
      </c>
      <c r="E23" s="0" t="s">
        <v>12</v>
      </c>
      <c r="F23" s="0" t="s">
        <v>29</v>
      </c>
      <c r="G23" s="0" t="s">
        <v>30</v>
      </c>
      <c r="H23" s="0" t="n">
        <v>2021</v>
      </c>
      <c r="I23" s="0" t="s">
        <v>54</v>
      </c>
      <c r="J23" s="8" t="n">
        <v>0.986</v>
      </c>
      <c r="K23" s="0" t="s">
        <v>63</v>
      </c>
    </row>
    <row r="24" customFormat="false" ht="15" hidden="false" customHeight="false" outlineLevel="0" collapsed="false">
      <c r="A24" s="0" t="s">
        <v>2</v>
      </c>
      <c r="B24" s="0" t="s">
        <v>6</v>
      </c>
      <c r="C24" s="0" t="s">
        <v>45</v>
      </c>
      <c r="D24" s="0" t="s">
        <v>28</v>
      </c>
      <c r="E24" s="0" t="s">
        <v>12</v>
      </c>
      <c r="F24" s="0" t="s">
        <v>29</v>
      </c>
      <c r="G24" s="0" t="s">
        <v>30</v>
      </c>
      <c r="H24" s="0" t="n">
        <v>2021</v>
      </c>
      <c r="I24" s="0" t="s">
        <v>54</v>
      </c>
      <c r="J24" s="8" t="n">
        <v>0.986</v>
      </c>
      <c r="K24" s="0" t="s">
        <v>64</v>
      </c>
    </row>
    <row r="25" customFormat="false" ht="15" hidden="false" customHeight="false" outlineLevel="0" collapsed="false">
      <c r="A25" s="0" t="s">
        <v>2</v>
      </c>
      <c r="B25" s="0" t="s">
        <v>6</v>
      </c>
      <c r="C25" s="0" t="s">
        <v>33</v>
      </c>
      <c r="D25" s="0" t="s">
        <v>28</v>
      </c>
      <c r="E25" s="0" t="s">
        <v>14</v>
      </c>
      <c r="F25" s="0" t="s">
        <v>34</v>
      </c>
      <c r="G25" s="0" t="s">
        <v>35</v>
      </c>
      <c r="H25" s="0" t="n">
        <v>2021</v>
      </c>
      <c r="I25" s="0" t="s">
        <v>54</v>
      </c>
      <c r="J25" s="0" t="n">
        <v>6.3</v>
      </c>
      <c r="K25" s="0" t="s">
        <v>65</v>
      </c>
      <c r="L25" s="0" t="n">
        <v>0.1</v>
      </c>
      <c r="M25" s="0" t="s">
        <v>66</v>
      </c>
    </row>
    <row r="26" customFormat="false" ht="15" hidden="false" customHeight="false" outlineLevel="0" collapsed="false">
      <c r="A26" s="0" t="s">
        <v>2</v>
      </c>
      <c r="B26" s="0" t="s">
        <v>6</v>
      </c>
      <c r="C26" s="0" t="s">
        <v>37</v>
      </c>
      <c r="D26" s="0" t="s">
        <v>28</v>
      </c>
      <c r="E26" s="0" t="s">
        <v>14</v>
      </c>
      <c r="F26" s="0" t="s">
        <v>34</v>
      </c>
      <c r="G26" s="0" t="s">
        <v>35</v>
      </c>
      <c r="H26" s="0" t="n">
        <v>2021</v>
      </c>
      <c r="I26" s="0" t="s">
        <v>54</v>
      </c>
      <c r="J26" s="0" t="n">
        <v>8.4</v>
      </c>
      <c r="K26" s="0" t="s">
        <v>67</v>
      </c>
      <c r="L26" s="0" t="n">
        <v>0.3</v>
      </c>
      <c r="M26" s="0" t="s">
        <v>60</v>
      </c>
    </row>
    <row r="27" customFormat="false" ht="15" hidden="false" customHeight="false" outlineLevel="0" collapsed="false">
      <c r="A27" s="0" t="s">
        <v>2</v>
      </c>
      <c r="B27" s="0" t="s">
        <v>6</v>
      </c>
      <c r="C27" s="0" t="s">
        <v>39</v>
      </c>
      <c r="D27" s="0" t="s">
        <v>28</v>
      </c>
      <c r="E27" s="0" t="s">
        <v>14</v>
      </c>
      <c r="F27" s="0" t="s">
        <v>34</v>
      </c>
      <c r="G27" s="0" t="s">
        <v>35</v>
      </c>
      <c r="H27" s="0" t="n">
        <v>2021</v>
      </c>
      <c r="I27" s="0" t="s">
        <v>54</v>
      </c>
      <c r="J27" s="9" t="n">
        <v>8</v>
      </c>
      <c r="K27" s="0" t="s">
        <v>68</v>
      </c>
      <c r="L27" s="0" t="n">
        <v>0.3</v>
      </c>
      <c r="M27" s="0" t="s">
        <v>69</v>
      </c>
    </row>
    <row r="28" customFormat="false" ht="15" hidden="false" customHeight="false" outlineLevel="0" collapsed="false">
      <c r="A28" s="0" t="s">
        <v>2</v>
      </c>
      <c r="B28" s="0" t="s">
        <v>6</v>
      </c>
      <c r="C28" s="0" t="s">
        <v>41</v>
      </c>
      <c r="D28" s="0" t="s">
        <v>28</v>
      </c>
      <c r="E28" s="0" t="s">
        <v>14</v>
      </c>
      <c r="F28" s="0" t="s">
        <v>34</v>
      </c>
      <c r="G28" s="0" t="s">
        <v>35</v>
      </c>
      <c r="H28" s="0" t="n">
        <v>2021</v>
      </c>
      <c r="I28" s="0" t="s">
        <v>54</v>
      </c>
      <c r="J28" s="0" t="n">
        <v>5.9</v>
      </c>
      <c r="K28" s="0" t="s">
        <v>70</v>
      </c>
      <c r="L28" s="0" t="n">
        <v>0.3</v>
      </c>
      <c r="M28" s="0" t="s">
        <v>71</v>
      </c>
    </row>
    <row r="29" customFormat="false" ht="15" hidden="false" customHeight="false" outlineLevel="0" collapsed="false">
      <c r="A29" s="0" t="s">
        <v>2</v>
      </c>
      <c r="B29" s="0" t="s">
        <v>6</v>
      </c>
      <c r="C29" s="0" t="s">
        <v>43</v>
      </c>
      <c r="D29" s="0" t="s">
        <v>28</v>
      </c>
      <c r="E29" s="0" t="s">
        <v>14</v>
      </c>
      <c r="F29" s="0" t="s">
        <v>34</v>
      </c>
      <c r="G29" s="0" t="s">
        <v>35</v>
      </c>
      <c r="H29" s="0" t="n">
        <v>2021</v>
      </c>
      <c r="I29" s="0" t="s">
        <v>54</v>
      </c>
      <c r="J29" s="0" t="n">
        <v>4.9</v>
      </c>
      <c r="K29" s="0" t="s">
        <v>72</v>
      </c>
      <c r="L29" s="0" t="n">
        <v>0.3</v>
      </c>
    </row>
    <row r="30" customFormat="false" ht="15" hidden="false" customHeight="false" outlineLevel="0" collapsed="false">
      <c r="A30" s="0" t="s">
        <v>2</v>
      </c>
      <c r="B30" s="0" t="s">
        <v>6</v>
      </c>
      <c r="C30" s="0" t="s">
        <v>45</v>
      </c>
      <c r="D30" s="0" t="s">
        <v>28</v>
      </c>
      <c r="E30" s="0" t="s">
        <v>14</v>
      </c>
      <c r="F30" s="0" t="s">
        <v>34</v>
      </c>
      <c r="G30" s="0" t="s">
        <v>35</v>
      </c>
      <c r="H30" s="0" t="n">
        <v>2021</v>
      </c>
      <c r="I30" s="0" t="s">
        <v>54</v>
      </c>
      <c r="J30" s="0" t="n">
        <v>4.6</v>
      </c>
      <c r="K30" s="0" t="s">
        <v>73</v>
      </c>
      <c r="L30" s="0" t="n">
        <v>0.3</v>
      </c>
    </row>
    <row r="31" customFormat="false" ht="15" hidden="false" customHeight="false" outlineLevel="0" collapsed="false">
      <c r="A31" s="0" t="s">
        <v>2</v>
      </c>
      <c r="B31" s="0" t="s">
        <v>6</v>
      </c>
      <c r="C31" s="0" t="s">
        <v>33</v>
      </c>
      <c r="D31" s="0" t="s">
        <v>28</v>
      </c>
      <c r="E31" s="0" t="s">
        <v>14</v>
      </c>
      <c r="F31" s="0" t="s">
        <v>47</v>
      </c>
      <c r="G31" s="0" t="s">
        <v>35</v>
      </c>
      <c r="H31" s="0" t="n">
        <v>2021</v>
      </c>
      <c r="I31" s="0" t="s">
        <v>54</v>
      </c>
      <c r="J31" s="0" t="n">
        <v>3.03703703703704</v>
      </c>
      <c r="M31" s="0" t="s">
        <v>74</v>
      </c>
    </row>
    <row r="32" customFormat="false" ht="15" hidden="false" customHeight="false" outlineLevel="0" collapsed="false">
      <c r="A32" s="0" t="s">
        <v>2</v>
      </c>
      <c r="B32" s="0" t="s">
        <v>6</v>
      </c>
      <c r="C32" s="0" t="s">
        <v>37</v>
      </c>
      <c r="D32" s="0" t="s">
        <v>28</v>
      </c>
      <c r="E32" s="0" t="s">
        <v>14</v>
      </c>
      <c r="F32" s="0" t="s">
        <v>47</v>
      </c>
      <c r="G32" s="0" t="s">
        <v>35</v>
      </c>
      <c r="H32" s="0" t="n">
        <v>2021</v>
      </c>
      <c r="I32" s="0" t="s">
        <v>54</v>
      </c>
      <c r="J32" s="0" t="n">
        <v>3.62962962962963</v>
      </c>
    </row>
    <row r="33" customFormat="false" ht="15" hidden="false" customHeight="false" outlineLevel="0" collapsed="false">
      <c r="A33" s="0" t="s">
        <v>2</v>
      </c>
      <c r="B33" s="0" t="s">
        <v>6</v>
      </c>
      <c r="C33" s="0" t="s">
        <v>39</v>
      </c>
      <c r="D33" s="0" t="s">
        <v>28</v>
      </c>
      <c r="E33" s="0" t="s">
        <v>14</v>
      </c>
      <c r="F33" s="0" t="s">
        <v>47</v>
      </c>
      <c r="G33" s="0" t="s">
        <v>35</v>
      </c>
      <c r="H33" s="0" t="n">
        <v>2021</v>
      </c>
      <c r="I33" s="0" t="s">
        <v>54</v>
      </c>
      <c r="J33" s="0" t="n">
        <v>3.11111111111111</v>
      </c>
    </row>
    <row r="34" customFormat="false" ht="15" hidden="false" customHeight="false" outlineLevel="0" collapsed="false">
      <c r="A34" s="0" t="s">
        <v>2</v>
      </c>
      <c r="B34" s="0" t="s">
        <v>6</v>
      </c>
      <c r="C34" s="0" t="s">
        <v>41</v>
      </c>
      <c r="D34" s="0" t="s">
        <v>28</v>
      </c>
      <c r="E34" s="0" t="s">
        <v>14</v>
      </c>
      <c r="F34" s="0" t="s">
        <v>47</v>
      </c>
      <c r="G34" s="0" t="s">
        <v>35</v>
      </c>
      <c r="H34" s="0" t="n">
        <v>2021</v>
      </c>
      <c r="I34" s="0" t="s">
        <v>54</v>
      </c>
      <c r="J34" s="9" t="n">
        <v>2.96296296296296</v>
      </c>
    </row>
    <row r="35" customFormat="false" ht="15" hidden="false" customHeight="false" outlineLevel="0" collapsed="false">
      <c r="A35" s="0" t="s">
        <v>2</v>
      </c>
      <c r="B35" s="0" t="s">
        <v>6</v>
      </c>
      <c r="C35" s="0" t="s">
        <v>43</v>
      </c>
      <c r="D35" s="0" t="s">
        <v>28</v>
      </c>
      <c r="E35" s="0" t="s">
        <v>14</v>
      </c>
      <c r="F35" s="0" t="s">
        <v>47</v>
      </c>
      <c r="G35" s="0" t="s">
        <v>35</v>
      </c>
      <c r="H35" s="0" t="n">
        <v>2021</v>
      </c>
      <c r="I35" s="0" t="s">
        <v>54</v>
      </c>
      <c r="J35" s="0" t="n">
        <v>2.44444444444445</v>
      </c>
    </row>
    <row r="36" customFormat="false" ht="15" hidden="false" customHeight="false" outlineLevel="0" collapsed="false">
      <c r="A36" s="0" t="s">
        <v>2</v>
      </c>
      <c r="B36" s="0" t="s">
        <v>6</v>
      </c>
      <c r="C36" s="0" t="s">
        <v>45</v>
      </c>
      <c r="D36" s="0" t="s">
        <v>28</v>
      </c>
      <c r="E36" s="0" t="s">
        <v>14</v>
      </c>
      <c r="F36" s="0" t="s">
        <v>47</v>
      </c>
      <c r="G36" s="0" t="s">
        <v>35</v>
      </c>
      <c r="H36" s="0" t="n">
        <v>2021</v>
      </c>
      <c r="I36" s="0" t="s">
        <v>54</v>
      </c>
      <c r="J36" s="0" t="n">
        <v>1.7037037037037</v>
      </c>
    </row>
    <row r="37" customFormat="false" ht="15" hidden="false" customHeight="false" outlineLevel="0" collapsed="false">
      <c r="A37" s="0" t="s">
        <v>2</v>
      </c>
      <c r="B37" s="0" t="s">
        <v>6</v>
      </c>
      <c r="C37" s="0" t="s">
        <v>33</v>
      </c>
      <c r="D37" s="0" t="s">
        <v>27</v>
      </c>
      <c r="E37" s="0" t="s">
        <v>15</v>
      </c>
      <c r="F37" s="0" t="s">
        <v>29</v>
      </c>
      <c r="G37" s="0" t="s">
        <v>30</v>
      </c>
      <c r="H37" s="0" t="n">
        <v>2021</v>
      </c>
      <c r="I37" s="0" t="s">
        <v>54</v>
      </c>
      <c r="J37" s="8" t="n">
        <v>0.988</v>
      </c>
      <c r="K37" s="0" t="s">
        <v>75</v>
      </c>
      <c r="M37" s="0" t="s">
        <v>76</v>
      </c>
    </row>
    <row r="38" customFormat="false" ht="15" hidden="false" customHeight="false" outlineLevel="0" collapsed="false">
      <c r="A38" s="0" t="s">
        <v>2</v>
      </c>
      <c r="B38" s="0" t="s">
        <v>6</v>
      </c>
      <c r="C38" s="0" t="s">
        <v>37</v>
      </c>
      <c r="D38" s="0" t="s">
        <v>27</v>
      </c>
      <c r="E38" s="0" t="s">
        <v>15</v>
      </c>
      <c r="F38" s="0" t="s">
        <v>29</v>
      </c>
      <c r="G38" s="0" t="s">
        <v>30</v>
      </c>
      <c r="H38" s="0" t="n">
        <v>2021</v>
      </c>
      <c r="I38" s="0" t="s">
        <v>54</v>
      </c>
      <c r="J38" s="8" t="n">
        <v>0.963</v>
      </c>
      <c r="K38" s="0" t="s">
        <v>57</v>
      </c>
      <c r="M38" s="10" t="s">
        <v>77</v>
      </c>
    </row>
    <row r="39" customFormat="false" ht="15" hidden="false" customHeight="false" outlineLevel="0" collapsed="false">
      <c r="A39" s="0" t="s">
        <v>2</v>
      </c>
      <c r="B39" s="0" t="s">
        <v>6</v>
      </c>
      <c r="C39" s="0" t="s">
        <v>39</v>
      </c>
      <c r="D39" s="0" t="s">
        <v>27</v>
      </c>
      <c r="E39" s="0" t="s">
        <v>15</v>
      </c>
      <c r="F39" s="0" t="s">
        <v>29</v>
      </c>
      <c r="G39" s="0" t="s">
        <v>30</v>
      </c>
      <c r="H39" s="0" t="n">
        <v>2021</v>
      </c>
      <c r="I39" s="0" t="s">
        <v>54</v>
      </c>
      <c r="J39" s="8" t="n">
        <v>0.981</v>
      </c>
      <c r="K39" s="0" t="s">
        <v>59</v>
      </c>
      <c r="M39" s="0" t="s">
        <v>78</v>
      </c>
    </row>
    <row r="40" customFormat="false" ht="15" hidden="false" customHeight="false" outlineLevel="0" collapsed="false">
      <c r="A40" s="0" t="s">
        <v>2</v>
      </c>
      <c r="B40" s="0" t="s">
        <v>6</v>
      </c>
      <c r="C40" s="0" t="s">
        <v>41</v>
      </c>
      <c r="D40" s="0" t="s">
        <v>27</v>
      </c>
      <c r="E40" s="0" t="s">
        <v>15</v>
      </c>
      <c r="F40" s="0" t="s">
        <v>29</v>
      </c>
      <c r="G40" s="0" t="s">
        <v>30</v>
      </c>
      <c r="H40" s="0" t="n">
        <v>2021</v>
      </c>
      <c r="I40" s="0" t="s">
        <v>54</v>
      </c>
      <c r="J40" s="8" t="n">
        <v>0.992</v>
      </c>
      <c r="K40" s="0" t="s">
        <v>61</v>
      </c>
      <c r="M40" s="0" t="s">
        <v>60</v>
      </c>
    </row>
    <row r="41" customFormat="false" ht="15" hidden="false" customHeight="false" outlineLevel="0" collapsed="false">
      <c r="A41" s="0" t="s">
        <v>2</v>
      </c>
      <c r="B41" s="0" t="s">
        <v>6</v>
      </c>
      <c r="C41" s="0" t="s">
        <v>43</v>
      </c>
      <c r="D41" s="0" t="s">
        <v>27</v>
      </c>
      <c r="E41" s="0" t="s">
        <v>15</v>
      </c>
      <c r="F41" s="0" t="s">
        <v>29</v>
      </c>
      <c r="G41" s="0" t="s">
        <v>30</v>
      </c>
      <c r="H41" s="0" t="n">
        <v>2021</v>
      </c>
      <c r="I41" s="0" t="s">
        <v>54</v>
      </c>
      <c r="J41" s="8" t="n">
        <v>0.986</v>
      </c>
      <c r="K41" s="0" t="s">
        <v>63</v>
      </c>
    </row>
    <row r="42" customFormat="false" ht="15" hidden="false" customHeight="false" outlineLevel="0" collapsed="false">
      <c r="A42" s="0" t="s">
        <v>2</v>
      </c>
      <c r="B42" s="0" t="s">
        <v>6</v>
      </c>
      <c r="C42" s="0" t="s">
        <v>45</v>
      </c>
      <c r="D42" s="0" t="s">
        <v>27</v>
      </c>
      <c r="E42" s="0" t="s">
        <v>15</v>
      </c>
      <c r="F42" s="0" t="s">
        <v>29</v>
      </c>
      <c r="G42" s="0" t="s">
        <v>30</v>
      </c>
      <c r="H42" s="0" t="n">
        <v>2021</v>
      </c>
      <c r="I42" s="0" t="s">
        <v>54</v>
      </c>
      <c r="J42" s="8" t="n">
        <v>0.986</v>
      </c>
      <c r="K42" s="0" t="s">
        <v>64</v>
      </c>
    </row>
    <row r="43" customFormat="false" ht="15" hidden="false" customHeight="false" outlineLevel="0" collapsed="false">
      <c r="A43" s="0" t="s">
        <v>2</v>
      </c>
      <c r="B43" s="0" t="s">
        <v>6</v>
      </c>
      <c r="C43" s="0" t="s">
        <v>33</v>
      </c>
      <c r="D43" s="0" t="s">
        <v>33</v>
      </c>
      <c r="E43" s="0" t="s">
        <v>16</v>
      </c>
      <c r="F43" s="0" t="s">
        <v>34</v>
      </c>
      <c r="G43" s="0" t="s">
        <v>35</v>
      </c>
      <c r="H43" s="0" t="n">
        <v>2021</v>
      </c>
      <c r="I43" s="0" t="s">
        <v>54</v>
      </c>
      <c r="J43" s="0" t="n">
        <v>4.2</v>
      </c>
      <c r="K43" s="0" t="s">
        <v>79</v>
      </c>
      <c r="L43" s="0" t="n">
        <v>0.1</v>
      </c>
      <c r="M43" s="0" t="s">
        <v>80</v>
      </c>
    </row>
    <row r="44" customFormat="false" ht="15" hidden="false" customHeight="false" outlineLevel="0" collapsed="false">
      <c r="A44" s="0" t="s">
        <v>2</v>
      </c>
      <c r="B44" s="0" t="s">
        <v>6</v>
      </c>
      <c r="C44" s="0" t="s">
        <v>33</v>
      </c>
      <c r="D44" s="0" t="s">
        <v>28</v>
      </c>
      <c r="E44" s="0" t="s">
        <v>16</v>
      </c>
      <c r="F44" s="0" t="s">
        <v>34</v>
      </c>
      <c r="G44" s="0" t="s">
        <v>35</v>
      </c>
      <c r="H44" s="0" t="n">
        <v>2021</v>
      </c>
      <c r="I44" s="0" t="s">
        <v>54</v>
      </c>
      <c r="J44" s="0" t="n">
        <v>4.1</v>
      </c>
      <c r="K44" s="0" t="s">
        <v>81</v>
      </c>
      <c r="M44" s="0" t="s">
        <v>80</v>
      </c>
    </row>
    <row r="45" customFormat="false" ht="15" hidden="false" customHeight="false" outlineLevel="0" collapsed="false">
      <c r="A45" s="0" t="s">
        <v>2</v>
      </c>
      <c r="B45" s="0" t="s">
        <v>6</v>
      </c>
      <c r="C45" s="0" t="s">
        <v>33</v>
      </c>
      <c r="D45" s="0" t="s">
        <v>82</v>
      </c>
      <c r="E45" s="0" t="s">
        <v>16</v>
      </c>
      <c r="F45" s="0" t="s">
        <v>34</v>
      </c>
      <c r="G45" s="0" t="s">
        <v>35</v>
      </c>
      <c r="H45" s="0" t="n">
        <v>2021</v>
      </c>
      <c r="I45" s="0" t="s">
        <v>54</v>
      </c>
      <c r="J45" s="0" t="n">
        <v>4.3</v>
      </c>
      <c r="K45" s="0" t="s">
        <v>83</v>
      </c>
      <c r="M45" s="0" t="s">
        <v>80</v>
      </c>
    </row>
    <row r="46" customFormat="false" ht="15" hidden="false" customHeight="false" outlineLevel="0" collapsed="false">
      <c r="A46" s="0" t="s">
        <v>2</v>
      </c>
      <c r="B46" s="0" t="s">
        <v>6</v>
      </c>
      <c r="C46" s="0" t="s">
        <v>33</v>
      </c>
      <c r="D46" s="0" t="s">
        <v>33</v>
      </c>
      <c r="E46" s="0" t="s">
        <v>16</v>
      </c>
      <c r="F46" s="0" t="s">
        <v>47</v>
      </c>
      <c r="G46" s="0" t="s">
        <v>35</v>
      </c>
      <c r="H46" s="0" t="n">
        <v>2021</v>
      </c>
      <c r="I46" s="0" t="s">
        <v>54</v>
      </c>
      <c r="J46" s="0" t="n">
        <f aca="false">(5.5-2.5)/1.35</f>
        <v>2.22222222222222</v>
      </c>
      <c r="M46" s="0" t="s">
        <v>84</v>
      </c>
    </row>
    <row r="47" customFormat="false" ht="15" hidden="false" customHeight="false" outlineLevel="0" collapsed="false">
      <c r="A47" s="0" t="s">
        <v>2</v>
      </c>
      <c r="B47" s="0" t="s">
        <v>6</v>
      </c>
      <c r="C47" s="0" t="s">
        <v>33</v>
      </c>
      <c r="D47" s="0" t="s">
        <v>28</v>
      </c>
      <c r="E47" s="0" t="s">
        <v>16</v>
      </c>
      <c r="F47" s="0" t="s">
        <v>47</v>
      </c>
      <c r="G47" s="0" t="s">
        <v>35</v>
      </c>
      <c r="H47" s="0" t="n">
        <v>2021</v>
      </c>
      <c r="I47" s="0" t="s">
        <v>54</v>
      </c>
      <c r="J47" s="0" t="n">
        <f aca="false">(5.4-2.4)/1.35</f>
        <v>2.22222222222222</v>
      </c>
      <c r="M47" s="0" t="s">
        <v>84</v>
      </c>
    </row>
    <row r="48" customFormat="false" ht="15" hidden="false" customHeight="false" outlineLevel="0" collapsed="false">
      <c r="A48" s="0" t="s">
        <v>2</v>
      </c>
      <c r="B48" s="0" t="s">
        <v>6</v>
      </c>
      <c r="C48" s="0" t="s">
        <v>33</v>
      </c>
      <c r="D48" s="0" t="s">
        <v>82</v>
      </c>
      <c r="E48" s="0" t="s">
        <v>16</v>
      </c>
      <c r="F48" s="0" t="s">
        <v>47</v>
      </c>
      <c r="G48" s="0" t="s">
        <v>35</v>
      </c>
      <c r="H48" s="0" t="n">
        <v>2021</v>
      </c>
      <c r="I48" s="0" t="s">
        <v>54</v>
      </c>
      <c r="J48" s="0" t="n">
        <f aca="false">(5.6-2.5)/1.35</f>
        <v>2.2962962962963</v>
      </c>
      <c r="M48" s="0" t="s">
        <v>84</v>
      </c>
    </row>
    <row r="49" customFormat="false" ht="144.75" hidden="false" customHeight="true" outlineLevel="0" collapsed="false">
      <c r="A49" s="0" t="s">
        <v>2</v>
      </c>
      <c r="B49" s="0" t="s">
        <v>6</v>
      </c>
      <c r="C49" s="0" t="s">
        <v>33</v>
      </c>
      <c r="D49" s="0" t="s">
        <v>33</v>
      </c>
      <c r="E49" s="0" t="s">
        <v>17</v>
      </c>
      <c r="F49" s="0" t="s">
        <v>29</v>
      </c>
      <c r="G49" s="0" t="s">
        <v>30</v>
      </c>
      <c r="H49" s="0" t="n">
        <v>2021</v>
      </c>
      <c r="I49" s="0" t="s">
        <v>31</v>
      </c>
      <c r="J49" s="11" t="n">
        <v>1</v>
      </c>
      <c r="K49" s="8"/>
      <c r="L49" s="8"/>
      <c r="M49" s="6" t="s">
        <v>85</v>
      </c>
    </row>
    <row r="50" customFormat="false" ht="15" hidden="false" customHeight="false" outlineLevel="0" collapsed="false">
      <c r="A50" s="0" t="s">
        <v>2</v>
      </c>
      <c r="B50" s="0" t="s">
        <v>6</v>
      </c>
      <c r="C50" s="0" t="s">
        <v>37</v>
      </c>
      <c r="D50" s="0" t="s">
        <v>27</v>
      </c>
      <c r="E50" s="0" t="s">
        <v>17</v>
      </c>
      <c r="F50" s="0" t="s">
        <v>29</v>
      </c>
      <c r="G50" s="0" t="s">
        <v>30</v>
      </c>
      <c r="H50" s="0" t="n">
        <v>2021</v>
      </c>
      <c r="I50" s="0" t="s">
        <v>31</v>
      </c>
      <c r="J50" s="8" t="n">
        <v>1</v>
      </c>
      <c r="M50" s="0" t="s">
        <v>86</v>
      </c>
    </row>
    <row r="51" customFormat="false" ht="15" hidden="false" customHeight="false" outlineLevel="0" collapsed="false">
      <c r="A51" s="0" t="s">
        <v>2</v>
      </c>
      <c r="B51" s="0" t="s">
        <v>6</v>
      </c>
      <c r="C51" s="0" t="s">
        <v>39</v>
      </c>
      <c r="D51" s="0" t="s">
        <v>27</v>
      </c>
      <c r="E51" s="0" t="s">
        <v>17</v>
      </c>
      <c r="F51" s="0" t="s">
        <v>29</v>
      </c>
      <c r="G51" s="0" t="s">
        <v>30</v>
      </c>
      <c r="H51" s="0" t="n">
        <v>2021</v>
      </c>
      <c r="I51" s="0" t="s">
        <v>31</v>
      </c>
      <c r="J51" s="5" t="n">
        <v>1</v>
      </c>
      <c r="M51" s="0" t="s">
        <v>87</v>
      </c>
    </row>
    <row r="52" customFormat="false" ht="15" hidden="false" customHeight="false" outlineLevel="0" collapsed="false">
      <c r="A52" s="0" t="s">
        <v>2</v>
      </c>
      <c r="B52" s="0" t="s">
        <v>6</v>
      </c>
      <c r="C52" s="0" t="s">
        <v>41</v>
      </c>
      <c r="D52" s="0" t="s">
        <v>27</v>
      </c>
      <c r="E52" s="0" t="s">
        <v>17</v>
      </c>
      <c r="F52" s="0" t="s">
        <v>29</v>
      </c>
      <c r="G52" s="0" t="s">
        <v>30</v>
      </c>
      <c r="H52" s="0" t="n">
        <v>2021</v>
      </c>
      <c r="I52" s="0" t="s">
        <v>31</v>
      </c>
      <c r="J52" s="12" t="n">
        <v>1</v>
      </c>
      <c r="M52" s="0" t="s">
        <v>88</v>
      </c>
    </row>
    <row r="53" customFormat="false" ht="15" hidden="false" customHeight="false" outlineLevel="0" collapsed="false">
      <c r="A53" s="0" t="s">
        <v>2</v>
      </c>
      <c r="B53" s="0" t="s">
        <v>6</v>
      </c>
      <c r="C53" s="0" t="s">
        <v>43</v>
      </c>
      <c r="D53" s="0" t="s">
        <v>27</v>
      </c>
      <c r="E53" s="0" t="s">
        <v>17</v>
      </c>
      <c r="F53" s="0" t="s">
        <v>29</v>
      </c>
      <c r="G53" s="0" t="s">
        <v>30</v>
      </c>
      <c r="H53" s="0" t="n">
        <v>2021</v>
      </c>
      <c r="I53" s="0" t="s">
        <v>31</v>
      </c>
      <c r="J53" s="5" t="n">
        <v>1</v>
      </c>
      <c r="M53" s="0" t="s">
        <v>89</v>
      </c>
    </row>
    <row r="54" customFormat="false" ht="15" hidden="false" customHeight="false" outlineLevel="0" collapsed="false">
      <c r="A54" s="0" t="s">
        <v>2</v>
      </c>
      <c r="B54" s="0" t="s">
        <v>6</v>
      </c>
      <c r="C54" s="0" t="s">
        <v>45</v>
      </c>
      <c r="D54" s="0" t="s">
        <v>27</v>
      </c>
      <c r="E54" s="0" t="s">
        <v>17</v>
      </c>
      <c r="F54" s="0" t="s">
        <v>29</v>
      </c>
      <c r="G54" s="0" t="s">
        <v>30</v>
      </c>
      <c r="H54" s="0" t="n">
        <v>2021</v>
      </c>
      <c r="I54" s="0" t="s">
        <v>31</v>
      </c>
      <c r="J54" s="12" t="n">
        <v>1</v>
      </c>
      <c r="M54" s="0" t="s">
        <v>90</v>
      </c>
    </row>
    <row r="55" customFormat="false" ht="57.75" hidden="false" customHeight="true" outlineLevel="0" collapsed="false">
      <c r="A55" s="0" t="s">
        <v>3</v>
      </c>
      <c r="B55" s="0" t="s">
        <v>7</v>
      </c>
      <c r="C55" s="0" t="s">
        <v>33</v>
      </c>
      <c r="D55" s="0" t="s">
        <v>27</v>
      </c>
      <c r="E55" s="0" t="s">
        <v>17</v>
      </c>
      <c r="F55" s="0" t="s">
        <v>29</v>
      </c>
      <c r="G55" s="0" t="s">
        <v>30</v>
      </c>
      <c r="H55" s="0" t="n">
        <v>2024</v>
      </c>
      <c r="I55" s="0" t="s">
        <v>91</v>
      </c>
      <c r="J55" s="11" t="n">
        <v>0.45</v>
      </c>
      <c r="M55" s="6" t="s">
        <v>92</v>
      </c>
    </row>
    <row r="56" customFormat="false" ht="15" hidden="false" customHeight="true" outlineLevel="0" collapsed="false">
      <c r="A56" s="0" t="s">
        <v>2</v>
      </c>
      <c r="B56" s="0" t="s">
        <v>7</v>
      </c>
      <c r="C56" s="0" t="s">
        <v>27</v>
      </c>
      <c r="D56" s="0" t="s">
        <v>27</v>
      </c>
      <c r="E56" s="0" t="s">
        <v>17</v>
      </c>
      <c r="F56" s="0" t="s">
        <v>29</v>
      </c>
      <c r="G56" s="0" t="s">
        <v>30</v>
      </c>
      <c r="I56" s="0" t="s">
        <v>31</v>
      </c>
      <c r="J56" s="5" t="n">
        <v>0.9</v>
      </c>
      <c r="M56" s="6" t="s">
        <v>93</v>
      </c>
    </row>
    <row r="57" customFormat="false" ht="43.5" hidden="false" customHeight="true" outlineLevel="0" collapsed="false">
      <c r="A57" s="0" t="s">
        <v>2</v>
      </c>
      <c r="B57" s="0" t="s">
        <v>7</v>
      </c>
      <c r="C57" s="0" t="s">
        <v>33</v>
      </c>
      <c r="D57" s="0" t="s">
        <v>28</v>
      </c>
      <c r="E57" s="0" t="s">
        <v>14</v>
      </c>
      <c r="F57" s="0" t="s">
        <v>34</v>
      </c>
      <c r="G57" s="0" t="s">
        <v>35</v>
      </c>
      <c r="H57" s="0" t="n">
        <v>2021</v>
      </c>
      <c r="I57" s="0" t="s">
        <v>54</v>
      </c>
      <c r="J57" s="0" t="n">
        <f aca="false">61.2*J63</f>
        <v>33.048</v>
      </c>
      <c r="M57" s="6" t="s">
        <v>94</v>
      </c>
    </row>
    <row r="58" customFormat="false" ht="43.5" hidden="false" customHeight="true" outlineLevel="0" collapsed="false">
      <c r="A58" s="0" t="s">
        <v>2</v>
      </c>
      <c r="B58" s="0" t="s">
        <v>7</v>
      </c>
      <c r="C58" s="0" t="s">
        <v>37</v>
      </c>
      <c r="D58" s="0" t="s">
        <v>28</v>
      </c>
      <c r="E58" s="0" t="s">
        <v>14</v>
      </c>
      <c r="F58" s="0" t="s">
        <v>34</v>
      </c>
      <c r="G58" s="0" t="s">
        <v>35</v>
      </c>
      <c r="H58" s="0" t="n">
        <v>2021</v>
      </c>
      <c r="I58" s="0" t="s">
        <v>31</v>
      </c>
      <c r="J58" s="0" t="n">
        <f aca="false">34.1*J64</f>
        <v>11.4576</v>
      </c>
      <c r="M58" s="6" t="s">
        <v>95</v>
      </c>
    </row>
    <row r="59" customFormat="false" ht="43.5" hidden="false" customHeight="true" outlineLevel="0" collapsed="false">
      <c r="A59" s="0" t="s">
        <v>2</v>
      </c>
      <c r="B59" s="0" t="s">
        <v>7</v>
      </c>
      <c r="C59" s="0" t="s">
        <v>39</v>
      </c>
      <c r="D59" s="0" t="s">
        <v>28</v>
      </c>
      <c r="E59" s="0" t="s">
        <v>14</v>
      </c>
      <c r="F59" s="0" t="s">
        <v>34</v>
      </c>
      <c r="G59" s="0" t="s">
        <v>35</v>
      </c>
      <c r="H59" s="0" t="n">
        <v>2021</v>
      </c>
      <c r="I59" s="0" t="s">
        <v>54</v>
      </c>
      <c r="J59" s="0" t="n">
        <f aca="false">52.4*J65</f>
        <v>23.4752</v>
      </c>
      <c r="M59" s="6" t="s">
        <v>94</v>
      </c>
    </row>
    <row r="60" customFormat="false" ht="43.5" hidden="false" customHeight="true" outlineLevel="0" collapsed="false">
      <c r="A60" s="0" t="s">
        <v>2</v>
      </c>
      <c r="B60" s="0" t="s">
        <v>7</v>
      </c>
      <c r="C60" s="0" t="s">
        <v>41</v>
      </c>
      <c r="D60" s="0" t="s">
        <v>28</v>
      </c>
      <c r="E60" s="0" t="s">
        <v>14</v>
      </c>
      <c r="F60" s="0" t="s">
        <v>34</v>
      </c>
      <c r="G60" s="0" t="s">
        <v>35</v>
      </c>
      <c r="H60" s="0" t="n">
        <v>2021</v>
      </c>
      <c r="I60" s="0" t="s">
        <v>54</v>
      </c>
      <c r="J60" s="0" t="n">
        <f aca="false">60.7*J66</f>
        <v>33.1422</v>
      </c>
      <c r="M60" s="6" t="s">
        <v>94</v>
      </c>
    </row>
    <row r="61" customFormat="false" ht="43.5" hidden="false" customHeight="true" outlineLevel="0" collapsed="false">
      <c r="A61" s="0" t="s">
        <v>2</v>
      </c>
      <c r="B61" s="0" t="s">
        <v>7</v>
      </c>
      <c r="C61" s="0" t="s">
        <v>43</v>
      </c>
      <c r="D61" s="0" t="s">
        <v>28</v>
      </c>
      <c r="E61" s="0" t="s">
        <v>14</v>
      </c>
      <c r="F61" s="0" t="s">
        <v>34</v>
      </c>
      <c r="G61" s="0" t="s">
        <v>35</v>
      </c>
      <c r="H61" s="0" t="n">
        <v>2021</v>
      </c>
      <c r="I61" s="0" t="s">
        <v>54</v>
      </c>
      <c r="J61" s="0" t="n">
        <f aca="false">73.7*J67</f>
        <v>46.6521</v>
      </c>
      <c r="M61" s="6" t="s">
        <v>94</v>
      </c>
    </row>
    <row r="62" customFormat="false" ht="43.5" hidden="false" customHeight="true" outlineLevel="0" collapsed="false">
      <c r="A62" s="0" t="s">
        <v>2</v>
      </c>
      <c r="B62" s="0" t="s">
        <v>7</v>
      </c>
      <c r="C62" s="0" t="s">
        <v>45</v>
      </c>
      <c r="D62" s="0" t="s">
        <v>28</v>
      </c>
      <c r="E62" s="0" t="s">
        <v>14</v>
      </c>
      <c r="F62" s="0" t="s">
        <v>34</v>
      </c>
      <c r="G62" s="0" t="s">
        <v>35</v>
      </c>
      <c r="H62" s="0" t="n">
        <v>2021</v>
      </c>
      <c r="I62" s="0" t="s">
        <v>54</v>
      </c>
      <c r="J62" s="0" t="n">
        <f aca="false">79.5*J68</f>
        <v>53.742</v>
      </c>
      <c r="M62" s="6" t="s">
        <v>94</v>
      </c>
    </row>
    <row r="63" customFormat="false" ht="29.25" hidden="false" customHeight="true" outlineLevel="0" collapsed="false">
      <c r="A63" s="0" t="s">
        <v>2</v>
      </c>
      <c r="B63" s="0" t="s">
        <v>7</v>
      </c>
      <c r="C63" s="0" t="s">
        <v>33</v>
      </c>
      <c r="D63" s="0" t="s">
        <v>28</v>
      </c>
      <c r="E63" s="0" t="s">
        <v>12</v>
      </c>
      <c r="F63" s="0" t="s">
        <v>29</v>
      </c>
      <c r="G63" s="0" t="s">
        <v>30</v>
      </c>
      <c r="I63" s="0" t="s">
        <v>31</v>
      </c>
      <c r="J63" s="11" t="n">
        <v>0.54</v>
      </c>
      <c r="M63" s="6" t="s">
        <v>96</v>
      </c>
    </row>
    <row r="64" customFormat="false" ht="15" hidden="false" customHeight="false" outlineLevel="0" collapsed="false">
      <c r="A64" s="0" t="s">
        <v>2</v>
      </c>
      <c r="B64" s="0" t="s">
        <v>7</v>
      </c>
      <c r="C64" s="0" t="s">
        <v>37</v>
      </c>
      <c r="D64" s="0" t="s">
        <v>28</v>
      </c>
      <c r="E64" s="0" t="s">
        <v>12</v>
      </c>
      <c r="F64" s="0" t="s">
        <v>29</v>
      </c>
      <c r="G64" s="0" t="s">
        <v>30</v>
      </c>
      <c r="I64" s="0" t="s">
        <v>97</v>
      </c>
      <c r="J64" s="11" t="n">
        <v>0.336</v>
      </c>
    </row>
    <row r="65" customFormat="false" ht="15" hidden="false" customHeight="false" outlineLevel="0" collapsed="false">
      <c r="A65" s="0" t="s">
        <v>2</v>
      </c>
      <c r="B65" s="0" t="s">
        <v>7</v>
      </c>
      <c r="C65" s="0" t="s">
        <v>39</v>
      </c>
      <c r="D65" s="0" t="s">
        <v>28</v>
      </c>
      <c r="E65" s="0" t="s">
        <v>12</v>
      </c>
      <c r="F65" s="0" t="s">
        <v>29</v>
      </c>
      <c r="G65" s="0" t="s">
        <v>30</v>
      </c>
      <c r="I65" s="0" t="s">
        <v>97</v>
      </c>
      <c r="J65" s="11" t="n">
        <v>0.448</v>
      </c>
    </row>
    <row r="66" customFormat="false" ht="15" hidden="false" customHeight="false" outlineLevel="0" collapsed="false">
      <c r="A66" s="0" t="s">
        <v>2</v>
      </c>
      <c r="B66" s="0" t="s">
        <v>7</v>
      </c>
      <c r="C66" s="0" t="s">
        <v>41</v>
      </c>
      <c r="D66" s="0" t="s">
        <v>28</v>
      </c>
      <c r="E66" s="0" t="s">
        <v>12</v>
      </c>
      <c r="F66" s="0" t="s">
        <v>29</v>
      </c>
      <c r="G66" s="0" t="s">
        <v>30</v>
      </c>
      <c r="I66" s="0" t="s">
        <v>97</v>
      </c>
      <c r="J66" s="11" t="n">
        <v>0.546</v>
      </c>
    </row>
    <row r="67" customFormat="false" ht="15" hidden="false" customHeight="false" outlineLevel="0" collapsed="false">
      <c r="A67" s="0" t="s">
        <v>2</v>
      </c>
      <c r="B67" s="0" t="s">
        <v>7</v>
      </c>
      <c r="C67" s="0" t="s">
        <v>43</v>
      </c>
      <c r="D67" s="0" t="s">
        <v>28</v>
      </c>
      <c r="E67" s="0" t="s">
        <v>12</v>
      </c>
      <c r="F67" s="0" t="s">
        <v>29</v>
      </c>
      <c r="G67" s="0" t="s">
        <v>30</v>
      </c>
      <c r="I67" s="0" t="s">
        <v>97</v>
      </c>
      <c r="J67" s="11" t="n">
        <v>0.633</v>
      </c>
    </row>
    <row r="68" customFormat="false" ht="15" hidden="false" customHeight="false" outlineLevel="0" collapsed="false">
      <c r="A68" s="0" t="s">
        <v>2</v>
      </c>
      <c r="B68" s="0" t="s">
        <v>7</v>
      </c>
      <c r="C68" s="0" t="s">
        <v>45</v>
      </c>
      <c r="D68" s="0" t="s">
        <v>28</v>
      </c>
      <c r="E68" s="0" t="s">
        <v>12</v>
      </c>
      <c r="F68" s="0" t="s">
        <v>29</v>
      </c>
      <c r="G68" s="0" t="s">
        <v>30</v>
      </c>
      <c r="I68" s="0" t="s">
        <v>97</v>
      </c>
      <c r="J68" s="11" t="n">
        <v>0.676</v>
      </c>
    </row>
    <row r="69" customFormat="false" ht="29.25" hidden="false" customHeight="true" outlineLevel="0" collapsed="false">
      <c r="A69" s="0" t="s">
        <v>2</v>
      </c>
      <c r="B69" s="0" t="s">
        <v>7</v>
      </c>
      <c r="C69" s="0" t="s">
        <v>33</v>
      </c>
      <c r="D69" s="0" t="s">
        <v>28</v>
      </c>
      <c r="E69" s="0" t="s">
        <v>14</v>
      </c>
      <c r="F69" s="0" t="s">
        <v>47</v>
      </c>
      <c r="G69" s="0" t="s">
        <v>35</v>
      </c>
      <c r="H69" s="0" t="n">
        <v>2021</v>
      </c>
      <c r="I69" s="0" t="s">
        <v>54</v>
      </c>
      <c r="J69" s="0" t="n">
        <f aca="false">(84.6-30.5)/1.35</f>
        <v>40.0740740740741</v>
      </c>
      <c r="M69" s="6" t="s">
        <v>98</v>
      </c>
    </row>
    <row r="70" customFormat="false" ht="15" hidden="false" customHeight="false" outlineLevel="0" collapsed="false">
      <c r="A70" s="0" t="s">
        <v>2</v>
      </c>
      <c r="B70" s="0" t="s">
        <v>7</v>
      </c>
      <c r="C70" s="0" t="s">
        <v>37</v>
      </c>
      <c r="D70" s="0" t="s">
        <v>28</v>
      </c>
      <c r="E70" s="0" t="s">
        <v>14</v>
      </c>
      <c r="F70" s="0" t="s">
        <v>47</v>
      </c>
      <c r="G70" s="0" t="s">
        <v>35</v>
      </c>
      <c r="H70" s="0" t="n">
        <v>2021</v>
      </c>
      <c r="I70" s="0" t="s">
        <v>54</v>
      </c>
      <c r="J70" s="0" t="n">
        <f aca="false">(47.2-13.7)/1.35</f>
        <v>24.8148148148148</v>
      </c>
    </row>
    <row r="71" customFormat="false" ht="15" hidden="false" customHeight="false" outlineLevel="0" collapsed="false">
      <c r="A71" s="0" t="s">
        <v>2</v>
      </c>
      <c r="B71" s="0" t="s">
        <v>7</v>
      </c>
      <c r="C71" s="0" t="s">
        <v>39</v>
      </c>
      <c r="D71" s="0" t="s">
        <v>28</v>
      </c>
      <c r="E71" s="0" t="s">
        <v>14</v>
      </c>
      <c r="F71" s="0" t="s">
        <v>47</v>
      </c>
      <c r="G71" s="0" t="s">
        <v>35</v>
      </c>
      <c r="H71" s="0" t="n">
        <v>2021</v>
      </c>
      <c r="I71" s="0" t="s">
        <v>54</v>
      </c>
      <c r="J71" s="0" t="n">
        <f aca="false">(71.4-26.4)/1.35</f>
        <v>33.3333333333333</v>
      </c>
    </row>
    <row r="72" customFormat="false" ht="15" hidden="false" customHeight="false" outlineLevel="0" collapsed="false">
      <c r="A72" s="0" t="s">
        <v>2</v>
      </c>
      <c r="B72" s="0" t="s">
        <v>7</v>
      </c>
      <c r="C72" s="0" t="s">
        <v>41</v>
      </c>
      <c r="D72" s="0" t="s">
        <v>28</v>
      </c>
      <c r="E72" s="0" t="s">
        <v>14</v>
      </c>
      <c r="F72" s="0" t="s">
        <v>47</v>
      </c>
      <c r="G72" s="0" t="s">
        <v>35</v>
      </c>
      <c r="H72" s="0" t="n">
        <v>2021</v>
      </c>
      <c r="I72" s="0" t="s">
        <v>54</v>
      </c>
      <c r="J72" s="0" t="n">
        <f aca="false">(81.1-33.8)/1.35</f>
        <v>35.037037037037</v>
      </c>
    </row>
    <row r="73" customFormat="false" ht="15" hidden="false" customHeight="false" outlineLevel="0" collapsed="false">
      <c r="A73" s="0" t="s">
        <v>2</v>
      </c>
      <c r="B73" s="0" t="s">
        <v>7</v>
      </c>
      <c r="C73" s="0" t="s">
        <v>43</v>
      </c>
      <c r="D73" s="0" t="s">
        <v>28</v>
      </c>
      <c r="E73" s="0" t="s">
        <v>14</v>
      </c>
      <c r="F73" s="0" t="s">
        <v>47</v>
      </c>
      <c r="G73" s="0" t="s">
        <v>35</v>
      </c>
      <c r="H73" s="0" t="n">
        <v>2021</v>
      </c>
      <c r="I73" s="0" t="s">
        <v>54</v>
      </c>
      <c r="J73" s="0" t="n">
        <f aca="false">(96.3-45.3)/1.35</f>
        <v>37.7777777777778</v>
      </c>
    </row>
    <row r="74" customFormat="false" ht="15" hidden="false" customHeight="false" outlineLevel="0" collapsed="false">
      <c r="A74" s="0" t="s">
        <v>2</v>
      </c>
      <c r="B74" s="0" t="s">
        <v>7</v>
      </c>
      <c r="C74" s="0" t="s">
        <v>45</v>
      </c>
      <c r="D74" s="0" t="s">
        <v>28</v>
      </c>
      <c r="E74" s="0" t="s">
        <v>14</v>
      </c>
      <c r="F74" s="0" t="s">
        <v>47</v>
      </c>
      <c r="G74" s="0" t="s">
        <v>35</v>
      </c>
      <c r="H74" s="0" t="n">
        <v>2021</v>
      </c>
      <c r="I74" s="0" t="s">
        <v>54</v>
      </c>
      <c r="J74" s="0" t="n">
        <f aca="false">(103.1-50.4)/1.35</f>
        <v>39.037037037037</v>
      </c>
    </row>
    <row r="75" customFormat="false" ht="43.5" hidden="false" customHeight="true" outlineLevel="0" collapsed="false">
      <c r="A75" s="0" t="s">
        <v>2</v>
      </c>
      <c r="B75" s="0" t="s">
        <v>7</v>
      </c>
      <c r="C75" s="0" t="s">
        <v>33</v>
      </c>
      <c r="D75" s="0" t="s">
        <v>33</v>
      </c>
      <c r="E75" s="0" t="s">
        <v>16</v>
      </c>
      <c r="F75" s="0" t="s">
        <v>34</v>
      </c>
      <c r="G75" s="0" t="s">
        <v>35</v>
      </c>
      <c r="H75" s="0" t="n">
        <v>2021</v>
      </c>
      <c r="I75" s="0" t="s">
        <v>54</v>
      </c>
      <c r="J75" s="0" t="n">
        <f aca="false">38.3*J81</f>
        <v>20.5288</v>
      </c>
      <c r="M75" s="6" t="s">
        <v>99</v>
      </c>
    </row>
    <row r="76" customFormat="false" ht="43.5" hidden="false" customHeight="true" outlineLevel="0" collapsed="false">
      <c r="A76" s="0" t="s">
        <v>2</v>
      </c>
      <c r="B76" s="0" t="s">
        <v>7</v>
      </c>
      <c r="C76" s="0" t="s">
        <v>33</v>
      </c>
      <c r="D76" s="0" t="s">
        <v>28</v>
      </c>
      <c r="E76" s="0" t="s">
        <v>16</v>
      </c>
      <c r="F76" s="0" t="s">
        <v>34</v>
      </c>
      <c r="G76" s="0" t="s">
        <v>35</v>
      </c>
      <c r="H76" s="0" t="n">
        <v>2021</v>
      </c>
      <c r="I76" s="0" t="s">
        <v>54</v>
      </c>
      <c r="J76" s="0" t="n">
        <f aca="false">35.5*J81</f>
        <v>19.028</v>
      </c>
      <c r="M76" s="6" t="s">
        <v>99</v>
      </c>
    </row>
    <row r="77" customFormat="false" ht="43.5" hidden="false" customHeight="true" outlineLevel="0" collapsed="false">
      <c r="A77" s="0" t="s">
        <v>2</v>
      </c>
      <c r="B77" s="0" t="s">
        <v>7</v>
      </c>
      <c r="C77" s="0" t="s">
        <v>33</v>
      </c>
      <c r="D77" s="0" t="s">
        <v>82</v>
      </c>
      <c r="E77" s="0" t="s">
        <v>16</v>
      </c>
      <c r="F77" s="0" t="s">
        <v>34</v>
      </c>
      <c r="G77" s="0" t="s">
        <v>35</v>
      </c>
      <c r="H77" s="0" t="n">
        <v>2021</v>
      </c>
      <c r="I77" s="0" t="s">
        <v>54</v>
      </c>
      <c r="J77" s="0" t="n">
        <f aca="false">41*J81</f>
        <v>21.976</v>
      </c>
      <c r="M77" s="6" t="s">
        <v>99</v>
      </c>
    </row>
    <row r="78" customFormat="false" ht="29.25" hidden="false" customHeight="true" outlineLevel="0" collapsed="false">
      <c r="A78" s="0" t="s">
        <v>2</v>
      </c>
      <c r="B78" s="0" t="s">
        <v>7</v>
      </c>
      <c r="C78" s="0" t="s">
        <v>33</v>
      </c>
      <c r="D78" s="0" t="s">
        <v>33</v>
      </c>
      <c r="E78" s="0" t="s">
        <v>16</v>
      </c>
      <c r="F78" s="0" t="s">
        <v>47</v>
      </c>
      <c r="G78" s="0" t="s">
        <v>35</v>
      </c>
      <c r="H78" s="0" t="n">
        <v>2021</v>
      </c>
      <c r="I78" s="0" t="s">
        <v>54</v>
      </c>
      <c r="J78" s="0" t="n">
        <f aca="false">(53.6-19)/1.35</f>
        <v>25.6296296296296</v>
      </c>
      <c r="M78" s="6" t="s">
        <v>100</v>
      </c>
    </row>
    <row r="79" customFormat="false" ht="29.25" hidden="false" customHeight="true" outlineLevel="0" collapsed="false">
      <c r="A79" s="0" t="s">
        <v>2</v>
      </c>
      <c r="B79" s="0" t="s">
        <v>7</v>
      </c>
      <c r="C79" s="0" t="s">
        <v>33</v>
      </c>
      <c r="D79" s="0" t="s">
        <v>28</v>
      </c>
      <c r="E79" s="0" t="s">
        <v>16</v>
      </c>
      <c r="F79" s="0" t="s">
        <v>47</v>
      </c>
      <c r="G79" s="0" t="s">
        <v>35</v>
      </c>
      <c r="H79" s="0" t="n">
        <v>2021</v>
      </c>
      <c r="I79" s="0" t="s">
        <v>54</v>
      </c>
      <c r="J79" s="0" t="n">
        <f aca="false">(49.5-17.1)/1.35</f>
        <v>24</v>
      </c>
      <c r="M79" s="6" t="s">
        <v>100</v>
      </c>
    </row>
    <row r="80" customFormat="false" ht="29.25" hidden="false" customHeight="true" outlineLevel="0" collapsed="false">
      <c r="A80" s="0" t="s">
        <v>2</v>
      </c>
      <c r="B80" s="0" t="s">
        <v>7</v>
      </c>
      <c r="C80" s="0" t="s">
        <v>33</v>
      </c>
      <c r="D80" s="0" t="s">
        <v>82</v>
      </c>
      <c r="E80" s="0" t="s">
        <v>16</v>
      </c>
      <c r="F80" s="0" t="s">
        <v>47</v>
      </c>
      <c r="G80" s="0" t="s">
        <v>35</v>
      </c>
      <c r="H80" s="0" t="n">
        <v>2021</v>
      </c>
      <c r="I80" s="0" t="s">
        <v>54</v>
      </c>
      <c r="J80" s="0" t="n">
        <f aca="false">(57.6-20.7)/1.35</f>
        <v>27.3333333333333</v>
      </c>
      <c r="M80" s="6" t="s">
        <v>100</v>
      </c>
    </row>
    <row r="81" customFormat="false" ht="29.25" hidden="false" customHeight="true" outlineLevel="0" collapsed="false">
      <c r="A81" s="0" t="s">
        <v>2</v>
      </c>
      <c r="B81" s="0" t="s">
        <v>7</v>
      </c>
      <c r="C81" s="0" t="s">
        <v>33</v>
      </c>
      <c r="D81" s="0" t="s">
        <v>27</v>
      </c>
      <c r="E81" s="0" t="s">
        <v>15</v>
      </c>
      <c r="F81" s="0" t="s">
        <v>29</v>
      </c>
      <c r="G81" s="0" t="s">
        <v>30</v>
      </c>
      <c r="I81" s="0" t="s">
        <v>97</v>
      </c>
      <c r="J81" s="11" t="n">
        <v>0.536</v>
      </c>
      <c r="M81" s="6" t="s">
        <v>101</v>
      </c>
    </row>
    <row r="82" customFormat="false" ht="15" hidden="false" customHeight="false" outlineLevel="0" collapsed="false">
      <c r="A82" s="0" t="s">
        <v>2</v>
      </c>
      <c r="B82" s="0" t="s">
        <v>7</v>
      </c>
      <c r="C82" s="0" t="s">
        <v>37</v>
      </c>
      <c r="D82" s="0" t="s">
        <v>27</v>
      </c>
      <c r="E82" s="0" t="s">
        <v>15</v>
      </c>
      <c r="F82" s="0" t="s">
        <v>29</v>
      </c>
      <c r="G82" s="0" t="s">
        <v>30</v>
      </c>
      <c r="I82" s="0" t="s">
        <v>97</v>
      </c>
      <c r="J82" s="11" t="n">
        <v>0.336</v>
      </c>
    </row>
    <row r="83" customFormat="false" ht="15" hidden="false" customHeight="false" outlineLevel="0" collapsed="false">
      <c r="A83" s="0" t="s">
        <v>2</v>
      </c>
      <c r="B83" s="0" t="s">
        <v>7</v>
      </c>
      <c r="C83" s="0" t="s">
        <v>39</v>
      </c>
      <c r="D83" s="0" t="s">
        <v>27</v>
      </c>
      <c r="E83" s="0" t="s">
        <v>15</v>
      </c>
      <c r="F83" s="0" t="s">
        <v>29</v>
      </c>
      <c r="G83" s="0" t="s">
        <v>30</v>
      </c>
      <c r="I83" s="0" t="s">
        <v>97</v>
      </c>
      <c r="J83" s="11" t="n">
        <v>0.448</v>
      </c>
    </row>
    <row r="84" customFormat="false" ht="15" hidden="false" customHeight="false" outlineLevel="0" collapsed="false">
      <c r="A84" s="0" t="s">
        <v>2</v>
      </c>
      <c r="B84" s="0" t="s">
        <v>7</v>
      </c>
      <c r="C84" s="0" t="s">
        <v>41</v>
      </c>
      <c r="D84" s="0" t="s">
        <v>27</v>
      </c>
      <c r="E84" s="0" t="s">
        <v>15</v>
      </c>
      <c r="F84" s="0" t="s">
        <v>29</v>
      </c>
      <c r="G84" s="0" t="s">
        <v>30</v>
      </c>
      <c r="I84" s="0" t="s">
        <v>97</v>
      </c>
      <c r="J84" s="11" t="n">
        <v>0.546</v>
      </c>
    </row>
    <row r="85" customFormat="false" ht="15" hidden="false" customHeight="false" outlineLevel="0" collapsed="false">
      <c r="A85" s="0" t="s">
        <v>2</v>
      </c>
      <c r="B85" s="0" t="s">
        <v>7</v>
      </c>
      <c r="C85" s="0" t="s">
        <v>43</v>
      </c>
      <c r="D85" s="0" t="s">
        <v>27</v>
      </c>
      <c r="E85" s="0" t="s">
        <v>15</v>
      </c>
      <c r="F85" s="0" t="s">
        <v>29</v>
      </c>
      <c r="G85" s="0" t="s">
        <v>30</v>
      </c>
      <c r="I85" s="0" t="s">
        <v>97</v>
      </c>
      <c r="J85" s="11" t="n">
        <v>0.633</v>
      </c>
    </row>
    <row r="86" customFormat="false" ht="15" hidden="false" customHeight="false" outlineLevel="0" collapsed="false">
      <c r="A86" s="0" t="s">
        <v>2</v>
      </c>
      <c r="B86" s="0" t="s">
        <v>7</v>
      </c>
      <c r="C86" s="0" t="s">
        <v>45</v>
      </c>
      <c r="D86" s="0" t="s">
        <v>27</v>
      </c>
      <c r="E86" s="0" t="s">
        <v>15</v>
      </c>
      <c r="F86" s="0" t="s">
        <v>29</v>
      </c>
      <c r="G86" s="0" t="s">
        <v>30</v>
      </c>
      <c r="I86" s="0" t="s">
        <v>97</v>
      </c>
      <c r="J86" s="11" t="n">
        <v>0.676</v>
      </c>
    </row>
    <row r="87" customFormat="false" ht="15" hidden="false" customHeight="false" outlineLevel="0" collapsed="false">
      <c r="A87" s="0" t="s">
        <v>2</v>
      </c>
      <c r="B87" s="0" t="s">
        <v>5</v>
      </c>
      <c r="C87" s="0" t="s">
        <v>33</v>
      </c>
      <c r="D87" s="0" t="s">
        <v>28</v>
      </c>
      <c r="E87" s="0" t="s">
        <v>12</v>
      </c>
      <c r="F87" s="0" t="s">
        <v>29</v>
      </c>
      <c r="G87" s="0" t="s">
        <v>30</v>
      </c>
      <c r="H87" s="0" t="n">
        <v>2021</v>
      </c>
      <c r="I87" s="0" t="s">
        <v>102</v>
      </c>
      <c r="J87" s="0" t="n">
        <v>0.993</v>
      </c>
      <c r="M87" s="0" t="s">
        <v>103</v>
      </c>
    </row>
    <row r="88" customFormat="false" ht="15" hidden="false" customHeight="false" outlineLevel="0" collapsed="false">
      <c r="A88" s="0" t="s">
        <v>2</v>
      </c>
      <c r="B88" s="0" t="s">
        <v>5</v>
      </c>
      <c r="C88" s="0" t="s">
        <v>37</v>
      </c>
      <c r="D88" s="0" t="s">
        <v>28</v>
      </c>
      <c r="E88" s="0" t="s">
        <v>12</v>
      </c>
      <c r="F88" s="0" t="s">
        <v>29</v>
      </c>
      <c r="G88" s="0" t="s">
        <v>30</v>
      </c>
      <c r="H88" s="0" t="n">
        <v>2021</v>
      </c>
      <c r="I88" s="0" t="s">
        <v>102</v>
      </c>
      <c r="J88" s="0" t="n">
        <v>0.995</v>
      </c>
    </row>
    <row r="89" customFormat="false" ht="15" hidden="false" customHeight="false" outlineLevel="0" collapsed="false">
      <c r="A89" s="0" t="s">
        <v>2</v>
      </c>
      <c r="B89" s="0" t="s">
        <v>5</v>
      </c>
      <c r="C89" s="0" t="s">
        <v>39</v>
      </c>
      <c r="D89" s="0" t="s">
        <v>28</v>
      </c>
      <c r="E89" s="0" t="s">
        <v>12</v>
      </c>
      <c r="F89" s="0" t="s">
        <v>29</v>
      </c>
      <c r="G89" s="0" t="s">
        <v>30</v>
      </c>
      <c r="H89" s="0" t="n">
        <v>2021</v>
      </c>
      <c r="I89" s="0" t="s">
        <v>102</v>
      </c>
      <c r="J89" s="0" t="n">
        <v>0.997</v>
      </c>
    </row>
    <row r="90" customFormat="false" ht="15" hidden="false" customHeight="false" outlineLevel="0" collapsed="false">
      <c r="A90" s="0" t="s">
        <v>2</v>
      </c>
      <c r="B90" s="0" t="s">
        <v>5</v>
      </c>
      <c r="C90" s="0" t="s">
        <v>41</v>
      </c>
      <c r="D90" s="0" t="s">
        <v>28</v>
      </c>
      <c r="E90" s="0" t="s">
        <v>12</v>
      </c>
      <c r="F90" s="0" t="s">
        <v>29</v>
      </c>
      <c r="G90" s="0" t="s">
        <v>30</v>
      </c>
      <c r="H90" s="0" t="n">
        <v>2021</v>
      </c>
      <c r="I90" s="0" t="s">
        <v>102</v>
      </c>
      <c r="J90" s="0" t="n">
        <v>0.995</v>
      </c>
    </row>
    <row r="91" customFormat="false" ht="15" hidden="false" customHeight="true" outlineLevel="0" collapsed="false">
      <c r="A91" s="0" t="s">
        <v>2</v>
      </c>
      <c r="B91" s="0" t="s">
        <v>5</v>
      </c>
      <c r="C91" s="0" t="s">
        <v>43</v>
      </c>
      <c r="D91" s="0" t="s">
        <v>28</v>
      </c>
      <c r="E91" s="0" t="s">
        <v>12</v>
      </c>
      <c r="F91" s="0" t="s">
        <v>29</v>
      </c>
      <c r="G91" s="0" t="s">
        <v>30</v>
      </c>
      <c r="H91" s="0" t="n">
        <v>2021</v>
      </c>
      <c r="I91" s="0" t="s">
        <v>102</v>
      </c>
      <c r="J91" s="0" t="n">
        <v>0.994</v>
      </c>
    </row>
    <row r="92" customFormat="false" ht="15" hidden="false" customHeight="true" outlineLevel="0" collapsed="false">
      <c r="A92" s="0" t="s">
        <v>2</v>
      </c>
      <c r="B92" s="0" t="s">
        <v>5</v>
      </c>
      <c r="C92" s="0" t="s">
        <v>45</v>
      </c>
      <c r="D92" s="0" t="s">
        <v>28</v>
      </c>
      <c r="E92" s="0" t="s">
        <v>12</v>
      </c>
      <c r="F92" s="0" t="s">
        <v>29</v>
      </c>
      <c r="G92" s="0" t="s">
        <v>30</v>
      </c>
      <c r="H92" s="0" t="n">
        <v>2021</v>
      </c>
      <c r="I92" s="0" t="s">
        <v>102</v>
      </c>
      <c r="J92" s="0" t="n">
        <v>0.985</v>
      </c>
    </row>
    <row r="93" customFormat="false" ht="15" hidden="false" customHeight="false" outlineLevel="0" collapsed="false">
      <c r="A93" s="0" t="s">
        <v>2</v>
      </c>
      <c r="B93" s="0" t="s">
        <v>5</v>
      </c>
      <c r="C93" s="0" t="s">
        <v>33</v>
      </c>
      <c r="D93" s="0" t="s">
        <v>28</v>
      </c>
      <c r="E93" s="0" t="s">
        <v>14</v>
      </c>
      <c r="F93" s="0" t="s">
        <v>34</v>
      </c>
      <c r="G93" s="0" t="s">
        <v>35</v>
      </c>
      <c r="H93" s="0" t="n">
        <v>2021</v>
      </c>
      <c r="I93" s="0" t="s">
        <v>102</v>
      </c>
      <c r="J93" s="0" t="n">
        <v>3.9</v>
      </c>
      <c r="M93" s="0" t="s">
        <v>104</v>
      </c>
    </row>
    <row r="94" customFormat="false" ht="15" hidden="false" customHeight="false" outlineLevel="0" collapsed="false">
      <c r="A94" s="0" t="s">
        <v>2</v>
      </c>
      <c r="B94" s="0" t="s">
        <v>5</v>
      </c>
      <c r="C94" s="0" t="s">
        <v>37</v>
      </c>
      <c r="D94" s="0" t="s">
        <v>28</v>
      </c>
      <c r="E94" s="0" t="s">
        <v>14</v>
      </c>
      <c r="F94" s="0" t="s">
        <v>34</v>
      </c>
      <c r="G94" s="0" t="s">
        <v>35</v>
      </c>
      <c r="H94" s="0" t="n">
        <v>2021</v>
      </c>
      <c r="I94" s="0" t="s">
        <v>102</v>
      </c>
      <c r="J94" s="0" t="n">
        <v>4.2</v>
      </c>
    </row>
    <row r="95" customFormat="false" ht="15" hidden="false" customHeight="false" outlineLevel="0" collapsed="false">
      <c r="A95" s="0" t="s">
        <v>2</v>
      </c>
      <c r="B95" s="0" t="s">
        <v>5</v>
      </c>
      <c r="C95" s="0" t="s">
        <v>39</v>
      </c>
      <c r="D95" s="0" t="s">
        <v>28</v>
      </c>
      <c r="E95" s="0" t="s">
        <v>14</v>
      </c>
      <c r="F95" s="0" t="s">
        <v>34</v>
      </c>
      <c r="G95" s="0" t="s">
        <v>35</v>
      </c>
      <c r="H95" s="0" t="n">
        <v>2021</v>
      </c>
      <c r="I95" s="0" t="s">
        <v>102</v>
      </c>
      <c r="J95" s="0" t="n">
        <v>4</v>
      </c>
    </row>
    <row r="96" customFormat="false" ht="15" hidden="false" customHeight="false" outlineLevel="0" collapsed="false">
      <c r="A96" s="0" t="s">
        <v>2</v>
      </c>
      <c r="B96" s="0" t="s">
        <v>5</v>
      </c>
      <c r="C96" s="0" t="s">
        <v>41</v>
      </c>
      <c r="D96" s="0" t="s">
        <v>28</v>
      </c>
      <c r="E96" s="0" t="s">
        <v>14</v>
      </c>
      <c r="F96" s="0" t="s">
        <v>34</v>
      </c>
      <c r="G96" s="0" t="s">
        <v>35</v>
      </c>
      <c r="H96" s="0" t="n">
        <v>2021</v>
      </c>
      <c r="I96" s="0" t="s">
        <v>102</v>
      </c>
      <c r="J96" s="0" t="n">
        <v>3.8</v>
      </c>
    </row>
    <row r="97" customFormat="false" ht="15" hidden="false" customHeight="true" outlineLevel="0" collapsed="false">
      <c r="A97" s="0" t="s">
        <v>2</v>
      </c>
      <c r="B97" s="0" t="s">
        <v>5</v>
      </c>
      <c r="C97" s="0" t="s">
        <v>43</v>
      </c>
      <c r="D97" s="0" t="s">
        <v>28</v>
      </c>
      <c r="E97" s="0" t="s">
        <v>14</v>
      </c>
      <c r="F97" s="0" t="s">
        <v>34</v>
      </c>
      <c r="G97" s="0" t="s">
        <v>35</v>
      </c>
      <c r="H97" s="0" t="n">
        <v>2021</v>
      </c>
      <c r="I97" s="0" t="s">
        <v>102</v>
      </c>
      <c r="J97" s="0" t="n">
        <v>3.7</v>
      </c>
    </row>
    <row r="98" customFormat="false" ht="15" hidden="false" customHeight="false" outlineLevel="0" collapsed="false">
      <c r="A98" s="0" t="s">
        <v>2</v>
      </c>
      <c r="B98" s="0" t="s">
        <v>5</v>
      </c>
      <c r="C98" s="0" t="s">
        <v>45</v>
      </c>
      <c r="D98" s="0" t="s">
        <v>28</v>
      </c>
      <c r="E98" s="0" t="s">
        <v>14</v>
      </c>
      <c r="F98" s="0" t="s">
        <v>34</v>
      </c>
      <c r="G98" s="0" t="s">
        <v>35</v>
      </c>
      <c r="H98" s="0" t="n">
        <v>2021</v>
      </c>
      <c r="I98" s="0" t="s">
        <v>102</v>
      </c>
      <c r="J98" s="0" t="n">
        <v>3.8</v>
      </c>
    </row>
    <row r="99" customFormat="false" ht="15" hidden="false" customHeight="false" outlineLevel="0" collapsed="false">
      <c r="A99" s="0" t="s">
        <v>2</v>
      </c>
      <c r="B99" s="0" t="s">
        <v>5</v>
      </c>
      <c r="C99" s="0" t="s">
        <v>33</v>
      </c>
      <c r="D99" s="0" t="s">
        <v>28</v>
      </c>
      <c r="E99" s="0" t="s">
        <v>14</v>
      </c>
      <c r="F99" s="0" t="s">
        <v>47</v>
      </c>
      <c r="G99" s="0" t="s">
        <v>35</v>
      </c>
      <c r="I99" s="0" t="s">
        <v>105</v>
      </c>
      <c r="J99" s="0" t="n">
        <v>1.21</v>
      </c>
      <c r="M99" s="0" t="s">
        <v>106</v>
      </c>
    </row>
    <row r="100" customFormat="false" ht="15" hidden="false" customHeight="false" outlineLevel="0" collapsed="false">
      <c r="A100" s="0" t="s">
        <v>2</v>
      </c>
      <c r="B100" s="0" t="s">
        <v>5</v>
      </c>
      <c r="C100" s="0" t="s">
        <v>37</v>
      </c>
      <c r="D100" s="0" t="s">
        <v>28</v>
      </c>
      <c r="E100" s="0" t="s">
        <v>14</v>
      </c>
      <c r="F100" s="0" t="s">
        <v>47</v>
      </c>
      <c r="G100" s="0" t="s">
        <v>35</v>
      </c>
      <c r="I100" s="0" t="s">
        <v>105</v>
      </c>
      <c r="J100" s="0" t="n">
        <v>1.21</v>
      </c>
    </row>
    <row r="101" customFormat="false" ht="15" hidden="false" customHeight="false" outlineLevel="0" collapsed="false">
      <c r="A101" s="0" t="s">
        <v>2</v>
      </c>
      <c r="B101" s="0" t="s">
        <v>5</v>
      </c>
      <c r="C101" s="0" t="s">
        <v>39</v>
      </c>
      <c r="D101" s="0" t="s">
        <v>28</v>
      </c>
      <c r="E101" s="0" t="s">
        <v>14</v>
      </c>
      <c r="F101" s="0" t="s">
        <v>47</v>
      </c>
      <c r="G101" s="0" t="s">
        <v>35</v>
      </c>
      <c r="I101" s="0" t="s">
        <v>105</v>
      </c>
      <c r="J101" s="0" t="n">
        <v>1.21</v>
      </c>
    </row>
    <row r="102" customFormat="false" ht="15" hidden="false" customHeight="true" outlineLevel="0" collapsed="false">
      <c r="A102" s="0" t="s">
        <v>2</v>
      </c>
      <c r="B102" s="0" t="s">
        <v>5</v>
      </c>
      <c r="C102" s="0" t="s">
        <v>41</v>
      </c>
      <c r="D102" s="0" t="s">
        <v>28</v>
      </c>
      <c r="E102" s="0" t="s">
        <v>14</v>
      </c>
      <c r="F102" s="0" t="s">
        <v>47</v>
      </c>
      <c r="G102" s="0" t="s">
        <v>35</v>
      </c>
      <c r="I102" s="0" t="s">
        <v>105</v>
      </c>
      <c r="J102" s="0" t="n">
        <v>1.21</v>
      </c>
    </row>
    <row r="103" customFormat="false" ht="15" hidden="false" customHeight="false" outlineLevel="0" collapsed="false">
      <c r="A103" s="0" t="s">
        <v>2</v>
      </c>
      <c r="B103" s="0" t="s">
        <v>5</v>
      </c>
      <c r="C103" s="0" t="s">
        <v>43</v>
      </c>
      <c r="D103" s="0" t="s">
        <v>28</v>
      </c>
      <c r="E103" s="0" t="s">
        <v>14</v>
      </c>
      <c r="F103" s="0" t="s">
        <v>47</v>
      </c>
      <c r="G103" s="0" t="s">
        <v>35</v>
      </c>
      <c r="I103" s="0" t="s">
        <v>105</v>
      </c>
      <c r="J103" s="0" t="n">
        <v>1.21</v>
      </c>
    </row>
    <row r="104" customFormat="false" ht="15" hidden="false" customHeight="false" outlineLevel="0" collapsed="false">
      <c r="A104" s="0" t="s">
        <v>2</v>
      </c>
      <c r="B104" s="0" t="s">
        <v>5</v>
      </c>
      <c r="C104" s="0" t="s">
        <v>45</v>
      </c>
      <c r="D104" s="0" t="s">
        <v>28</v>
      </c>
      <c r="E104" s="0" t="s">
        <v>14</v>
      </c>
      <c r="F104" s="0" t="s">
        <v>47</v>
      </c>
      <c r="G104" s="0" t="s">
        <v>35</v>
      </c>
      <c r="I104" s="0" t="s">
        <v>105</v>
      </c>
      <c r="J104" s="0" t="n">
        <v>1.21</v>
      </c>
    </row>
    <row r="105" customFormat="false" ht="15" hidden="false" customHeight="false" outlineLevel="0" collapsed="false">
      <c r="A105" s="0" t="s">
        <v>2</v>
      </c>
      <c r="B105" s="0" t="s">
        <v>5</v>
      </c>
      <c r="C105" s="0" t="s">
        <v>33</v>
      </c>
      <c r="D105" s="0" t="s">
        <v>27</v>
      </c>
      <c r="E105" s="0" t="s">
        <v>15</v>
      </c>
      <c r="F105" s="0" t="s">
        <v>29</v>
      </c>
      <c r="G105" s="0" t="s">
        <v>30</v>
      </c>
      <c r="H105" s="0" t="n">
        <v>2021</v>
      </c>
      <c r="I105" s="0" t="s">
        <v>107</v>
      </c>
      <c r="J105" s="0" t="n">
        <v>0.99</v>
      </c>
    </row>
    <row r="106" customFormat="false" ht="15" hidden="false" customHeight="false" outlineLevel="0" collapsed="false">
      <c r="A106" s="0" t="s">
        <v>2</v>
      </c>
      <c r="B106" s="0" t="s">
        <v>5</v>
      </c>
      <c r="C106" s="0" t="s">
        <v>33</v>
      </c>
      <c r="D106" s="0" t="s">
        <v>33</v>
      </c>
      <c r="E106" s="0" t="s">
        <v>16</v>
      </c>
      <c r="F106" s="0" t="s">
        <v>34</v>
      </c>
      <c r="G106" s="0" t="s">
        <v>35</v>
      </c>
      <c r="H106" s="0" t="n">
        <v>2021</v>
      </c>
      <c r="I106" s="0" t="s">
        <v>107</v>
      </c>
      <c r="J106" s="0" t="n">
        <v>2.6</v>
      </c>
    </row>
    <row r="107" customFormat="false" ht="15" hidden="false" customHeight="false" outlineLevel="0" collapsed="false">
      <c r="A107" s="0" t="s">
        <v>2</v>
      </c>
      <c r="B107" s="0" t="s">
        <v>5</v>
      </c>
      <c r="C107" s="0" t="s">
        <v>33</v>
      </c>
      <c r="D107" s="0" t="s">
        <v>28</v>
      </c>
      <c r="E107" s="0" t="s">
        <v>16</v>
      </c>
      <c r="F107" s="0" t="s">
        <v>34</v>
      </c>
      <c r="G107" s="0" t="s">
        <v>35</v>
      </c>
      <c r="H107" s="0" t="n">
        <v>2021</v>
      </c>
      <c r="I107" s="0" t="s">
        <v>107</v>
      </c>
      <c r="J107" s="0" t="n">
        <v>2.5</v>
      </c>
    </row>
    <row r="108" customFormat="false" ht="15" hidden="false" customHeight="false" outlineLevel="0" collapsed="false">
      <c r="A108" s="0" t="s">
        <v>2</v>
      </c>
      <c r="B108" s="0" t="s">
        <v>5</v>
      </c>
      <c r="C108" s="0" t="s">
        <v>33</v>
      </c>
      <c r="D108" s="0" t="s">
        <v>82</v>
      </c>
      <c r="E108" s="0" t="s">
        <v>16</v>
      </c>
      <c r="F108" s="0" t="s">
        <v>34</v>
      </c>
      <c r="G108" s="0" t="s">
        <v>35</v>
      </c>
      <c r="H108" s="0" t="n">
        <v>2021</v>
      </c>
      <c r="I108" s="0" t="s">
        <v>107</v>
      </c>
      <c r="J108" s="0" t="n">
        <v>2.7</v>
      </c>
    </row>
    <row r="109" customFormat="false" ht="15" hidden="false" customHeight="false" outlineLevel="0" collapsed="false">
      <c r="A109" s="0" t="s">
        <v>2</v>
      </c>
      <c r="B109" s="0" t="s">
        <v>5</v>
      </c>
      <c r="C109" s="0" t="s">
        <v>33</v>
      </c>
      <c r="D109" s="0" t="s">
        <v>27</v>
      </c>
      <c r="E109" s="0" t="s">
        <v>16</v>
      </c>
      <c r="F109" s="0" t="s">
        <v>47</v>
      </c>
      <c r="G109" s="0" t="s">
        <v>35</v>
      </c>
      <c r="I109" s="0" t="s">
        <v>105</v>
      </c>
      <c r="J109" s="0" t="n">
        <v>0.81</v>
      </c>
      <c r="M109" s="0" t="s">
        <v>106</v>
      </c>
    </row>
    <row r="110" customFormat="false" ht="15" hidden="false" customHeight="false" outlineLevel="0" collapsed="false">
      <c r="A110" s="0" t="s">
        <v>2</v>
      </c>
      <c r="B110" s="0" t="s">
        <v>5</v>
      </c>
      <c r="C110" s="0" t="s">
        <v>27</v>
      </c>
      <c r="D110" s="0" t="s">
        <v>27</v>
      </c>
      <c r="E110" s="0" t="s">
        <v>17</v>
      </c>
      <c r="F110" s="0" t="s">
        <v>29</v>
      </c>
      <c r="G110" s="0" t="s">
        <v>30</v>
      </c>
      <c r="H110" s="0" t="n">
        <v>2026</v>
      </c>
      <c r="I110" s="0" t="s">
        <v>108</v>
      </c>
      <c r="J110" s="0" t="n">
        <v>0.95</v>
      </c>
      <c r="M110" s="0" t="s">
        <v>109</v>
      </c>
    </row>
    <row r="111" customFormat="false" ht="15" hidden="false" customHeight="true" outlineLevel="0" collapsed="false">
      <c r="A111" s="0" t="s">
        <v>2</v>
      </c>
      <c r="B111" s="0" t="s">
        <v>110</v>
      </c>
      <c r="C111" s="0" t="s">
        <v>27</v>
      </c>
      <c r="D111" s="0" t="s">
        <v>27</v>
      </c>
      <c r="E111" s="0" t="s">
        <v>17</v>
      </c>
      <c r="F111" s="0" t="s">
        <v>29</v>
      </c>
      <c r="G111" s="0" t="s">
        <v>30</v>
      </c>
      <c r="I111" s="0" t="s">
        <v>31</v>
      </c>
      <c r="J111" s="5" t="n">
        <v>1</v>
      </c>
      <c r="M111" s="6" t="s">
        <v>111</v>
      </c>
    </row>
    <row r="112" customFormat="false" ht="43.5" hidden="false" customHeight="true" outlineLevel="0" collapsed="false">
      <c r="A112" s="0" t="s">
        <v>2</v>
      </c>
      <c r="B112" s="0" t="s">
        <v>110</v>
      </c>
      <c r="C112" s="0" t="s">
        <v>33</v>
      </c>
      <c r="D112" s="0" t="s">
        <v>28</v>
      </c>
      <c r="E112" s="0" t="s">
        <v>14</v>
      </c>
      <c r="F112" s="0" t="s">
        <v>34</v>
      </c>
      <c r="G112" s="0" t="s">
        <v>35</v>
      </c>
      <c r="I112" s="0" t="s">
        <v>31</v>
      </c>
      <c r="J112" s="0" t="n">
        <v>39</v>
      </c>
      <c r="M112" s="6" t="s">
        <v>112</v>
      </c>
    </row>
    <row r="113" customFormat="false" ht="43.5" hidden="false" customHeight="true" outlineLevel="0" collapsed="false">
      <c r="A113" s="0" t="s">
        <v>2</v>
      </c>
      <c r="B113" s="0" t="s">
        <v>110</v>
      </c>
      <c r="C113" s="0" t="s">
        <v>37</v>
      </c>
      <c r="D113" s="0" t="s">
        <v>28</v>
      </c>
      <c r="E113" s="0" t="s">
        <v>14</v>
      </c>
      <c r="F113" s="0" t="s">
        <v>34</v>
      </c>
      <c r="G113" s="0" t="s">
        <v>35</v>
      </c>
      <c r="I113" s="0" t="s">
        <v>31</v>
      </c>
      <c r="J113" s="0" t="n">
        <v>16.1</v>
      </c>
      <c r="M113" s="6" t="s">
        <v>113</v>
      </c>
    </row>
    <row r="114" customFormat="false" ht="43.5" hidden="false" customHeight="true" outlineLevel="0" collapsed="false">
      <c r="A114" s="0" t="s">
        <v>2</v>
      </c>
      <c r="B114" s="0" t="s">
        <v>110</v>
      </c>
      <c r="C114" s="0" t="s">
        <v>39</v>
      </c>
      <c r="D114" s="0" t="s">
        <v>28</v>
      </c>
      <c r="E114" s="0" t="s">
        <v>14</v>
      </c>
      <c r="F114" s="0" t="s">
        <v>34</v>
      </c>
      <c r="G114" s="0" t="s">
        <v>35</v>
      </c>
      <c r="I114" s="0" t="s">
        <v>31</v>
      </c>
      <c r="J114" s="0" t="n">
        <v>23.4</v>
      </c>
      <c r="M114" s="6" t="s">
        <v>114</v>
      </c>
    </row>
    <row r="115" customFormat="false" ht="43.5" hidden="false" customHeight="true" outlineLevel="0" collapsed="false">
      <c r="A115" s="0" t="s">
        <v>2</v>
      </c>
      <c r="B115" s="0" t="s">
        <v>110</v>
      </c>
      <c r="C115" s="0" t="s">
        <v>41</v>
      </c>
      <c r="D115" s="0" t="s">
        <v>28</v>
      </c>
      <c r="E115" s="0" t="s">
        <v>14</v>
      </c>
      <c r="F115" s="0" t="s">
        <v>34</v>
      </c>
      <c r="G115" s="0" t="s">
        <v>35</v>
      </c>
      <c r="I115" s="0" t="s">
        <v>31</v>
      </c>
      <c r="J115" s="0" t="n">
        <v>38.2</v>
      </c>
      <c r="M115" s="6" t="s">
        <v>115</v>
      </c>
    </row>
    <row r="116" customFormat="false" ht="43.5" hidden="false" customHeight="true" outlineLevel="0" collapsed="false">
      <c r="A116" s="0" t="s">
        <v>2</v>
      </c>
      <c r="B116" s="0" t="s">
        <v>110</v>
      </c>
      <c r="C116" s="0" t="s">
        <v>43</v>
      </c>
      <c r="D116" s="0" t="s">
        <v>28</v>
      </c>
      <c r="E116" s="0" t="s">
        <v>14</v>
      </c>
      <c r="F116" s="0" t="s">
        <v>34</v>
      </c>
      <c r="G116" s="0" t="s">
        <v>35</v>
      </c>
      <c r="I116" s="0" t="s">
        <v>31</v>
      </c>
      <c r="J116" s="0" t="n">
        <v>49.3</v>
      </c>
      <c r="M116" s="6" t="s">
        <v>116</v>
      </c>
    </row>
    <row r="117" customFormat="false" ht="43.5" hidden="false" customHeight="true" outlineLevel="0" collapsed="false">
      <c r="A117" s="0" t="s">
        <v>2</v>
      </c>
      <c r="B117" s="0" t="s">
        <v>110</v>
      </c>
      <c r="C117" s="0" t="s">
        <v>45</v>
      </c>
      <c r="D117" s="0" t="s">
        <v>28</v>
      </c>
      <c r="E117" s="0" t="s">
        <v>14</v>
      </c>
      <c r="F117" s="0" t="s">
        <v>34</v>
      </c>
      <c r="G117" s="0" t="s">
        <v>35</v>
      </c>
      <c r="I117" s="0" t="s">
        <v>31</v>
      </c>
      <c r="J117" s="0" t="n">
        <v>62.4</v>
      </c>
      <c r="M117" s="6" t="s">
        <v>117</v>
      </c>
    </row>
    <row r="118" customFormat="false" ht="29.25" hidden="false" customHeight="true" outlineLevel="0" collapsed="false">
      <c r="A118" s="0" t="s">
        <v>2</v>
      </c>
      <c r="B118" s="0" t="s">
        <v>110</v>
      </c>
      <c r="C118" s="0" t="s">
        <v>33</v>
      </c>
      <c r="D118" s="0" t="s">
        <v>28</v>
      </c>
      <c r="E118" s="0" t="s">
        <v>12</v>
      </c>
      <c r="F118" s="0" t="s">
        <v>29</v>
      </c>
      <c r="G118" s="0" t="s">
        <v>30</v>
      </c>
      <c r="I118" s="0" t="s">
        <v>31</v>
      </c>
      <c r="J118" s="11" t="n">
        <v>0.28</v>
      </c>
      <c r="M118" s="6" t="s">
        <v>118</v>
      </c>
    </row>
    <row r="119" customFormat="false" ht="15" hidden="false" customHeight="false" outlineLevel="0" collapsed="false">
      <c r="A119" s="0" t="s">
        <v>2</v>
      </c>
      <c r="B119" s="0" t="s">
        <v>110</v>
      </c>
      <c r="C119" s="0" t="s">
        <v>37</v>
      </c>
      <c r="D119" s="0" t="s">
        <v>28</v>
      </c>
      <c r="E119" s="0" t="s">
        <v>12</v>
      </c>
      <c r="F119" s="0" t="s">
        <v>29</v>
      </c>
      <c r="G119" s="0" t="s">
        <v>30</v>
      </c>
      <c r="I119" s="0" t="s">
        <v>31</v>
      </c>
      <c r="J119" s="11" t="n">
        <v>0.191</v>
      </c>
      <c r="M119" s="0" t="s">
        <v>119</v>
      </c>
    </row>
    <row r="120" customFormat="false" ht="15" hidden="false" customHeight="false" outlineLevel="0" collapsed="false">
      <c r="A120" s="0" t="s">
        <v>2</v>
      </c>
      <c r="B120" s="0" t="s">
        <v>110</v>
      </c>
      <c r="C120" s="0" t="s">
        <v>39</v>
      </c>
      <c r="D120" s="0" t="s">
        <v>28</v>
      </c>
      <c r="E120" s="0" t="s">
        <v>12</v>
      </c>
      <c r="F120" s="0" t="s">
        <v>29</v>
      </c>
      <c r="G120" s="0" t="s">
        <v>30</v>
      </c>
      <c r="I120" s="0" t="s">
        <v>31</v>
      </c>
      <c r="J120" s="11" t="n">
        <v>0.253</v>
      </c>
      <c r="M120" s="0" t="s">
        <v>120</v>
      </c>
    </row>
    <row r="121" customFormat="false" ht="15" hidden="false" customHeight="false" outlineLevel="0" collapsed="false">
      <c r="A121" s="0" t="s">
        <v>2</v>
      </c>
      <c r="B121" s="0" t="s">
        <v>110</v>
      </c>
      <c r="C121" s="0" t="s">
        <v>41</v>
      </c>
      <c r="D121" s="0" t="s">
        <v>28</v>
      </c>
      <c r="E121" s="0" t="s">
        <v>12</v>
      </c>
      <c r="F121" s="0" t="s">
        <v>29</v>
      </c>
      <c r="G121" s="0" t="s">
        <v>30</v>
      </c>
      <c r="I121" s="0" t="s">
        <v>31</v>
      </c>
      <c r="J121" s="11" t="n">
        <v>0.305</v>
      </c>
      <c r="M121" s="0" t="s">
        <v>121</v>
      </c>
    </row>
    <row r="122" customFormat="false" ht="15" hidden="false" customHeight="false" outlineLevel="0" collapsed="false">
      <c r="A122" s="0" t="s">
        <v>2</v>
      </c>
      <c r="B122" s="0" t="s">
        <v>110</v>
      </c>
      <c r="C122" s="0" t="s">
        <v>43</v>
      </c>
      <c r="D122" s="0" t="s">
        <v>28</v>
      </c>
      <c r="E122" s="0" t="s">
        <v>12</v>
      </c>
      <c r="F122" s="0" t="s">
        <v>29</v>
      </c>
      <c r="G122" s="0" t="s">
        <v>30</v>
      </c>
      <c r="I122" s="0" t="s">
        <v>31</v>
      </c>
      <c r="J122" s="11" t="n">
        <v>0.333</v>
      </c>
      <c r="M122" s="0" t="s">
        <v>122</v>
      </c>
    </row>
    <row r="123" customFormat="false" ht="15" hidden="false" customHeight="false" outlineLevel="0" collapsed="false">
      <c r="A123" s="0" t="s">
        <v>2</v>
      </c>
      <c r="B123" s="0" t="s">
        <v>110</v>
      </c>
      <c r="C123" s="0" t="s">
        <v>45</v>
      </c>
      <c r="D123" s="0" t="s">
        <v>28</v>
      </c>
      <c r="E123" s="0" t="s">
        <v>12</v>
      </c>
      <c r="F123" s="0" t="s">
        <v>29</v>
      </c>
      <c r="G123" s="0" t="s">
        <v>30</v>
      </c>
      <c r="I123" s="0" t="s">
        <v>31</v>
      </c>
      <c r="J123" s="11" t="n">
        <v>0.353</v>
      </c>
      <c r="M123" s="0" t="s">
        <v>123</v>
      </c>
    </row>
    <row r="124" customFormat="false" ht="29.25" hidden="false" customHeight="true" outlineLevel="0" collapsed="false">
      <c r="A124" s="0" t="s">
        <v>2</v>
      </c>
      <c r="B124" s="0" t="s">
        <v>110</v>
      </c>
      <c r="C124" s="0" t="s">
        <v>33</v>
      </c>
      <c r="D124" s="0" t="s">
        <v>28</v>
      </c>
      <c r="E124" s="0" t="s">
        <v>14</v>
      </c>
      <c r="F124" s="0" t="s">
        <v>47</v>
      </c>
      <c r="G124" s="0" t="s">
        <v>35</v>
      </c>
      <c r="I124" s="0" t="s">
        <v>124</v>
      </c>
      <c r="J124" s="0" t="n">
        <v>87.5818387752001</v>
      </c>
      <c r="M124" s="6" t="s">
        <v>125</v>
      </c>
    </row>
    <row r="125" customFormat="false" ht="15" hidden="false" customHeight="false" outlineLevel="0" collapsed="false">
      <c r="A125" s="0" t="s">
        <v>2</v>
      </c>
      <c r="B125" s="0" t="s">
        <v>110</v>
      </c>
      <c r="C125" s="0" t="s">
        <v>37</v>
      </c>
      <c r="D125" s="0" t="s">
        <v>28</v>
      </c>
      <c r="E125" s="0" t="s">
        <v>14</v>
      </c>
      <c r="F125" s="0" t="s">
        <v>47</v>
      </c>
      <c r="G125" s="0" t="s">
        <v>35</v>
      </c>
      <c r="I125" s="0" t="s">
        <v>124</v>
      </c>
      <c r="J125" s="0" t="n">
        <v>44.9262831982771</v>
      </c>
      <c r="M125" s="0" t="s">
        <v>126</v>
      </c>
    </row>
    <row r="126" customFormat="false" ht="15" hidden="false" customHeight="false" outlineLevel="0" collapsed="false">
      <c r="A126" s="0" t="s">
        <v>2</v>
      </c>
      <c r="B126" s="0" t="s">
        <v>110</v>
      </c>
      <c r="C126" s="0" t="s">
        <v>39</v>
      </c>
      <c r="D126" s="0" t="s">
        <v>28</v>
      </c>
      <c r="E126" s="0" t="s">
        <v>14</v>
      </c>
      <c r="F126" s="0" t="s">
        <v>47</v>
      </c>
      <c r="G126" s="0" t="s">
        <v>35</v>
      </c>
      <c r="I126" s="0" t="s">
        <v>124</v>
      </c>
      <c r="J126" s="0" t="n">
        <v>55.1183163008158</v>
      </c>
      <c r="M126" s="0" t="s">
        <v>127</v>
      </c>
    </row>
    <row r="127" customFormat="false" ht="15" hidden="false" customHeight="false" outlineLevel="0" collapsed="false">
      <c r="A127" s="0" t="s">
        <v>2</v>
      </c>
      <c r="B127" s="0" t="s">
        <v>110</v>
      </c>
      <c r="C127" s="0" t="s">
        <v>41</v>
      </c>
      <c r="D127" s="0" t="s">
        <v>28</v>
      </c>
      <c r="E127" s="0" t="s">
        <v>14</v>
      </c>
      <c r="F127" s="0" t="s">
        <v>47</v>
      </c>
      <c r="G127" s="0" t="s">
        <v>35</v>
      </c>
      <c r="I127" s="0" t="s">
        <v>124</v>
      </c>
      <c r="J127" s="0" t="n">
        <v>76.1664188389102</v>
      </c>
      <c r="M127" s="0" t="s">
        <v>128</v>
      </c>
    </row>
    <row r="128" customFormat="false" ht="15" hidden="false" customHeight="false" outlineLevel="0" collapsed="false">
      <c r="A128" s="0" t="s">
        <v>2</v>
      </c>
      <c r="B128" s="0" t="s">
        <v>110</v>
      </c>
      <c r="C128" s="0" t="s">
        <v>43</v>
      </c>
      <c r="D128" s="0" t="s">
        <v>28</v>
      </c>
      <c r="E128" s="0" t="s">
        <v>14</v>
      </c>
      <c r="F128" s="0" t="s">
        <v>47</v>
      </c>
      <c r="G128" s="0" t="s">
        <v>35</v>
      </c>
      <c r="I128" s="0" t="s">
        <v>124</v>
      </c>
      <c r="J128" s="0" t="n">
        <v>88.4113136635637</v>
      </c>
      <c r="M128" s="0" t="s">
        <v>129</v>
      </c>
    </row>
    <row r="129" customFormat="false" ht="15" hidden="false" customHeight="false" outlineLevel="0" collapsed="false">
      <c r="A129" s="0" t="s">
        <v>2</v>
      </c>
      <c r="B129" s="0" t="s">
        <v>110</v>
      </c>
      <c r="C129" s="0" t="s">
        <v>45</v>
      </c>
      <c r="D129" s="0" t="s">
        <v>28</v>
      </c>
      <c r="E129" s="0" t="s">
        <v>14</v>
      </c>
      <c r="F129" s="0" t="s">
        <v>47</v>
      </c>
      <c r="G129" s="0" t="s">
        <v>35</v>
      </c>
      <c r="I129" s="0" t="s">
        <v>124</v>
      </c>
      <c r="J129" s="0" t="n">
        <v>101.068227135208</v>
      </c>
      <c r="M129" s="0" t="s">
        <v>130</v>
      </c>
    </row>
    <row r="130" customFormat="false" ht="43.5" hidden="false" customHeight="true" outlineLevel="0" collapsed="false">
      <c r="A130" s="0" t="s">
        <v>2</v>
      </c>
      <c r="B130" s="0" t="s">
        <v>110</v>
      </c>
      <c r="C130" s="0" t="s">
        <v>33</v>
      </c>
      <c r="D130" s="0" t="s">
        <v>33</v>
      </c>
      <c r="E130" s="0" t="s">
        <v>16</v>
      </c>
      <c r="F130" s="0" t="s">
        <v>34</v>
      </c>
      <c r="G130" s="0" t="s">
        <v>35</v>
      </c>
      <c r="I130" s="0" t="s">
        <v>131</v>
      </c>
      <c r="J130" s="0" t="n">
        <v>26</v>
      </c>
      <c r="M130" s="6" t="s">
        <v>132</v>
      </c>
    </row>
    <row r="131" customFormat="false" ht="43.5" hidden="false" customHeight="true" outlineLevel="0" collapsed="false">
      <c r="A131" s="0" t="s">
        <v>2</v>
      </c>
      <c r="B131" s="0" t="s">
        <v>110</v>
      </c>
      <c r="C131" s="0" t="s">
        <v>33</v>
      </c>
      <c r="D131" s="0" t="s">
        <v>28</v>
      </c>
      <c r="E131" s="0" t="s">
        <v>16</v>
      </c>
      <c r="F131" s="0" t="s">
        <v>34</v>
      </c>
      <c r="G131" s="0" t="s">
        <v>35</v>
      </c>
      <c r="I131" s="0" t="s">
        <v>131</v>
      </c>
      <c r="J131" s="0" t="n">
        <v>25.1</v>
      </c>
      <c r="M131" s="6" t="s">
        <v>133</v>
      </c>
    </row>
    <row r="132" customFormat="false" ht="43.5" hidden="false" customHeight="true" outlineLevel="0" collapsed="false">
      <c r="A132" s="0" t="s">
        <v>2</v>
      </c>
      <c r="B132" s="0" t="s">
        <v>110</v>
      </c>
      <c r="C132" s="0" t="s">
        <v>33</v>
      </c>
      <c r="D132" s="0" t="s">
        <v>82</v>
      </c>
      <c r="E132" s="0" t="s">
        <v>16</v>
      </c>
      <c r="F132" s="0" t="s">
        <v>34</v>
      </c>
      <c r="G132" s="0" t="s">
        <v>35</v>
      </c>
      <c r="I132" s="0" t="s">
        <v>131</v>
      </c>
      <c r="J132" s="0" t="n">
        <v>26.9</v>
      </c>
      <c r="M132" s="6" t="s">
        <v>134</v>
      </c>
    </row>
    <row r="133" customFormat="false" ht="29.25" hidden="false" customHeight="true" outlineLevel="0" collapsed="false">
      <c r="A133" s="0" t="s">
        <v>2</v>
      </c>
      <c r="B133" s="0" t="s">
        <v>110</v>
      </c>
      <c r="C133" s="0" t="s">
        <v>33</v>
      </c>
      <c r="D133" s="0" t="s">
        <v>33</v>
      </c>
      <c r="E133" s="0" t="s">
        <v>16</v>
      </c>
      <c r="F133" s="0" t="s">
        <v>47</v>
      </c>
      <c r="G133" s="0" t="s">
        <v>35</v>
      </c>
      <c r="I133" s="0" t="s">
        <v>135</v>
      </c>
      <c r="J133" s="0" t="n">
        <v>58.0946608041787</v>
      </c>
      <c r="M133" s="6" t="s">
        <v>136</v>
      </c>
    </row>
    <row r="134" customFormat="false" ht="29.25" hidden="false" customHeight="true" outlineLevel="0" collapsed="false">
      <c r="A134" s="0" t="s">
        <v>2</v>
      </c>
      <c r="B134" s="0" t="s">
        <v>110</v>
      </c>
      <c r="C134" s="0" t="s">
        <v>33</v>
      </c>
      <c r="D134" s="0" t="s">
        <v>28</v>
      </c>
      <c r="E134" s="0" t="s">
        <v>16</v>
      </c>
      <c r="F134" s="0" t="s">
        <v>47</v>
      </c>
      <c r="G134" s="0" t="s">
        <v>35</v>
      </c>
      <c r="I134" s="0" t="s">
        <v>135</v>
      </c>
      <c r="J134" s="0" t="n">
        <v>53.9846532143799</v>
      </c>
      <c r="M134" s="6" t="s">
        <v>137</v>
      </c>
    </row>
    <row r="135" customFormat="false" ht="29.25" hidden="false" customHeight="true" outlineLevel="0" collapsed="false">
      <c r="A135" s="0" t="s">
        <v>2</v>
      </c>
      <c r="B135" s="0" t="s">
        <v>110</v>
      </c>
      <c r="C135" s="0" t="s">
        <v>33</v>
      </c>
      <c r="D135" s="0" t="s">
        <v>82</v>
      </c>
      <c r="E135" s="0" t="s">
        <v>16</v>
      </c>
      <c r="F135" s="0" t="s">
        <v>47</v>
      </c>
      <c r="G135" s="0" t="s">
        <v>35</v>
      </c>
      <c r="I135" s="0" t="s">
        <v>135</v>
      </c>
      <c r="J135" s="0" t="n">
        <v>62.188215732363</v>
      </c>
      <c r="M135" s="6" t="s">
        <v>138</v>
      </c>
    </row>
    <row r="136" customFormat="false" ht="29.25" hidden="false" customHeight="true" outlineLevel="0" collapsed="false">
      <c r="A136" s="0" t="s">
        <v>2</v>
      </c>
      <c r="B136" s="0" t="s">
        <v>110</v>
      </c>
      <c r="C136" s="0" t="s">
        <v>33</v>
      </c>
      <c r="D136" s="0" t="s">
        <v>27</v>
      </c>
      <c r="E136" s="0" t="s">
        <v>15</v>
      </c>
      <c r="F136" s="0" t="s">
        <v>29</v>
      </c>
      <c r="G136" s="0" t="s">
        <v>30</v>
      </c>
      <c r="I136" s="0" t="s">
        <v>31</v>
      </c>
      <c r="J136" s="11" t="n">
        <v>0.28</v>
      </c>
      <c r="M136" s="6" t="s">
        <v>139</v>
      </c>
    </row>
    <row r="137" customFormat="false" ht="15" hidden="false" customHeight="false" outlineLevel="0" collapsed="false">
      <c r="A137" s="0" t="s">
        <v>2</v>
      </c>
      <c r="B137" s="0" t="s">
        <v>110</v>
      </c>
      <c r="C137" s="0" t="s">
        <v>37</v>
      </c>
      <c r="D137" s="0" t="s">
        <v>27</v>
      </c>
      <c r="E137" s="0" t="s">
        <v>15</v>
      </c>
      <c r="F137" s="0" t="s">
        <v>29</v>
      </c>
      <c r="G137" s="0" t="s">
        <v>30</v>
      </c>
      <c r="I137" s="0" t="s">
        <v>31</v>
      </c>
      <c r="J137" s="11" t="n">
        <v>0.191</v>
      </c>
      <c r="M137" s="0" t="s">
        <v>140</v>
      </c>
    </row>
    <row r="138" customFormat="false" ht="15" hidden="false" customHeight="false" outlineLevel="0" collapsed="false">
      <c r="A138" s="0" t="s">
        <v>2</v>
      </c>
      <c r="B138" s="0" t="s">
        <v>110</v>
      </c>
      <c r="C138" s="0" t="s">
        <v>39</v>
      </c>
      <c r="D138" s="0" t="s">
        <v>27</v>
      </c>
      <c r="E138" s="0" t="s">
        <v>15</v>
      </c>
      <c r="F138" s="0" t="s">
        <v>29</v>
      </c>
      <c r="G138" s="0" t="s">
        <v>30</v>
      </c>
      <c r="I138" s="0" t="s">
        <v>31</v>
      </c>
      <c r="J138" s="11" t="n">
        <v>0.253</v>
      </c>
      <c r="M138" s="0" t="s">
        <v>141</v>
      </c>
    </row>
    <row r="139" customFormat="false" ht="15" hidden="false" customHeight="false" outlineLevel="0" collapsed="false">
      <c r="A139" s="0" t="s">
        <v>2</v>
      </c>
      <c r="B139" s="0" t="s">
        <v>110</v>
      </c>
      <c r="C139" s="0" t="s">
        <v>41</v>
      </c>
      <c r="D139" s="0" t="s">
        <v>27</v>
      </c>
      <c r="E139" s="0" t="s">
        <v>15</v>
      </c>
      <c r="F139" s="0" t="s">
        <v>29</v>
      </c>
      <c r="G139" s="0" t="s">
        <v>30</v>
      </c>
      <c r="I139" s="0" t="s">
        <v>31</v>
      </c>
      <c r="J139" s="11" t="n">
        <v>0.305</v>
      </c>
      <c r="M139" s="0" t="s">
        <v>142</v>
      </c>
    </row>
    <row r="140" customFormat="false" ht="15" hidden="false" customHeight="false" outlineLevel="0" collapsed="false">
      <c r="A140" s="0" t="s">
        <v>2</v>
      </c>
      <c r="B140" s="0" t="s">
        <v>110</v>
      </c>
      <c r="C140" s="0" t="s">
        <v>43</v>
      </c>
      <c r="D140" s="0" t="s">
        <v>27</v>
      </c>
      <c r="E140" s="0" t="s">
        <v>15</v>
      </c>
      <c r="F140" s="0" t="s">
        <v>29</v>
      </c>
      <c r="G140" s="0" t="s">
        <v>30</v>
      </c>
      <c r="I140" s="0" t="s">
        <v>31</v>
      </c>
      <c r="J140" s="11" t="n">
        <v>0.333</v>
      </c>
      <c r="M140" s="0" t="s">
        <v>143</v>
      </c>
    </row>
    <row r="141" customFormat="false" ht="15" hidden="false" customHeight="false" outlineLevel="0" collapsed="false">
      <c r="A141" s="0" t="s">
        <v>2</v>
      </c>
      <c r="B141" s="0" t="s">
        <v>110</v>
      </c>
      <c r="C141" s="0" t="s">
        <v>45</v>
      </c>
      <c r="D141" s="0" t="s">
        <v>27</v>
      </c>
      <c r="E141" s="0" t="s">
        <v>15</v>
      </c>
      <c r="F141" s="0" t="s">
        <v>29</v>
      </c>
      <c r="G141" s="0" t="s">
        <v>30</v>
      </c>
      <c r="I141" s="0" t="s">
        <v>31</v>
      </c>
      <c r="J141" s="11" t="n">
        <v>0.353</v>
      </c>
      <c r="M141" s="0" t="s">
        <v>144</v>
      </c>
    </row>
    <row r="142" customFormat="false" ht="15" hidden="false" customHeight="true" outlineLevel="0" collapsed="false">
      <c r="A142" s="0" t="s">
        <v>3</v>
      </c>
      <c r="B142" s="0" t="s">
        <v>110</v>
      </c>
      <c r="C142" s="0" t="s">
        <v>27</v>
      </c>
      <c r="D142" s="0" t="s">
        <v>27</v>
      </c>
      <c r="E142" s="0" t="s">
        <v>17</v>
      </c>
      <c r="F142" s="0" t="s">
        <v>29</v>
      </c>
      <c r="G142" s="0" t="s">
        <v>30</v>
      </c>
      <c r="I142" s="0" t="s">
        <v>145</v>
      </c>
      <c r="J142" s="5" t="n">
        <v>0.74</v>
      </c>
      <c r="M142" s="6" t="s">
        <v>146</v>
      </c>
    </row>
    <row r="143" customFormat="false" ht="43.5" hidden="false" customHeight="true" outlineLevel="0" collapsed="false">
      <c r="A143" s="0" t="s">
        <v>3</v>
      </c>
      <c r="B143" s="0" t="s">
        <v>110</v>
      </c>
      <c r="C143" s="0" t="s">
        <v>33</v>
      </c>
      <c r="D143" s="0" t="s">
        <v>28</v>
      </c>
      <c r="E143" s="0" t="s">
        <v>14</v>
      </c>
      <c r="F143" s="0" t="s">
        <v>34</v>
      </c>
      <c r="G143" s="0" t="s">
        <v>35</v>
      </c>
      <c r="I143" s="0" t="s">
        <v>145</v>
      </c>
      <c r="J143" s="0" t="n">
        <v>32.8032</v>
      </c>
      <c r="M143" s="6" t="s">
        <v>146</v>
      </c>
    </row>
    <row r="144" customFormat="false" ht="43.5" hidden="false" customHeight="true" outlineLevel="0" collapsed="false">
      <c r="A144" s="0" t="s">
        <v>3</v>
      </c>
      <c r="B144" s="0" t="s">
        <v>110</v>
      </c>
      <c r="C144" s="0" t="s">
        <v>37</v>
      </c>
      <c r="D144" s="0" t="s">
        <v>28</v>
      </c>
      <c r="E144" s="0" t="s">
        <v>14</v>
      </c>
      <c r="F144" s="0" t="s">
        <v>34</v>
      </c>
      <c r="G144" s="0" t="s">
        <v>35</v>
      </c>
      <c r="I144" s="0" t="s">
        <v>145</v>
      </c>
      <c r="J144" s="0" t="n">
        <v>11.4912</v>
      </c>
      <c r="M144" s="6" t="s">
        <v>146</v>
      </c>
    </row>
    <row r="145" customFormat="false" ht="43.5" hidden="false" customHeight="true" outlineLevel="0" collapsed="false">
      <c r="A145" s="0" t="s">
        <v>3</v>
      </c>
      <c r="B145" s="0" t="s">
        <v>110</v>
      </c>
      <c r="C145" s="0" t="s">
        <v>39</v>
      </c>
      <c r="D145" s="0" t="s">
        <v>28</v>
      </c>
      <c r="E145" s="0" t="s">
        <v>14</v>
      </c>
      <c r="F145" s="0" t="s">
        <v>34</v>
      </c>
      <c r="G145" s="0" t="s">
        <v>35</v>
      </c>
      <c r="I145" s="0" t="s">
        <v>145</v>
      </c>
      <c r="J145" s="0" t="n">
        <v>23.4752</v>
      </c>
      <c r="M145" s="6" t="s">
        <v>146</v>
      </c>
    </row>
    <row r="146" customFormat="false" ht="43.5" hidden="false" customHeight="true" outlineLevel="0" collapsed="false">
      <c r="A146" s="0" t="s">
        <v>3</v>
      </c>
      <c r="B146" s="0" t="s">
        <v>110</v>
      </c>
      <c r="C146" s="0" t="s">
        <v>41</v>
      </c>
      <c r="D146" s="0" t="s">
        <v>28</v>
      </c>
      <c r="E146" s="0" t="s">
        <v>14</v>
      </c>
      <c r="F146" s="0" t="s">
        <v>34</v>
      </c>
      <c r="G146" s="0" t="s">
        <v>35</v>
      </c>
      <c r="I146" s="0" t="s">
        <v>145</v>
      </c>
      <c r="J146" s="0" t="n">
        <v>33.1422</v>
      </c>
      <c r="M146" s="6" t="s">
        <v>146</v>
      </c>
    </row>
    <row r="147" customFormat="false" ht="43.5" hidden="false" customHeight="true" outlineLevel="0" collapsed="false">
      <c r="A147" s="0" t="s">
        <v>3</v>
      </c>
      <c r="B147" s="0" t="s">
        <v>110</v>
      </c>
      <c r="C147" s="0" t="s">
        <v>43</v>
      </c>
      <c r="D147" s="0" t="s">
        <v>28</v>
      </c>
      <c r="E147" s="0" t="s">
        <v>14</v>
      </c>
      <c r="F147" s="0" t="s">
        <v>34</v>
      </c>
      <c r="G147" s="0" t="s">
        <v>35</v>
      </c>
      <c r="I147" s="0" t="s">
        <v>145</v>
      </c>
      <c r="J147" s="0" t="n">
        <v>46.6521</v>
      </c>
      <c r="M147" s="6" t="s">
        <v>146</v>
      </c>
    </row>
    <row r="148" customFormat="false" ht="43.5" hidden="false" customHeight="true" outlineLevel="0" collapsed="false">
      <c r="A148" s="0" t="s">
        <v>3</v>
      </c>
      <c r="B148" s="0" t="s">
        <v>110</v>
      </c>
      <c r="C148" s="0" t="s">
        <v>45</v>
      </c>
      <c r="D148" s="0" t="s">
        <v>28</v>
      </c>
      <c r="E148" s="0" t="s">
        <v>14</v>
      </c>
      <c r="F148" s="0" t="s">
        <v>34</v>
      </c>
      <c r="G148" s="0" t="s">
        <v>35</v>
      </c>
      <c r="I148" s="0" t="s">
        <v>145</v>
      </c>
      <c r="J148" s="0" t="n">
        <v>53.742</v>
      </c>
      <c r="M148" s="6" t="s">
        <v>146</v>
      </c>
    </row>
    <row r="149" customFormat="false" ht="29.25" hidden="false" customHeight="true" outlineLevel="0" collapsed="false">
      <c r="A149" s="0" t="s">
        <v>3</v>
      </c>
      <c r="B149" s="0" t="s">
        <v>110</v>
      </c>
      <c r="C149" s="0" t="s">
        <v>33</v>
      </c>
      <c r="D149" s="0" t="s">
        <v>28</v>
      </c>
      <c r="E149" s="0" t="s">
        <v>12</v>
      </c>
      <c r="F149" s="0" t="s">
        <v>29</v>
      </c>
      <c r="G149" s="0" t="s">
        <v>30</v>
      </c>
      <c r="I149" s="0" t="s">
        <v>145</v>
      </c>
      <c r="J149" s="11" t="n">
        <v>0.536</v>
      </c>
      <c r="M149" s="6" t="s">
        <v>146</v>
      </c>
    </row>
    <row r="150" customFormat="false" ht="15" hidden="false" customHeight="false" outlineLevel="0" collapsed="false">
      <c r="A150" s="0" t="s">
        <v>3</v>
      </c>
      <c r="B150" s="0" t="s">
        <v>110</v>
      </c>
      <c r="C150" s="0" t="s">
        <v>37</v>
      </c>
      <c r="D150" s="0" t="s">
        <v>28</v>
      </c>
      <c r="E150" s="0" t="s">
        <v>12</v>
      </c>
      <c r="F150" s="0" t="s">
        <v>29</v>
      </c>
      <c r="G150" s="0" t="s">
        <v>30</v>
      </c>
      <c r="I150" s="0" t="s">
        <v>145</v>
      </c>
      <c r="J150" s="11" t="n">
        <v>0.336</v>
      </c>
      <c r="M150" s="0" t="s">
        <v>146</v>
      </c>
    </row>
    <row r="151" customFormat="false" ht="15" hidden="false" customHeight="false" outlineLevel="0" collapsed="false">
      <c r="A151" s="0" t="s">
        <v>3</v>
      </c>
      <c r="B151" s="0" t="s">
        <v>110</v>
      </c>
      <c r="C151" s="0" t="s">
        <v>39</v>
      </c>
      <c r="D151" s="0" t="s">
        <v>28</v>
      </c>
      <c r="E151" s="0" t="s">
        <v>12</v>
      </c>
      <c r="F151" s="0" t="s">
        <v>29</v>
      </c>
      <c r="G151" s="0" t="s">
        <v>30</v>
      </c>
      <c r="I151" s="0" t="s">
        <v>145</v>
      </c>
      <c r="J151" s="11" t="n">
        <v>0.448</v>
      </c>
      <c r="M151" s="0" t="s">
        <v>146</v>
      </c>
    </row>
    <row r="152" customFormat="false" ht="15" hidden="false" customHeight="false" outlineLevel="0" collapsed="false">
      <c r="A152" s="0" t="s">
        <v>3</v>
      </c>
      <c r="B152" s="0" t="s">
        <v>110</v>
      </c>
      <c r="C152" s="0" t="s">
        <v>41</v>
      </c>
      <c r="D152" s="0" t="s">
        <v>28</v>
      </c>
      <c r="E152" s="0" t="s">
        <v>12</v>
      </c>
      <c r="F152" s="0" t="s">
        <v>29</v>
      </c>
      <c r="G152" s="0" t="s">
        <v>30</v>
      </c>
      <c r="I152" s="0" t="s">
        <v>145</v>
      </c>
      <c r="J152" s="11" t="n">
        <v>0.546</v>
      </c>
      <c r="M152" s="0" t="s">
        <v>146</v>
      </c>
    </row>
    <row r="153" customFormat="false" ht="15" hidden="false" customHeight="false" outlineLevel="0" collapsed="false">
      <c r="A153" s="0" t="s">
        <v>3</v>
      </c>
      <c r="B153" s="0" t="s">
        <v>110</v>
      </c>
      <c r="C153" s="0" t="s">
        <v>43</v>
      </c>
      <c r="D153" s="0" t="s">
        <v>28</v>
      </c>
      <c r="E153" s="0" t="s">
        <v>12</v>
      </c>
      <c r="F153" s="0" t="s">
        <v>29</v>
      </c>
      <c r="G153" s="0" t="s">
        <v>30</v>
      </c>
      <c r="I153" s="0" t="s">
        <v>145</v>
      </c>
      <c r="J153" s="11" t="n">
        <v>0.633</v>
      </c>
      <c r="M153" s="0" t="s">
        <v>146</v>
      </c>
    </row>
    <row r="154" customFormat="false" ht="15" hidden="false" customHeight="false" outlineLevel="0" collapsed="false">
      <c r="A154" s="0" t="s">
        <v>3</v>
      </c>
      <c r="B154" s="0" t="s">
        <v>110</v>
      </c>
      <c r="C154" s="0" t="s">
        <v>45</v>
      </c>
      <c r="D154" s="0" t="s">
        <v>28</v>
      </c>
      <c r="E154" s="0" t="s">
        <v>12</v>
      </c>
      <c r="F154" s="0" t="s">
        <v>29</v>
      </c>
      <c r="G154" s="0" t="s">
        <v>30</v>
      </c>
      <c r="I154" s="0" t="s">
        <v>145</v>
      </c>
      <c r="J154" s="11" t="n">
        <v>0.676</v>
      </c>
      <c r="M154" s="0" t="s">
        <v>146</v>
      </c>
    </row>
    <row r="155" customFormat="false" ht="29.25" hidden="false" customHeight="true" outlineLevel="0" collapsed="false">
      <c r="A155" s="0" t="s">
        <v>3</v>
      </c>
      <c r="B155" s="0" t="s">
        <v>110</v>
      </c>
      <c r="C155" s="0" t="s">
        <v>27</v>
      </c>
      <c r="D155" s="0" t="s">
        <v>28</v>
      </c>
      <c r="E155" s="0" t="s">
        <v>14</v>
      </c>
      <c r="F155" s="0" t="s">
        <v>47</v>
      </c>
      <c r="G155" s="0" t="s">
        <v>35</v>
      </c>
      <c r="I155" s="0" t="s">
        <v>145</v>
      </c>
      <c r="J155" s="0" t="n">
        <v>40.0740740740741</v>
      </c>
      <c r="M155" s="6" t="s">
        <v>147</v>
      </c>
    </row>
    <row r="156" customFormat="false" ht="15" hidden="false" customHeight="true" outlineLevel="0" collapsed="false">
      <c r="A156" s="0" t="s">
        <v>3</v>
      </c>
      <c r="B156" s="0" t="s">
        <v>5</v>
      </c>
      <c r="C156" s="0" t="s">
        <v>27</v>
      </c>
      <c r="D156" s="0" t="s">
        <v>27</v>
      </c>
      <c r="E156" s="0" t="s">
        <v>17</v>
      </c>
      <c r="F156" s="0" t="s">
        <v>29</v>
      </c>
      <c r="G156" s="0" t="s">
        <v>30</v>
      </c>
      <c r="I156" s="0" t="s">
        <v>145</v>
      </c>
      <c r="J156" s="5" t="n">
        <v>0.74</v>
      </c>
      <c r="M156" s="6" t="s">
        <v>148</v>
      </c>
    </row>
    <row r="157" customFormat="false" ht="43.5" hidden="false" customHeight="true" outlineLevel="0" collapsed="false">
      <c r="A157" s="0" t="s">
        <v>3</v>
      </c>
      <c r="B157" s="0" t="s">
        <v>5</v>
      </c>
      <c r="C157" s="0" t="s">
        <v>33</v>
      </c>
      <c r="D157" s="0" t="s">
        <v>28</v>
      </c>
      <c r="E157" s="0" t="s">
        <v>14</v>
      </c>
      <c r="F157" s="0" t="s">
        <v>34</v>
      </c>
      <c r="G157" s="0" t="s">
        <v>35</v>
      </c>
      <c r="I157" s="0" t="s">
        <v>145</v>
      </c>
      <c r="J157" s="0" t="n">
        <v>32.8032</v>
      </c>
      <c r="M157" s="6" t="s">
        <v>148</v>
      </c>
    </row>
    <row r="158" customFormat="false" ht="43.5" hidden="false" customHeight="true" outlineLevel="0" collapsed="false">
      <c r="A158" s="0" t="s">
        <v>3</v>
      </c>
      <c r="B158" s="0" t="s">
        <v>5</v>
      </c>
      <c r="C158" s="0" t="s">
        <v>37</v>
      </c>
      <c r="D158" s="0" t="s">
        <v>28</v>
      </c>
      <c r="E158" s="0" t="s">
        <v>14</v>
      </c>
      <c r="F158" s="0" t="s">
        <v>34</v>
      </c>
      <c r="G158" s="0" t="s">
        <v>35</v>
      </c>
      <c r="I158" s="0" t="s">
        <v>145</v>
      </c>
      <c r="J158" s="0" t="n">
        <v>11.4912</v>
      </c>
      <c r="M158" s="6" t="s">
        <v>148</v>
      </c>
    </row>
    <row r="159" customFormat="false" ht="43.5" hidden="false" customHeight="true" outlineLevel="0" collapsed="false">
      <c r="A159" s="0" t="s">
        <v>3</v>
      </c>
      <c r="B159" s="0" t="s">
        <v>5</v>
      </c>
      <c r="C159" s="0" t="s">
        <v>39</v>
      </c>
      <c r="D159" s="0" t="s">
        <v>28</v>
      </c>
      <c r="E159" s="0" t="s">
        <v>14</v>
      </c>
      <c r="F159" s="0" t="s">
        <v>34</v>
      </c>
      <c r="G159" s="0" t="s">
        <v>35</v>
      </c>
      <c r="I159" s="0" t="s">
        <v>145</v>
      </c>
      <c r="J159" s="0" t="n">
        <v>23.4752</v>
      </c>
      <c r="M159" s="6" t="s">
        <v>148</v>
      </c>
    </row>
    <row r="160" customFormat="false" ht="43.5" hidden="false" customHeight="true" outlineLevel="0" collapsed="false">
      <c r="A160" s="0" t="s">
        <v>3</v>
      </c>
      <c r="B160" s="0" t="s">
        <v>5</v>
      </c>
      <c r="C160" s="0" t="s">
        <v>41</v>
      </c>
      <c r="D160" s="0" t="s">
        <v>28</v>
      </c>
      <c r="E160" s="0" t="s">
        <v>14</v>
      </c>
      <c r="F160" s="0" t="s">
        <v>34</v>
      </c>
      <c r="G160" s="0" t="s">
        <v>35</v>
      </c>
      <c r="I160" s="0" t="s">
        <v>145</v>
      </c>
      <c r="J160" s="0" t="n">
        <v>33.1422</v>
      </c>
      <c r="M160" s="6" t="s">
        <v>148</v>
      </c>
    </row>
    <row r="161" customFormat="false" ht="43.5" hidden="false" customHeight="true" outlineLevel="0" collapsed="false">
      <c r="A161" s="0" t="s">
        <v>3</v>
      </c>
      <c r="B161" s="0" t="s">
        <v>5</v>
      </c>
      <c r="C161" s="0" t="s">
        <v>43</v>
      </c>
      <c r="D161" s="0" t="s">
        <v>28</v>
      </c>
      <c r="E161" s="0" t="s">
        <v>14</v>
      </c>
      <c r="F161" s="0" t="s">
        <v>34</v>
      </c>
      <c r="G161" s="0" t="s">
        <v>35</v>
      </c>
      <c r="I161" s="0" t="s">
        <v>145</v>
      </c>
      <c r="J161" s="0" t="n">
        <v>46.6521</v>
      </c>
      <c r="M161" s="6" t="s">
        <v>148</v>
      </c>
    </row>
    <row r="162" customFormat="false" ht="43.5" hidden="false" customHeight="true" outlineLevel="0" collapsed="false">
      <c r="A162" s="0" t="s">
        <v>3</v>
      </c>
      <c r="B162" s="0" t="s">
        <v>5</v>
      </c>
      <c r="C162" s="0" t="s">
        <v>45</v>
      </c>
      <c r="D162" s="0" t="s">
        <v>28</v>
      </c>
      <c r="E162" s="0" t="s">
        <v>14</v>
      </c>
      <c r="F162" s="0" t="s">
        <v>34</v>
      </c>
      <c r="G162" s="0" t="s">
        <v>35</v>
      </c>
      <c r="I162" s="0" t="s">
        <v>145</v>
      </c>
      <c r="J162" s="0" t="n">
        <v>53.742</v>
      </c>
      <c r="M162" s="6" t="s">
        <v>148</v>
      </c>
    </row>
    <row r="163" customFormat="false" ht="29.25" hidden="false" customHeight="true" outlineLevel="0" collapsed="false">
      <c r="A163" s="0" t="s">
        <v>3</v>
      </c>
      <c r="B163" s="0" t="s">
        <v>5</v>
      </c>
      <c r="C163" s="0" t="s">
        <v>33</v>
      </c>
      <c r="D163" s="0" t="s">
        <v>28</v>
      </c>
      <c r="E163" s="0" t="s">
        <v>12</v>
      </c>
      <c r="F163" s="0" t="s">
        <v>29</v>
      </c>
      <c r="G163" s="0" t="s">
        <v>30</v>
      </c>
      <c r="I163" s="0" t="s">
        <v>145</v>
      </c>
      <c r="J163" s="11" t="n">
        <v>0.536</v>
      </c>
      <c r="M163" s="6" t="s">
        <v>148</v>
      </c>
    </row>
    <row r="164" customFormat="false" ht="15" hidden="false" customHeight="false" outlineLevel="0" collapsed="false">
      <c r="A164" s="0" t="s">
        <v>3</v>
      </c>
      <c r="B164" s="0" t="s">
        <v>5</v>
      </c>
      <c r="C164" s="0" t="s">
        <v>37</v>
      </c>
      <c r="D164" s="0" t="s">
        <v>28</v>
      </c>
      <c r="E164" s="0" t="s">
        <v>12</v>
      </c>
      <c r="F164" s="0" t="s">
        <v>29</v>
      </c>
      <c r="G164" s="0" t="s">
        <v>30</v>
      </c>
      <c r="I164" s="0" t="s">
        <v>145</v>
      </c>
      <c r="J164" s="11" t="n">
        <v>0.336</v>
      </c>
      <c r="M164" s="0" t="s">
        <v>148</v>
      </c>
    </row>
    <row r="165" customFormat="false" ht="15" hidden="false" customHeight="false" outlineLevel="0" collapsed="false">
      <c r="A165" s="0" t="s">
        <v>3</v>
      </c>
      <c r="B165" s="0" t="s">
        <v>5</v>
      </c>
      <c r="C165" s="0" t="s">
        <v>39</v>
      </c>
      <c r="D165" s="0" t="s">
        <v>28</v>
      </c>
      <c r="E165" s="0" t="s">
        <v>12</v>
      </c>
      <c r="F165" s="0" t="s">
        <v>29</v>
      </c>
      <c r="G165" s="0" t="s">
        <v>30</v>
      </c>
      <c r="I165" s="0" t="s">
        <v>145</v>
      </c>
      <c r="J165" s="11" t="n">
        <v>0.448</v>
      </c>
      <c r="M165" s="0" t="s">
        <v>148</v>
      </c>
    </row>
    <row r="166" customFormat="false" ht="15" hidden="false" customHeight="false" outlineLevel="0" collapsed="false">
      <c r="A166" s="0" t="s">
        <v>3</v>
      </c>
      <c r="B166" s="0" t="s">
        <v>5</v>
      </c>
      <c r="C166" s="0" t="s">
        <v>41</v>
      </c>
      <c r="D166" s="0" t="s">
        <v>28</v>
      </c>
      <c r="E166" s="0" t="s">
        <v>12</v>
      </c>
      <c r="F166" s="0" t="s">
        <v>29</v>
      </c>
      <c r="G166" s="0" t="s">
        <v>30</v>
      </c>
      <c r="I166" s="0" t="s">
        <v>145</v>
      </c>
      <c r="J166" s="11" t="n">
        <v>0.546</v>
      </c>
      <c r="M166" s="0" t="s">
        <v>148</v>
      </c>
    </row>
    <row r="167" customFormat="false" ht="15" hidden="false" customHeight="false" outlineLevel="0" collapsed="false">
      <c r="A167" s="0" t="s">
        <v>3</v>
      </c>
      <c r="B167" s="0" t="s">
        <v>5</v>
      </c>
      <c r="C167" s="0" t="s">
        <v>43</v>
      </c>
      <c r="D167" s="0" t="s">
        <v>28</v>
      </c>
      <c r="E167" s="0" t="s">
        <v>12</v>
      </c>
      <c r="F167" s="0" t="s">
        <v>29</v>
      </c>
      <c r="G167" s="0" t="s">
        <v>30</v>
      </c>
      <c r="I167" s="0" t="s">
        <v>145</v>
      </c>
      <c r="J167" s="11" t="n">
        <v>0.633</v>
      </c>
      <c r="M167" s="0" t="s">
        <v>148</v>
      </c>
    </row>
    <row r="168" customFormat="false" ht="15" hidden="false" customHeight="false" outlineLevel="0" collapsed="false">
      <c r="A168" s="0" t="s">
        <v>3</v>
      </c>
      <c r="B168" s="0" t="s">
        <v>5</v>
      </c>
      <c r="C168" s="0" t="s">
        <v>45</v>
      </c>
      <c r="D168" s="0" t="s">
        <v>28</v>
      </c>
      <c r="E168" s="0" t="s">
        <v>12</v>
      </c>
      <c r="F168" s="0" t="s">
        <v>29</v>
      </c>
      <c r="G168" s="0" t="s">
        <v>30</v>
      </c>
      <c r="I168" s="0" t="s">
        <v>145</v>
      </c>
      <c r="J168" s="11" t="n">
        <v>0.676</v>
      </c>
      <c r="M168" s="0" t="s">
        <v>148</v>
      </c>
    </row>
    <row r="169" customFormat="false" ht="29.25" hidden="false" customHeight="true" outlineLevel="0" collapsed="false">
      <c r="A169" s="0" t="s">
        <v>3</v>
      </c>
      <c r="B169" s="0" t="s">
        <v>5</v>
      </c>
      <c r="C169" s="0" t="s">
        <v>27</v>
      </c>
      <c r="D169" s="0" t="s">
        <v>28</v>
      </c>
      <c r="E169" s="0" t="s">
        <v>14</v>
      </c>
      <c r="F169" s="0" t="s">
        <v>47</v>
      </c>
      <c r="G169" s="0" t="s">
        <v>35</v>
      </c>
      <c r="I169" s="0" t="s">
        <v>145</v>
      </c>
      <c r="J169" s="0" t="n">
        <v>40.0740740740741</v>
      </c>
      <c r="M169" s="6" t="s">
        <v>148</v>
      </c>
    </row>
    <row r="170" customFormat="false" ht="15" hidden="false" customHeight="true" outlineLevel="0" collapsed="false">
      <c r="A170" s="0" t="s">
        <v>1</v>
      </c>
      <c r="B170" s="0" t="s">
        <v>110</v>
      </c>
      <c r="C170" s="0" t="s">
        <v>27</v>
      </c>
      <c r="D170" s="0" t="s">
        <v>27</v>
      </c>
      <c r="E170" s="0" t="s">
        <v>17</v>
      </c>
      <c r="F170" s="0" t="s">
        <v>29</v>
      </c>
      <c r="G170" s="0" t="s">
        <v>30</v>
      </c>
      <c r="I170" s="0" t="s">
        <v>149</v>
      </c>
      <c r="J170" s="5" t="n">
        <v>0.74</v>
      </c>
      <c r="M170" s="6" t="s">
        <v>150</v>
      </c>
    </row>
    <row r="171" customFormat="false" ht="43.5" hidden="false" customHeight="true" outlineLevel="0" collapsed="false">
      <c r="A171" s="0" t="s">
        <v>1</v>
      </c>
      <c r="B171" s="0" t="s">
        <v>110</v>
      </c>
      <c r="C171" s="0" t="s">
        <v>33</v>
      </c>
      <c r="D171" s="0" t="s">
        <v>28</v>
      </c>
      <c r="E171" s="0" t="s">
        <v>14</v>
      </c>
      <c r="F171" s="0" t="s">
        <v>34</v>
      </c>
      <c r="G171" s="0" t="s">
        <v>35</v>
      </c>
      <c r="I171" s="0" t="s">
        <v>149</v>
      </c>
      <c r="J171" s="0" t="n">
        <v>32.8032</v>
      </c>
      <c r="M171" s="6" t="s">
        <v>150</v>
      </c>
    </row>
    <row r="172" customFormat="false" ht="43.5" hidden="false" customHeight="true" outlineLevel="0" collapsed="false">
      <c r="A172" s="0" t="s">
        <v>1</v>
      </c>
      <c r="B172" s="0" t="s">
        <v>110</v>
      </c>
      <c r="C172" s="0" t="s">
        <v>37</v>
      </c>
      <c r="D172" s="0" t="s">
        <v>28</v>
      </c>
      <c r="E172" s="0" t="s">
        <v>14</v>
      </c>
      <c r="F172" s="0" t="s">
        <v>34</v>
      </c>
      <c r="G172" s="0" t="s">
        <v>35</v>
      </c>
      <c r="I172" s="0" t="s">
        <v>149</v>
      </c>
      <c r="J172" s="0" t="n">
        <v>11.4912</v>
      </c>
      <c r="M172" s="6" t="s">
        <v>150</v>
      </c>
    </row>
    <row r="173" customFormat="false" ht="43.5" hidden="false" customHeight="true" outlineLevel="0" collapsed="false">
      <c r="A173" s="0" t="s">
        <v>1</v>
      </c>
      <c r="B173" s="0" t="s">
        <v>110</v>
      </c>
      <c r="C173" s="0" t="s">
        <v>39</v>
      </c>
      <c r="D173" s="0" t="s">
        <v>28</v>
      </c>
      <c r="E173" s="0" t="s">
        <v>14</v>
      </c>
      <c r="F173" s="0" t="s">
        <v>34</v>
      </c>
      <c r="G173" s="0" t="s">
        <v>35</v>
      </c>
      <c r="I173" s="0" t="s">
        <v>149</v>
      </c>
      <c r="J173" s="0" t="n">
        <v>23.4752</v>
      </c>
      <c r="M173" s="6" t="s">
        <v>150</v>
      </c>
    </row>
    <row r="174" customFormat="false" ht="43.5" hidden="false" customHeight="true" outlineLevel="0" collapsed="false">
      <c r="A174" s="0" t="s">
        <v>1</v>
      </c>
      <c r="B174" s="0" t="s">
        <v>110</v>
      </c>
      <c r="C174" s="0" t="s">
        <v>41</v>
      </c>
      <c r="D174" s="0" t="s">
        <v>28</v>
      </c>
      <c r="E174" s="0" t="s">
        <v>14</v>
      </c>
      <c r="F174" s="0" t="s">
        <v>34</v>
      </c>
      <c r="G174" s="0" t="s">
        <v>35</v>
      </c>
      <c r="I174" s="0" t="s">
        <v>149</v>
      </c>
      <c r="J174" s="0" t="n">
        <v>33.1422</v>
      </c>
      <c r="M174" s="6" t="s">
        <v>150</v>
      </c>
    </row>
    <row r="175" customFormat="false" ht="43.5" hidden="false" customHeight="true" outlineLevel="0" collapsed="false">
      <c r="A175" s="0" t="s">
        <v>1</v>
      </c>
      <c r="B175" s="0" t="s">
        <v>110</v>
      </c>
      <c r="C175" s="0" t="s">
        <v>43</v>
      </c>
      <c r="D175" s="0" t="s">
        <v>28</v>
      </c>
      <c r="E175" s="0" t="s">
        <v>14</v>
      </c>
      <c r="F175" s="0" t="s">
        <v>34</v>
      </c>
      <c r="G175" s="0" t="s">
        <v>35</v>
      </c>
      <c r="I175" s="0" t="s">
        <v>149</v>
      </c>
      <c r="J175" s="0" t="n">
        <v>46.6521</v>
      </c>
      <c r="M175" s="6" t="s">
        <v>150</v>
      </c>
    </row>
    <row r="176" customFormat="false" ht="43.5" hidden="false" customHeight="true" outlineLevel="0" collapsed="false">
      <c r="A176" s="0" t="s">
        <v>1</v>
      </c>
      <c r="B176" s="0" t="s">
        <v>110</v>
      </c>
      <c r="C176" s="0" t="s">
        <v>45</v>
      </c>
      <c r="D176" s="0" t="s">
        <v>28</v>
      </c>
      <c r="E176" s="0" t="s">
        <v>14</v>
      </c>
      <c r="F176" s="0" t="s">
        <v>34</v>
      </c>
      <c r="G176" s="0" t="s">
        <v>35</v>
      </c>
      <c r="I176" s="0" t="s">
        <v>149</v>
      </c>
      <c r="J176" s="0" t="n">
        <v>53.742</v>
      </c>
      <c r="M176" s="6" t="s">
        <v>150</v>
      </c>
    </row>
    <row r="177" customFormat="false" ht="29.25" hidden="false" customHeight="true" outlineLevel="0" collapsed="false">
      <c r="A177" s="0" t="s">
        <v>1</v>
      </c>
      <c r="B177" s="0" t="s">
        <v>110</v>
      </c>
      <c r="C177" s="0" t="s">
        <v>33</v>
      </c>
      <c r="D177" s="0" t="s">
        <v>28</v>
      </c>
      <c r="E177" s="0" t="s">
        <v>12</v>
      </c>
      <c r="F177" s="0" t="s">
        <v>29</v>
      </c>
      <c r="G177" s="0" t="s">
        <v>30</v>
      </c>
      <c r="I177" s="0" t="s">
        <v>149</v>
      </c>
      <c r="J177" s="11" t="n">
        <v>0.536</v>
      </c>
      <c r="M177" s="6" t="s">
        <v>150</v>
      </c>
    </row>
    <row r="178" customFormat="false" ht="15" hidden="false" customHeight="false" outlineLevel="0" collapsed="false">
      <c r="A178" s="0" t="s">
        <v>1</v>
      </c>
      <c r="B178" s="0" t="s">
        <v>110</v>
      </c>
      <c r="C178" s="0" t="s">
        <v>37</v>
      </c>
      <c r="D178" s="0" t="s">
        <v>28</v>
      </c>
      <c r="E178" s="0" t="s">
        <v>12</v>
      </c>
      <c r="F178" s="0" t="s">
        <v>29</v>
      </c>
      <c r="G178" s="0" t="s">
        <v>30</v>
      </c>
      <c r="I178" s="0" t="s">
        <v>149</v>
      </c>
      <c r="J178" s="11" t="n">
        <v>0.336</v>
      </c>
      <c r="M178" s="0" t="s">
        <v>150</v>
      </c>
    </row>
    <row r="179" customFormat="false" ht="15" hidden="false" customHeight="false" outlineLevel="0" collapsed="false">
      <c r="A179" s="0" t="s">
        <v>1</v>
      </c>
      <c r="B179" s="0" t="s">
        <v>110</v>
      </c>
      <c r="C179" s="0" t="s">
        <v>39</v>
      </c>
      <c r="D179" s="0" t="s">
        <v>28</v>
      </c>
      <c r="E179" s="0" t="s">
        <v>12</v>
      </c>
      <c r="F179" s="0" t="s">
        <v>29</v>
      </c>
      <c r="G179" s="0" t="s">
        <v>30</v>
      </c>
      <c r="I179" s="0" t="s">
        <v>149</v>
      </c>
      <c r="J179" s="11" t="n">
        <v>0.448</v>
      </c>
      <c r="M179" s="0" t="s">
        <v>150</v>
      </c>
    </row>
    <row r="180" customFormat="false" ht="15" hidden="false" customHeight="false" outlineLevel="0" collapsed="false">
      <c r="A180" s="0" t="s">
        <v>1</v>
      </c>
      <c r="B180" s="0" t="s">
        <v>110</v>
      </c>
      <c r="C180" s="0" t="s">
        <v>41</v>
      </c>
      <c r="D180" s="0" t="s">
        <v>28</v>
      </c>
      <c r="E180" s="0" t="s">
        <v>12</v>
      </c>
      <c r="F180" s="0" t="s">
        <v>29</v>
      </c>
      <c r="G180" s="0" t="s">
        <v>30</v>
      </c>
      <c r="I180" s="0" t="s">
        <v>149</v>
      </c>
      <c r="J180" s="11" t="n">
        <v>0.546</v>
      </c>
      <c r="M180" s="0" t="s">
        <v>150</v>
      </c>
    </row>
    <row r="181" customFormat="false" ht="15" hidden="false" customHeight="false" outlineLevel="0" collapsed="false">
      <c r="A181" s="0" t="s">
        <v>1</v>
      </c>
      <c r="B181" s="0" t="s">
        <v>110</v>
      </c>
      <c r="C181" s="0" t="s">
        <v>43</v>
      </c>
      <c r="D181" s="0" t="s">
        <v>28</v>
      </c>
      <c r="E181" s="0" t="s">
        <v>12</v>
      </c>
      <c r="F181" s="0" t="s">
        <v>29</v>
      </c>
      <c r="G181" s="0" t="s">
        <v>30</v>
      </c>
      <c r="I181" s="0" t="s">
        <v>149</v>
      </c>
      <c r="J181" s="11" t="n">
        <v>0.633</v>
      </c>
      <c r="M181" s="0" t="s">
        <v>150</v>
      </c>
    </row>
    <row r="182" customFormat="false" ht="15" hidden="false" customHeight="false" outlineLevel="0" collapsed="false">
      <c r="A182" s="0" t="s">
        <v>1</v>
      </c>
      <c r="B182" s="0" t="s">
        <v>110</v>
      </c>
      <c r="C182" s="0" t="s">
        <v>45</v>
      </c>
      <c r="D182" s="0" t="s">
        <v>28</v>
      </c>
      <c r="E182" s="0" t="s">
        <v>12</v>
      </c>
      <c r="F182" s="0" t="s">
        <v>29</v>
      </c>
      <c r="G182" s="0" t="s">
        <v>30</v>
      </c>
      <c r="I182" s="0" t="s">
        <v>149</v>
      </c>
      <c r="J182" s="11" t="n">
        <v>0.676</v>
      </c>
      <c r="M182" s="0" t="s">
        <v>150</v>
      </c>
    </row>
    <row r="183" customFormat="false" ht="29.25" hidden="false" customHeight="true" outlineLevel="0" collapsed="false">
      <c r="A183" s="0" t="s">
        <v>1</v>
      </c>
      <c r="B183" s="0" t="s">
        <v>110</v>
      </c>
      <c r="C183" s="0" t="s">
        <v>27</v>
      </c>
      <c r="D183" s="0" t="s">
        <v>28</v>
      </c>
      <c r="E183" s="0" t="s">
        <v>14</v>
      </c>
      <c r="F183" s="0" t="s">
        <v>47</v>
      </c>
      <c r="G183" s="0" t="s">
        <v>35</v>
      </c>
      <c r="I183" s="0" t="s">
        <v>149</v>
      </c>
      <c r="J183" s="0" t="n">
        <v>40.0740740740741</v>
      </c>
      <c r="M183" s="6" t="s">
        <v>150</v>
      </c>
    </row>
  </sheetData>
  <dataValidations count="5">
    <dataValidation allowBlank="true" errorStyle="stop" operator="between" showDropDown="false" showErrorMessage="true" showInputMessage="true" sqref="A1:B1" type="none">
      <formula1>0</formula1>
      <formula2>0</formula2>
    </dataValidation>
    <dataValidation allowBlank="true" errorStyle="stop" operator="between" showDropDown="false" showErrorMessage="true" showInputMessage="true" sqref="C1:C1183" type="list">
      <formula1>"All (assumed same),Total,Lowest,Second,Middle,Fourth,Highest"</formula1>
      <formula2>0</formula2>
    </dataValidation>
    <dataValidation allowBlank="true" errorStyle="stop" operator="between" showDropDown="false" showErrorMessage="true" showInputMessage="true" sqref="A2:A1183" type="list">
      <formula1>"Nigeria,Ethiopia,India"</formula1>
      <formula2>0</formula2>
    </dataValidation>
    <dataValidation allowBlank="true" errorStyle="stop" operator="between" showDropDown="false" showErrorMessage="true" showInputMessage="true" sqref="B2:B1183" type="list">
      <formula1>"Bouillon,Salt,Rice"</formula1>
      <formula2>0</formula2>
    </dataValidation>
    <dataValidation allowBlank="true" errorStyle="stop" operator="between" showDropDown="false" showErrorMessage="true" showInputMessage="true" sqref="D1:D1183" type="list">
      <formula1>"All (assumed same),Total,Female,Male"</formula1>
      <formula2>0</formula2>
    </dataValidation>
  </dataValidations>
  <hyperlinks>
    <hyperlink ref="M9" r:id="rId1" display="https://www.ncbi.nlm.nih.gov/pmc/articles/PMC10195378/; among all adults"/>
    <hyperlink ref="M17" r:id="rId2" display="https://www.ncbi.nlm.nih.gov/pmc/articles/PMC10195378/; among all adults"/>
    <hyperlink ref="M19" r:id="rId3" display="https://www.unicef.org/nigeria/media/9271/file/%20National%20Food%20Consumption%20and%20Micronutrient%20Survey%20(2021).pd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.5"/>
    <col collapsed="false" customWidth="true" hidden="false" outlineLevel="0" max="2" min="2" style="0" width="12.5"/>
    <col collapsed="false" customWidth="true" hidden="false" outlineLevel="0" max="5" min="3" style="0" width="15.5"/>
    <col collapsed="false" customWidth="true" hidden="false" outlineLevel="0" max="6" min="6" style="0" width="9.67"/>
    <col collapsed="false" customWidth="true" hidden="false" outlineLevel="0" max="17" min="14" style="0" width="15.83"/>
  </cols>
  <sheetData>
    <row r="1" customFormat="false" ht="1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 t="s">
        <v>2</v>
      </c>
      <c r="G1" s="2"/>
      <c r="H1" s="2"/>
      <c r="I1" s="2"/>
      <c r="J1" s="2"/>
      <c r="K1" s="2"/>
      <c r="L1" s="2"/>
      <c r="M1" s="2"/>
      <c r="N1" s="13" t="s">
        <v>3</v>
      </c>
      <c r="O1" s="13"/>
      <c r="P1" s="13"/>
      <c r="Q1" s="13"/>
    </row>
    <row r="2" customFormat="false" ht="15" hidden="false" customHeight="true" outlineLevel="0" collapsed="false">
      <c r="A2" s="1" t="s">
        <v>4</v>
      </c>
      <c r="B2" s="2" t="s">
        <v>5</v>
      </c>
      <c r="C2" s="2"/>
      <c r="D2" s="2"/>
      <c r="E2" s="2"/>
      <c r="F2" s="2" t="s">
        <v>6</v>
      </c>
      <c r="G2" s="2"/>
      <c r="H2" s="2"/>
      <c r="I2" s="2"/>
      <c r="J2" s="2" t="s">
        <v>7</v>
      </c>
      <c r="K2" s="2"/>
      <c r="L2" s="2"/>
      <c r="M2" s="2"/>
      <c r="N2" s="2" t="s">
        <v>7</v>
      </c>
      <c r="O2" s="2"/>
      <c r="P2" s="2"/>
      <c r="Q2" s="2"/>
    </row>
    <row r="3" customFormat="false" ht="15" hidden="false" customHeight="true" outlineLevel="0" collapsed="false">
      <c r="A3" s="1" t="s">
        <v>151</v>
      </c>
      <c r="B3" s="2" t="s">
        <v>152</v>
      </c>
      <c r="C3" s="2"/>
      <c r="D3" s="2" t="s">
        <v>153</v>
      </c>
      <c r="E3" s="2"/>
      <c r="F3" s="2" t="s">
        <v>152</v>
      </c>
      <c r="G3" s="2"/>
      <c r="H3" s="2" t="s">
        <v>153</v>
      </c>
      <c r="I3" s="2"/>
      <c r="J3" s="2" t="s">
        <v>152</v>
      </c>
      <c r="K3" s="2"/>
      <c r="L3" s="2" t="s">
        <v>153</v>
      </c>
      <c r="M3" s="2"/>
      <c r="N3" s="2" t="s">
        <v>152</v>
      </c>
      <c r="O3" s="2"/>
      <c r="P3" s="2" t="s">
        <v>153</v>
      </c>
      <c r="Q3" s="2"/>
    </row>
    <row r="4" customFormat="false" ht="15" hidden="false" customHeight="true" outlineLevel="0" collapsed="false">
      <c r="A4" s="1" t="s">
        <v>8</v>
      </c>
      <c r="B4" s="3" t="s">
        <v>9</v>
      </c>
      <c r="C4" s="4" t="s">
        <v>10</v>
      </c>
      <c r="D4" s="3" t="s">
        <v>9</v>
      </c>
      <c r="E4" s="4" t="s">
        <v>10</v>
      </c>
      <c r="F4" s="3" t="s">
        <v>9</v>
      </c>
      <c r="G4" s="4" t="s">
        <v>10</v>
      </c>
      <c r="H4" s="3" t="s">
        <v>9</v>
      </c>
      <c r="I4" s="4" t="s">
        <v>10</v>
      </c>
      <c r="J4" s="3" t="s">
        <v>9</v>
      </c>
      <c r="K4" s="4" t="s">
        <v>10</v>
      </c>
      <c r="L4" s="3" t="s">
        <v>9</v>
      </c>
      <c r="M4" s="4" t="s">
        <v>10</v>
      </c>
      <c r="N4" s="3" t="s">
        <v>9</v>
      </c>
      <c r="O4" s="4" t="s">
        <v>10</v>
      </c>
      <c r="P4" s="3" t="s">
        <v>9</v>
      </c>
      <c r="Q4" s="4" t="s">
        <v>10</v>
      </c>
    </row>
    <row r="5" customFormat="false" ht="15" hidden="false" customHeight="true" outlineLevel="0" collapsed="false">
      <c r="A5" s="4" t="s">
        <v>11</v>
      </c>
      <c r="B5" s="4"/>
      <c r="C5" s="4"/>
      <c r="D5" s="4"/>
      <c r="E5" s="4"/>
      <c r="F5" s="4"/>
      <c r="G5" s="4"/>
    </row>
    <row r="6" customFormat="false" ht="15" hidden="false" customHeight="true" outlineLevel="0" collapsed="false">
      <c r="A6" s="0" t="s">
        <v>154</v>
      </c>
      <c r="B6" s="14" t="s">
        <v>155</v>
      </c>
      <c r="C6" s="14" t="s">
        <v>155</v>
      </c>
      <c r="D6" s="14" t="s">
        <v>156</v>
      </c>
      <c r="E6" s="14" t="s">
        <v>156</v>
      </c>
      <c r="F6" s="14" t="s">
        <v>155</v>
      </c>
      <c r="G6" s="14" t="s">
        <v>155</v>
      </c>
      <c r="H6" s="14" t="str">
        <f aca="false"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s="14" t="str">
        <f aca="false"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s="14" t="s">
        <v>155</v>
      </c>
      <c r="K6" s="14" t="s">
        <v>155</v>
      </c>
      <c r="L6" s="14" t="s">
        <v>155</v>
      </c>
      <c r="M6" s="14" t="s">
        <v>155</v>
      </c>
      <c r="N6" s="14" t="s">
        <v>13</v>
      </c>
      <c r="O6" s="14" t="s">
        <v>13</v>
      </c>
      <c r="P6" s="14" t="s">
        <v>13</v>
      </c>
      <c r="Q6" s="14" t="s">
        <v>13</v>
      </c>
    </row>
    <row r="7" customFormat="false" ht="15" hidden="false" customHeight="true" outlineLevel="0" collapsed="false">
      <c r="A7" s="0" t="s">
        <v>157</v>
      </c>
      <c r="B7" s="14" t="s">
        <v>155</v>
      </c>
      <c r="C7" s="14" t="s">
        <v>155</v>
      </c>
      <c r="D7" s="14" t="s">
        <v>156</v>
      </c>
      <c r="E7" s="14" t="s">
        <v>156</v>
      </c>
      <c r="F7" s="14" t="s">
        <v>155</v>
      </c>
      <c r="G7" s="14" t="s">
        <v>155</v>
      </c>
      <c r="H7" s="14" t="str">
        <f aca="false"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s="14" t="str">
        <f aca="false"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s="14" t="s">
        <v>155</v>
      </c>
      <c r="K7" s="14" t="s">
        <v>155</v>
      </c>
      <c r="L7" s="14" t="s">
        <v>155</v>
      </c>
      <c r="M7" s="14" t="s">
        <v>155</v>
      </c>
      <c r="N7" s="14" t="str">
        <f aca="false"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s="14" t="s">
        <v>158</v>
      </c>
      <c r="P7" s="14" t="str">
        <f aca="false"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s="14" t="s">
        <v>158</v>
      </c>
    </row>
    <row r="8" customFormat="false" ht="15" hidden="false" customHeight="true" outlineLevel="0" collapsed="false">
      <c r="A8" s="0" t="s">
        <v>159</v>
      </c>
      <c r="B8" s="0" t="s">
        <v>155</v>
      </c>
      <c r="C8" s="0" t="s">
        <v>155</v>
      </c>
      <c r="D8" s="0" t="s">
        <v>156</v>
      </c>
      <c r="E8" s="0" t="s">
        <v>156</v>
      </c>
      <c r="F8" s="0" t="s">
        <v>155</v>
      </c>
      <c r="G8" s="0" t="s">
        <v>155</v>
      </c>
      <c r="H8" s="0" t="str">
        <f aca="false"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s="0" t="str">
        <f aca="false"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s="0" t="s">
        <v>155</v>
      </c>
      <c r="K8" s="0" t="s">
        <v>155</v>
      </c>
      <c r="L8" s="0" t="s">
        <v>155</v>
      </c>
      <c r="M8" s="0" t="s">
        <v>155</v>
      </c>
      <c r="N8" s="0" t="str">
        <f aca="false"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s="0" t="s">
        <v>158</v>
      </c>
      <c r="P8" s="0" t="str">
        <f aca="false"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s="0" t="s">
        <v>158</v>
      </c>
    </row>
  </sheetData>
  <mergeCells count="15">
    <mergeCell ref="B1:E1"/>
    <mergeCell ref="F1:M1"/>
    <mergeCell ref="N1:Q1"/>
    <mergeCell ref="B2:E2"/>
    <mergeCell ref="F2:I2"/>
    <mergeCell ref="J2:M2"/>
    <mergeCell ref="N2:Q2"/>
    <mergeCell ref="B3:C3"/>
    <mergeCell ref="D3:E3"/>
    <mergeCell ref="F3:G3"/>
    <mergeCell ref="H3:I3"/>
    <mergeCell ref="J3:K3"/>
    <mergeCell ref="L3:M3"/>
    <mergeCell ref="N3:O3"/>
    <mergeCell ref="P3:Q3"/>
  </mergeCells>
  <conditionalFormatting sqref="H8:I8 N8:Q8">
    <cfRule type="cellIs" priority="2" operator="equal" aboveAverage="0" equalAverage="0" bottom="0" percent="0" rank="0" text="" dxfId="0">
      <formula>"Missing"</formula>
    </cfRule>
  </conditionalFormatting>
  <conditionalFormatting sqref="B6:Q7">
    <cfRule type="cellIs" priority="3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8" activePane="bottomLeft" state="frozen"/>
      <selection pane="topLeft" activeCell="A1" activeCellId="0" sqref="A1"/>
      <selection pane="bottomLeft" activeCell="L25" activeCellId="0" sqref="L2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3" style="0" width="9.5"/>
    <col collapsed="false" customWidth="true" hidden="false" outlineLevel="0" max="4" min="4" style="0" width="18.33"/>
    <col collapsed="false" customWidth="true" hidden="false" outlineLevel="0" max="5" min="5" style="0" width="52.66"/>
    <col collapsed="false" customWidth="true" hidden="false" outlineLevel="0" max="6" min="6" style="0" width="19"/>
    <col collapsed="false" customWidth="true" hidden="false" outlineLevel="0" max="9" min="9" style="0" width="11.83"/>
    <col collapsed="false" customWidth="true" hidden="false" outlineLevel="0" max="12" min="12" style="0" width="50.5"/>
  </cols>
  <sheetData>
    <row r="1" customFormat="false" ht="15" hidden="false" customHeight="false" outlineLevel="0" collapsed="false">
      <c r="A1" s="4" t="s">
        <v>0</v>
      </c>
      <c r="B1" s="4" t="s">
        <v>4</v>
      </c>
      <c r="C1" s="4" t="s">
        <v>151</v>
      </c>
      <c r="D1" s="4" t="s">
        <v>10</v>
      </c>
      <c r="E1" s="4" t="s">
        <v>11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26</v>
      </c>
    </row>
    <row r="2" customFormat="false" ht="15" hidden="false" customHeight="false" outlineLevel="0" collapsed="false">
      <c r="A2" s="0" t="s">
        <v>1</v>
      </c>
      <c r="B2" s="0" t="s">
        <v>5</v>
      </c>
      <c r="C2" s="0" t="s">
        <v>152</v>
      </c>
      <c r="D2" s="0" t="s">
        <v>27</v>
      </c>
      <c r="E2" s="0" t="s">
        <v>154</v>
      </c>
      <c r="F2" s="0" t="s">
        <v>29</v>
      </c>
      <c r="G2" s="15" t="s">
        <v>30</v>
      </c>
      <c r="I2" s="0" t="s">
        <v>105</v>
      </c>
      <c r="J2" s="5" t="n">
        <v>0</v>
      </c>
    </row>
    <row r="3" customFormat="false" ht="15" hidden="false" customHeight="false" outlineLevel="0" collapsed="false">
      <c r="A3" s="0" t="s">
        <v>1</v>
      </c>
      <c r="B3" s="0" t="s">
        <v>5</v>
      </c>
      <c r="C3" s="0" t="s">
        <v>152</v>
      </c>
      <c r="D3" s="0" t="s">
        <v>27</v>
      </c>
      <c r="E3" s="0" t="s">
        <v>157</v>
      </c>
      <c r="F3" s="0" t="s">
        <v>160</v>
      </c>
      <c r="G3" s="15" t="s">
        <v>161</v>
      </c>
      <c r="I3" s="0" t="s">
        <v>105</v>
      </c>
      <c r="J3" s="16" t="n">
        <v>0</v>
      </c>
    </row>
    <row r="4" customFormat="false" ht="15" hidden="false" customHeight="true" outlineLevel="0" collapsed="false">
      <c r="A4" s="0" t="s">
        <v>2</v>
      </c>
      <c r="B4" s="0" t="s">
        <v>7</v>
      </c>
      <c r="C4" s="0" t="s">
        <v>152</v>
      </c>
      <c r="D4" s="0" t="s">
        <v>27</v>
      </c>
      <c r="E4" s="0" t="s">
        <v>154</v>
      </c>
      <c r="F4" s="0" t="s">
        <v>29</v>
      </c>
      <c r="G4" s="15" t="s">
        <v>30</v>
      </c>
      <c r="I4" s="0" t="s">
        <v>105</v>
      </c>
      <c r="J4" s="5" t="n">
        <v>0</v>
      </c>
      <c r="L4" s="0" t="s">
        <v>162</v>
      </c>
    </row>
    <row r="5" customFormat="false" ht="15" hidden="false" customHeight="true" outlineLevel="0" collapsed="false">
      <c r="A5" s="0" t="s">
        <v>2</v>
      </c>
      <c r="B5" s="0" t="s">
        <v>7</v>
      </c>
      <c r="C5" s="0" t="s">
        <v>152</v>
      </c>
      <c r="D5" s="0" t="s">
        <v>27</v>
      </c>
      <c r="E5" s="0" t="s">
        <v>157</v>
      </c>
      <c r="F5" s="0" t="s">
        <v>160</v>
      </c>
      <c r="G5" s="15" t="s">
        <v>161</v>
      </c>
      <c r="I5" s="0" t="s">
        <v>105</v>
      </c>
      <c r="J5" s="16" t="n">
        <v>0</v>
      </c>
      <c r="L5" s="0" t="s">
        <v>162</v>
      </c>
    </row>
    <row r="6" customFormat="false" ht="15" hidden="false" customHeight="true" outlineLevel="0" collapsed="false">
      <c r="A6" s="0" t="s">
        <v>2</v>
      </c>
      <c r="B6" s="0" t="s">
        <v>7</v>
      </c>
      <c r="C6" s="0" t="s">
        <v>153</v>
      </c>
      <c r="D6" s="0" t="s">
        <v>27</v>
      </c>
      <c r="E6" s="0" t="s">
        <v>154</v>
      </c>
      <c r="F6" s="0" t="s">
        <v>29</v>
      </c>
      <c r="G6" s="15" t="s">
        <v>30</v>
      </c>
      <c r="I6" s="0" t="s">
        <v>105</v>
      </c>
      <c r="J6" s="5" t="n">
        <v>0</v>
      </c>
      <c r="L6" s="0" t="s">
        <v>162</v>
      </c>
    </row>
    <row r="7" customFormat="false" ht="15" hidden="false" customHeight="true" outlineLevel="0" collapsed="false">
      <c r="A7" s="0" t="s">
        <v>2</v>
      </c>
      <c r="B7" s="0" t="s">
        <v>7</v>
      </c>
      <c r="C7" s="0" t="s">
        <v>153</v>
      </c>
      <c r="D7" s="0" t="s">
        <v>27</v>
      </c>
      <c r="E7" s="0" t="s">
        <v>157</v>
      </c>
      <c r="F7" s="0" t="s">
        <v>160</v>
      </c>
      <c r="G7" s="15" t="s">
        <v>161</v>
      </c>
      <c r="I7" s="0" t="s">
        <v>105</v>
      </c>
      <c r="J7" s="16" t="n">
        <v>0</v>
      </c>
      <c r="L7" s="0" t="s">
        <v>162</v>
      </c>
    </row>
    <row r="8" customFormat="false" ht="15" hidden="false" customHeight="false" outlineLevel="0" collapsed="false">
      <c r="A8" s="0" t="s">
        <v>2</v>
      </c>
      <c r="B8" s="0" t="s">
        <v>6</v>
      </c>
      <c r="C8" s="0" t="s">
        <v>153</v>
      </c>
      <c r="D8" s="0" t="s">
        <v>33</v>
      </c>
      <c r="E8" s="0" t="s">
        <v>154</v>
      </c>
      <c r="F8" s="0" t="s">
        <v>29</v>
      </c>
      <c r="G8" s="15" t="s">
        <v>30</v>
      </c>
      <c r="I8" s="0" t="s">
        <v>105</v>
      </c>
      <c r="J8" s="5" t="n">
        <v>0.618756371049949</v>
      </c>
      <c r="L8" s="17" t="s">
        <v>163</v>
      </c>
    </row>
    <row r="9" customFormat="false" ht="15" hidden="false" customHeight="false" outlineLevel="0" collapsed="false">
      <c r="A9" s="0" t="s">
        <v>2</v>
      </c>
      <c r="B9" s="0" t="s">
        <v>6</v>
      </c>
      <c r="C9" s="0" t="s">
        <v>153</v>
      </c>
      <c r="D9" s="0" t="s">
        <v>37</v>
      </c>
      <c r="E9" s="0" t="s">
        <v>154</v>
      </c>
      <c r="F9" s="0" t="s">
        <v>29</v>
      </c>
      <c r="G9" s="15" t="s">
        <v>30</v>
      </c>
      <c r="I9" s="0" t="s">
        <v>105</v>
      </c>
      <c r="J9" s="5" t="n">
        <v>0.519210799584631</v>
      </c>
      <c r="L9" s="17"/>
    </row>
    <row r="10" customFormat="false" ht="15" hidden="false" customHeight="false" outlineLevel="0" collapsed="false">
      <c r="A10" s="0" t="s">
        <v>2</v>
      </c>
      <c r="B10" s="0" t="s">
        <v>6</v>
      </c>
      <c r="C10" s="0" t="s">
        <v>153</v>
      </c>
      <c r="D10" s="0" t="s">
        <v>39</v>
      </c>
      <c r="E10" s="0" t="s">
        <v>154</v>
      </c>
      <c r="F10" s="0" t="s">
        <v>29</v>
      </c>
      <c r="G10" s="15" t="s">
        <v>30</v>
      </c>
      <c r="I10" s="0" t="s">
        <v>105</v>
      </c>
      <c r="J10" s="5" t="n">
        <v>0.584097859327217</v>
      </c>
      <c r="L10" s="17"/>
    </row>
    <row r="11" customFormat="false" ht="15" hidden="false" customHeight="false" outlineLevel="0" collapsed="false">
      <c r="A11" s="0" t="s">
        <v>2</v>
      </c>
      <c r="B11" s="0" t="s">
        <v>6</v>
      </c>
      <c r="C11" s="0" t="s">
        <v>153</v>
      </c>
      <c r="D11" s="0" t="s">
        <v>41</v>
      </c>
      <c r="E11" s="0" t="s">
        <v>154</v>
      </c>
      <c r="F11" s="0" t="s">
        <v>29</v>
      </c>
      <c r="G11" s="15" t="s">
        <v>30</v>
      </c>
      <c r="I11" s="0" t="s">
        <v>105</v>
      </c>
      <c r="J11" s="5" t="n">
        <v>0.638104838709677</v>
      </c>
      <c r="L11" s="17"/>
    </row>
    <row r="12" customFormat="false" ht="15" hidden="false" customHeight="false" outlineLevel="0" collapsed="false">
      <c r="A12" s="0" t="s">
        <v>2</v>
      </c>
      <c r="B12" s="0" t="s">
        <v>6</v>
      </c>
      <c r="C12" s="0" t="s">
        <v>153</v>
      </c>
      <c r="D12" s="0" t="s">
        <v>43</v>
      </c>
      <c r="E12" s="0" t="s">
        <v>154</v>
      </c>
      <c r="F12" s="0" t="s">
        <v>29</v>
      </c>
      <c r="G12" s="15" t="s">
        <v>30</v>
      </c>
      <c r="I12" s="0" t="s">
        <v>105</v>
      </c>
      <c r="J12" s="5" t="n">
        <v>0.669371196754564</v>
      </c>
      <c r="L12" s="17"/>
    </row>
    <row r="13" customFormat="false" ht="15" hidden="false" customHeight="false" outlineLevel="0" collapsed="false">
      <c r="A13" s="0" t="s">
        <v>2</v>
      </c>
      <c r="B13" s="0" t="s">
        <v>6</v>
      </c>
      <c r="C13" s="0" t="s">
        <v>153</v>
      </c>
      <c r="D13" s="0" t="s">
        <v>45</v>
      </c>
      <c r="E13" s="0" t="s">
        <v>154</v>
      </c>
      <c r="F13" s="0" t="s">
        <v>29</v>
      </c>
      <c r="G13" s="15" t="s">
        <v>30</v>
      </c>
      <c r="I13" s="0" t="s">
        <v>105</v>
      </c>
      <c r="J13" s="5" t="n">
        <v>0.699797160243408</v>
      </c>
      <c r="L13" s="17"/>
    </row>
    <row r="14" customFormat="false" ht="101.25" hidden="false" customHeight="true" outlineLevel="0" collapsed="false">
      <c r="A14" s="0" t="s">
        <v>2</v>
      </c>
      <c r="B14" s="0" t="s">
        <v>6</v>
      </c>
      <c r="C14" s="0" t="s">
        <v>153</v>
      </c>
      <c r="D14" s="0" t="s">
        <v>27</v>
      </c>
      <c r="E14" s="0" t="s">
        <v>157</v>
      </c>
      <c r="F14" s="0" t="s">
        <v>160</v>
      </c>
      <c r="G14" s="15" t="s">
        <v>161</v>
      </c>
      <c r="I14" s="0" t="s">
        <v>105</v>
      </c>
      <c r="J14" s="16" t="n">
        <v>420</v>
      </c>
      <c r="L14" s="18" t="s">
        <v>164</v>
      </c>
    </row>
    <row r="15" customFormat="false" ht="15" hidden="false" customHeight="false" outlineLevel="0" collapsed="false">
      <c r="A15" s="0" t="s">
        <v>2</v>
      </c>
      <c r="B15" s="0" t="s">
        <v>6</v>
      </c>
      <c r="C15" s="0" t="s">
        <v>152</v>
      </c>
      <c r="D15" s="0" t="s">
        <v>27</v>
      </c>
      <c r="E15" s="0" t="s">
        <v>154</v>
      </c>
      <c r="F15" s="0" t="s">
        <v>29</v>
      </c>
      <c r="G15" s="15" t="s">
        <v>30</v>
      </c>
      <c r="I15" s="0" t="s">
        <v>105</v>
      </c>
      <c r="J15" s="5" t="n">
        <v>0</v>
      </c>
      <c r="L15" s="17" t="s">
        <v>165</v>
      </c>
    </row>
    <row r="16" customFormat="false" ht="15" hidden="false" customHeight="false" outlineLevel="0" collapsed="false">
      <c r="A16" s="0" t="s">
        <v>2</v>
      </c>
      <c r="B16" s="0" t="s">
        <v>6</v>
      </c>
      <c r="C16" s="0" t="s">
        <v>152</v>
      </c>
      <c r="D16" s="0" t="s">
        <v>27</v>
      </c>
      <c r="E16" s="0" t="s">
        <v>157</v>
      </c>
      <c r="F16" s="0" t="s">
        <v>160</v>
      </c>
      <c r="G16" s="15" t="s">
        <v>161</v>
      </c>
      <c r="I16" s="0" t="s">
        <v>105</v>
      </c>
      <c r="J16" s="16" t="n">
        <v>0</v>
      </c>
      <c r="L16" s="17"/>
    </row>
    <row r="17" customFormat="false" ht="43.5" hidden="false" customHeight="true" outlineLevel="0" collapsed="false">
      <c r="A17" s="0" t="s">
        <v>3</v>
      </c>
      <c r="B17" s="0" t="s">
        <v>7</v>
      </c>
      <c r="C17" s="0" t="s">
        <v>153</v>
      </c>
      <c r="D17" s="0" t="s">
        <v>27</v>
      </c>
      <c r="E17" s="0" t="s">
        <v>157</v>
      </c>
      <c r="F17" s="0" t="s">
        <v>160</v>
      </c>
      <c r="G17" s="0" t="s">
        <v>161</v>
      </c>
      <c r="I17" s="19" t="s">
        <v>166</v>
      </c>
      <c r="J17" s="0" t="n">
        <v>42.5</v>
      </c>
      <c r="L17" s="6" t="s">
        <v>167</v>
      </c>
    </row>
    <row r="18" customFormat="false" ht="43.5" hidden="false" customHeight="true" outlineLevel="0" collapsed="false">
      <c r="A18" s="0" t="s">
        <v>3</v>
      </c>
      <c r="B18" s="0" t="s">
        <v>7</v>
      </c>
      <c r="C18" s="0" t="s">
        <v>152</v>
      </c>
      <c r="D18" s="0" t="s">
        <v>27</v>
      </c>
      <c r="E18" s="0" t="s">
        <v>157</v>
      </c>
      <c r="F18" s="0" t="s">
        <v>160</v>
      </c>
      <c r="G18" s="0" t="s">
        <v>161</v>
      </c>
      <c r="I18" s="19" t="s">
        <v>166</v>
      </c>
      <c r="J18" s="0" t="n">
        <v>0.125</v>
      </c>
      <c r="L18" s="18" t="s">
        <v>168</v>
      </c>
    </row>
    <row r="19" customFormat="false" ht="15" hidden="false" customHeight="false" outlineLevel="0" collapsed="false">
      <c r="A19" s="0" t="s">
        <v>2</v>
      </c>
      <c r="B19" s="0" t="s">
        <v>6</v>
      </c>
      <c r="C19" s="0" t="s">
        <v>153</v>
      </c>
      <c r="D19" s="0" t="s">
        <v>27</v>
      </c>
      <c r="E19" s="0" t="s">
        <v>159</v>
      </c>
      <c r="F19" s="0" t="s">
        <v>29</v>
      </c>
      <c r="G19" s="15" t="s">
        <v>30</v>
      </c>
      <c r="I19" s="0" t="s">
        <v>105</v>
      </c>
      <c r="J19" s="12" t="n">
        <v>0</v>
      </c>
      <c r="L19" s="0" t="s">
        <v>169</v>
      </c>
    </row>
    <row r="20" customFormat="false" ht="15" hidden="false" customHeight="false" outlineLevel="0" collapsed="false">
      <c r="A20" s="0" t="s">
        <v>2</v>
      </c>
      <c r="B20" s="0" t="s">
        <v>6</v>
      </c>
      <c r="C20" s="0" t="s">
        <v>152</v>
      </c>
      <c r="D20" s="0" t="s">
        <v>27</v>
      </c>
      <c r="E20" s="0" t="s">
        <v>159</v>
      </c>
      <c r="F20" s="0" t="s">
        <v>29</v>
      </c>
      <c r="G20" s="15" t="s">
        <v>30</v>
      </c>
      <c r="I20" s="0" t="s">
        <v>105</v>
      </c>
      <c r="J20" s="12" t="n">
        <v>0</v>
      </c>
      <c r="L20" s="0" t="s">
        <v>169</v>
      </c>
    </row>
    <row r="21" customFormat="false" ht="15" hidden="false" customHeight="false" outlineLevel="0" collapsed="false">
      <c r="A21" s="0" t="s">
        <v>3</v>
      </c>
      <c r="B21" s="0" t="s">
        <v>7</v>
      </c>
      <c r="C21" s="0" t="s">
        <v>153</v>
      </c>
      <c r="D21" s="0" t="s">
        <v>27</v>
      </c>
      <c r="E21" s="0" t="s">
        <v>159</v>
      </c>
      <c r="F21" s="0" t="s">
        <v>29</v>
      </c>
      <c r="G21" s="15" t="s">
        <v>30</v>
      </c>
      <c r="J21" s="5" t="n">
        <v>0.8</v>
      </c>
      <c r="L21" s="0" t="s">
        <v>170</v>
      </c>
    </row>
    <row r="22" customFormat="false" ht="15" hidden="false" customHeight="false" outlineLevel="0" collapsed="false">
      <c r="A22" s="0" t="s">
        <v>3</v>
      </c>
      <c r="B22" s="0" t="s">
        <v>7</v>
      </c>
      <c r="C22" s="0" t="s">
        <v>152</v>
      </c>
      <c r="D22" s="0" t="s">
        <v>27</v>
      </c>
      <c r="E22" s="0" t="s">
        <v>159</v>
      </c>
      <c r="F22" s="0" t="s">
        <v>29</v>
      </c>
      <c r="G22" s="15" t="s">
        <v>30</v>
      </c>
      <c r="J22" s="5" t="n">
        <v>0.8</v>
      </c>
      <c r="L22" s="0" t="s">
        <v>170</v>
      </c>
    </row>
    <row r="23" customFormat="false" ht="15" hidden="false" customHeight="false" outlineLevel="0" collapsed="false">
      <c r="A23" s="0" t="s">
        <v>1</v>
      </c>
      <c r="B23" s="0" t="s">
        <v>5</v>
      </c>
      <c r="C23" s="0" t="s">
        <v>152</v>
      </c>
      <c r="D23" s="0" t="s">
        <v>27</v>
      </c>
      <c r="E23" s="0" t="s">
        <v>159</v>
      </c>
      <c r="F23" s="0" t="s">
        <v>29</v>
      </c>
      <c r="G23" s="15" t="s">
        <v>30</v>
      </c>
      <c r="J23" s="5" t="n">
        <v>0.8</v>
      </c>
      <c r="L23" s="0" t="s">
        <v>171</v>
      </c>
    </row>
    <row r="24" customFormat="false" ht="15" hidden="false" customHeight="true" outlineLevel="0" collapsed="false">
      <c r="A24" s="0" t="s">
        <v>2</v>
      </c>
      <c r="B24" s="0" t="s">
        <v>7</v>
      </c>
      <c r="C24" s="0" t="s">
        <v>152</v>
      </c>
      <c r="D24" s="0" t="s">
        <v>27</v>
      </c>
      <c r="E24" s="0" t="s">
        <v>159</v>
      </c>
      <c r="F24" s="0" t="s">
        <v>29</v>
      </c>
      <c r="G24" s="15" t="s">
        <v>30</v>
      </c>
      <c r="J24" s="5" t="n">
        <v>0.8</v>
      </c>
      <c r="L24" s="0" t="s">
        <v>171</v>
      </c>
    </row>
    <row r="25" customFormat="false" ht="15" hidden="false" customHeight="true" outlineLevel="0" collapsed="false">
      <c r="A25" s="0" t="s">
        <v>2</v>
      </c>
      <c r="B25" s="0" t="s">
        <v>7</v>
      </c>
      <c r="C25" s="0" t="s">
        <v>153</v>
      </c>
      <c r="D25" s="0" t="s">
        <v>27</v>
      </c>
      <c r="E25" s="0" t="s">
        <v>159</v>
      </c>
      <c r="F25" s="0" t="s">
        <v>29</v>
      </c>
      <c r="G25" s="15" t="s">
        <v>30</v>
      </c>
      <c r="J25" s="5" t="n">
        <v>0.8</v>
      </c>
      <c r="L25" s="0" t="s">
        <v>171</v>
      </c>
    </row>
    <row r="26" customFormat="false" ht="15" hidden="false" customHeight="false" outlineLevel="0" collapsed="false">
      <c r="A26" s="0" t="s">
        <v>2</v>
      </c>
      <c r="B26" s="0" t="s">
        <v>5</v>
      </c>
      <c r="C26" s="0" t="s">
        <v>152</v>
      </c>
      <c r="D26" s="0" t="s">
        <v>27</v>
      </c>
      <c r="E26" s="0" t="s">
        <v>154</v>
      </c>
      <c r="F26" s="0" t="s">
        <v>29</v>
      </c>
      <c r="G26" s="0" t="s">
        <v>30</v>
      </c>
      <c r="I26" s="0" t="s">
        <v>105</v>
      </c>
      <c r="J26" s="0" t="n">
        <v>0</v>
      </c>
      <c r="L26" s="0" t="s">
        <v>172</v>
      </c>
    </row>
    <row r="27" customFormat="false" ht="15" hidden="false" customHeight="false" outlineLevel="0" collapsed="false">
      <c r="A27" s="0" t="s">
        <v>2</v>
      </c>
      <c r="B27" s="0" t="s">
        <v>5</v>
      </c>
      <c r="C27" s="0" t="s">
        <v>152</v>
      </c>
      <c r="D27" s="0" t="s">
        <v>27</v>
      </c>
      <c r="E27" s="0" t="s">
        <v>157</v>
      </c>
      <c r="F27" s="0" t="s">
        <v>160</v>
      </c>
      <c r="G27" s="0" t="s">
        <v>161</v>
      </c>
      <c r="I27" s="0" t="s">
        <v>105</v>
      </c>
      <c r="J27" s="0" t="n">
        <v>0</v>
      </c>
    </row>
    <row r="28" customFormat="false" ht="15" hidden="false" customHeight="false" outlineLevel="0" collapsed="false">
      <c r="A28" s="0" t="s">
        <v>2</v>
      </c>
      <c r="B28" s="0" t="s">
        <v>5</v>
      </c>
      <c r="C28" s="0" t="s">
        <v>152</v>
      </c>
      <c r="D28" s="0" t="s">
        <v>27</v>
      </c>
      <c r="E28" s="0" t="s">
        <v>159</v>
      </c>
      <c r="F28" s="0" t="s">
        <v>29</v>
      </c>
      <c r="G28" s="0" t="s">
        <v>30</v>
      </c>
      <c r="J28" s="0" t="n">
        <v>0.8</v>
      </c>
      <c r="L28" s="0" t="s">
        <v>171</v>
      </c>
    </row>
    <row r="29" customFormat="false" ht="15" hidden="false" customHeight="true" outlineLevel="0" collapsed="false">
      <c r="A29" s="0" t="s">
        <v>2</v>
      </c>
      <c r="B29" s="0" t="s">
        <v>110</v>
      </c>
      <c r="C29" s="0" t="s">
        <v>153</v>
      </c>
      <c r="D29" s="0" t="s">
        <v>27</v>
      </c>
      <c r="E29" s="0" t="s">
        <v>154</v>
      </c>
      <c r="F29" s="0" t="s">
        <v>29</v>
      </c>
      <c r="G29" s="15" t="s">
        <v>30</v>
      </c>
      <c r="I29" s="0" t="s">
        <v>31</v>
      </c>
      <c r="J29" s="5" t="n">
        <v>0.79</v>
      </c>
      <c r="L29" s="0" t="s">
        <v>173</v>
      </c>
    </row>
    <row r="30" customFormat="false" ht="15" hidden="false" customHeight="true" outlineLevel="0" collapsed="false">
      <c r="A30" s="0" t="s">
        <v>2</v>
      </c>
      <c r="B30" s="0" t="s">
        <v>110</v>
      </c>
      <c r="C30" s="0" t="s">
        <v>153</v>
      </c>
      <c r="D30" s="0" t="s">
        <v>27</v>
      </c>
      <c r="E30" s="0" t="s">
        <v>157</v>
      </c>
      <c r="F30" s="0" t="s">
        <v>160</v>
      </c>
      <c r="G30" s="15" t="s">
        <v>161</v>
      </c>
      <c r="I30" s="0" t="s">
        <v>174</v>
      </c>
      <c r="J30" s="16" t="n">
        <v>40</v>
      </c>
      <c r="L30" s="0" t="s">
        <v>175</v>
      </c>
    </row>
    <row r="31" customFormat="false" ht="15" hidden="false" customHeight="true" outlineLevel="0" collapsed="false">
      <c r="A31" s="0" t="s">
        <v>2</v>
      </c>
      <c r="B31" s="0" t="s">
        <v>110</v>
      </c>
      <c r="C31" s="0" t="s">
        <v>153</v>
      </c>
      <c r="D31" s="0" t="s">
        <v>27</v>
      </c>
      <c r="E31" s="0" t="s">
        <v>159</v>
      </c>
      <c r="F31" s="0" t="s">
        <v>29</v>
      </c>
      <c r="G31" s="15" t="s">
        <v>30</v>
      </c>
      <c r="I31" s="0" t="s">
        <v>31</v>
      </c>
      <c r="J31" s="5" t="n">
        <v>0.79</v>
      </c>
      <c r="L31" s="0" t="s">
        <v>176</v>
      </c>
    </row>
    <row r="32" customFormat="false" ht="15" hidden="false" customHeight="true" outlineLevel="0" collapsed="false">
      <c r="A32" s="0" t="s">
        <v>2</v>
      </c>
      <c r="B32" s="0" t="s">
        <v>110</v>
      </c>
      <c r="C32" s="0" t="s">
        <v>152</v>
      </c>
      <c r="D32" s="0" t="s">
        <v>27</v>
      </c>
      <c r="E32" s="0" t="s">
        <v>154</v>
      </c>
      <c r="F32" s="0" t="s">
        <v>29</v>
      </c>
      <c r="G32" s="15" t="s">
        <v>30</v>
      </c>
      <c r="I32" s="0" t="s">
        <v>31</v>
      </c>
      <c r="J32" s="5" t="n">
        <v>0.79</v>
      </c>
      <c r="L32" s="0" t="s">
        <v>177</v>
      </c>
    </row>
    <row r="33" customFormat="false" ht="15" hidden="false" customHeight="true" outlineLevel="0" collapsed="false">
      <c r="A33" s="0" t="s">
        <v>2</v>
      </c>
      <c r="B33" s="0" t="s">
        <v>110</v>
      </c>
      <c r="C33" s="0" t="s">
        <v>152</v>
      </c>
      <c r="D33" s="0" t="s">
        <v>27</v>
      </c>
      <c r="E33" s="0" t="s">
        <v>157</v>
      </c>
      <c r="F33" s="0" t="s">
        <v>160</v>
      </c>
      <c r="G33" s="15" t="s">
        <v>161</v>
      </c>
      <c r="I33" s="0" t="s">
        <v>178</v>
      </c>
      <c r="J33" s="16" t="n">
        <v>2.6</v>
      </c>
      <c r="L33" s="0" t="s">
        <v>179</v>
      </c>
    </row>
    <row r="34" customFormat="false" ht="15" hidden="false" customHeight="true" outlineLevel="0" collapsed="false">
      <c r="A34" s="0" t="s">
        <v>2</v>
      </c>
      <c r="B34" s="0" t="s">
        <v>110</v>
      </c>
      <c r="C34" s="0" t="s">
        <v>152</v>
      </c>
      <c r="D34" s="0" t="s">
        <v>27</v>
      </c>
      <c r="E34" s="0" t="s">
        <v>159</v>
      </c>
      <c r="F34" s="0" t="s">
        <v>29</v>
      </c>
      <c r="G34" s="15" t="s">
        <v>30</v>
      </c>
      <c r="I34" s="0" t="s">
        <v>31</v>
      </c>
      <c r="J34" s="5" t="n">
        <v>0.79</v>
      </c>
      <c r="L34" s="0" t="s">
        <v>180</v>
      </c>
    </row>
    <row r="35" customFormat="false" ht="15" hidden="false" customHeight="true" outlineLevel="0" collapsed="false">
      <c r="A35" s="0" t="s">
        <v>3</v>
      </c>
      <c r="B35" s="0" t="s">
        <v>110</v>
      </c>
      <c r="C35" s="0" t="s">
        <v>153</v>
      </c>
      <c r="D35" s="0" t="s">
        <v>27</v>
      </c>
      <c r="E35" s="0" t="s">
        <v>154</v>
      </c>
      <c r="F35" s="0" t="s">
        <v>29</v>
      </c>
      <c r="G35" s="15" t="s">
        <v>30</v>
      </c>
      <c r="I35" s="0" t="s">
        <v>181</v>
      </c>
      <c r="J35" s="5" t="n">
        <v>0.0335</v>
      </c>
      <c r="L35" s="0" t="s">
        <v>182</v>
      </c>
    </row>
    <row r="36" customFormat="false" ht="15" hidden="false" customHeight="true" outlineLevel="0" collapsed="false">
      <c r="A36" s="0" t="s">
        <v>3</v>
      </c>
      <c r="B36" s="0" t="s">
        <v>110</v>
      </c>
      <c r="C36" s="0" t="s">
        <v>153</v>
      </c>
      <c r="D36" s="0" t="s">
        <v>27</v>
      </c>
      <c r="E36" s="0" t="s">
        <v>157</v>
      </c>
      <c r="F36" s="0" t="s">
        <v>160</v>
      </c>
      <c r="G36" s="15" t="s">
        <v>161</v>
      </c>
      <c r="I36" s="0" t="s">
        <v>145</v>
      </c>
      <c r="J36" s="16" t="n">
        <v>0</v>
      </c>
      <c r="L36" s="0" t="s">
        <v>146</v>
      </c>
    </row>
    <row r="37" customFormat="false" ht="15" hidden="false" customHeight="true" outlineLevel="0" collapsed="false">
      <c r="A37" s="0" t="s">
        <v>3</v>
      </c>
      <c r="B37" s="0" t="s">
        <v>110</v>
      </c>
      <c r="C37" s="0" t="s">
        <v>153</v>
      </c>
      <c r="D37" s="0" t="s">
        <v>27</v>
      </c>
      <c r="E37" s="0" t="s">
        <v>159</v>
      </c>
      <c r="F37" s="0" t="s">
        <v>29</v>
      </c>
      <c r="G37" s="15" t="s">
        <v>30</v>
      </c>
      <c r="I37" s="0" t="s">
        <v>183</v>
      </c>
      <c r="J37" s="5" t="n">
        <v>0.22</v>
      </c>
      <c r="L37" s="0" t="s">
        <v>184</v>
      </c>
    </row>
    <row r="38" customFormat="false" ht="15" hidden="false" customHeight="true" outlineLevel="0" collapsed="false">
      <c r="A38" s="0" t="s">
        <v>3</v>
      </c>
      <c r="B38" s="0" t="s">
        <v>5</v>
      </c>
      <c r="C38" s="0" t="s">
        <v>153</v>
      </c>
      <c r="D38" s="0" t="s">
        <v>27</v>
      </c>
      <c r="E38" s="0" t="s">
        <v>154</v>
      </c>
      <c r="F38" s="0" t="s">
        <v>29</v>
      </c>
      <c r="G38" s="15" t="s">
        <v>30</v>
      </c>
      <c r="I38" s="0" t="s">
        <v>145</v>
      </c>
      <c r="J38" s="5" t="n">
        <v>0</v>
      </c>
      <c r="L38" s="0" t="s">
        <v>148</v>
      </c>
    </row>
    <row r="39" customFormat="false" ht="15" hidden="false" customHeight="true" outlineLevel="0" collapsed="false">
      <c r="A39" s="0" t="s">
        <v>3</v>
      </c>
      <c r="B39" s="0" t="s">
        <v>5</v>
      </c>
      <c r="C39" s="0" t="s">
        <v>153</v>
      </c>
      <c r="D39" s="0" t="s">
        <v>27</v>
      </c>
      <c r="E39" s="0" t="s">
        <v>157</v>
      </c>
      <c r="F39" s="0" t="s">
        <v>160</v>
      </c>
      <c r="G39" s="15" t="s">
        <v>161</v>
      </c>
      <c r="I39" s="0" t="s">
        <v>145</v>
      </c>
      <c r="J39" s="16" t="n">
        <v>0</v>
      </c>
      <c r="L39" s="0" t="s">
        <v>148</v>
      </c>
    </row>
    <row r="40" customFormat="false" ht="15" hidden="false" customHeight="true" outlineLevel="0" collapsed="false">
      <c r="A40" s="0" t="s">
        <v>3</v>
      </c>
      <c r="B40" s="0" t="s">
        <v>5</v>
      </c>
      <c r="C40" s="0" t="s">
        <v>153</v>
      </c>
      <c r="D40" s="0" t="s">
        <v>27</v>
      </c>
      <c r="E40" s="0" t="s">
        <v>159</v>
      </c>
      <c r="F40" s="0" t="s">
        <v>29</v>
      </c>
      <c r="G40" s="15" t="s">
        <v>30</v>
      </c>
      <c r="I40" s="0" t="s">
        <v>145</v>
      </c>
      <c r="J40" s="5" t="n">
        <v>0.8</v>
      </c>
      <c r="L40" s="0" t="s">
        <v>148</v>
      </c>
    </row>
    <row r="41" customFormat="false" ht="15" hidden="false" customHeight="true" outlineLevel="0" collapsed="false">
      <c r="A41" s="0" t="s">
        <v>1</v>
      </c>
      <c r="B41" s="0" t="s">
        <v>110</v>
      </c>
      <c r="C41" s="0" t="s">
        <v>152</v>
      </c>
      <c r="D41" s="0" t="s">
        <v>27</v>
      </c>
      <c r="E41" s="0" t="s">
        <v>154</v>
      </c>
      <c r="F41" s="0" t="s">
        <v>29</v>
      </c>
      <c r="G41" s="15" t="s">
        <v>30</v>
      </c>
      <c r="I41" s="0" t="s">
        <v>149</v>
      </c>
      <c r="J41" s="5" t="n">
        <v>0</v>
      </c>
      <c r="L41" s="0" t="s">
        <v>185</v>
      </c>
    </row>
    <row r="42" customFormat="false" ht="15" hidden="false" customHeight="true" outlineLevel="0" collapsed="false">
      <c r="A42" s="0" t="s">
        <v>1</v>
      </c>
      <c r="B42" s="0" t="s">
        <v>110</v>
      </c>
      <c r="C42" s="0" t="s">
        <v>152</v>
      </c>
      <c r="D42" s="0" t="s">
        <v>27</v>
      </c>
      <c r="E42" s="0" t="s">
        <v>157</v>
      </c>
      <c r="F42" s="0" t="s">
        <v>160</v>
      </c>
      <c r="G42" s="15" t="s">
        <v>161</v>
      </c>
      <c r="I42" s="0" t="s">
        <v>149</v>
      </c>
      <c r="J42" s="16" t="n">
        <v>0</v>
      </c>
      <c r="L42" s="0" t="s">
        <v>185</v>
      </c>
    </row>
    <row r="43" customFormat="false" ht="15" hidden="false" customHeight="true" outlineLevel="0" collapsed="false">
      <c r="A43" s="0" t="s">
        <v>1</v>
      </c>
      <c r="B43" s="0" t="s">
        <v>110</v>
      </c>
      <c r="C43" s="0" t="s">
        <v>152</v>
      </c>
      <c r="D43" s="0" t="s">
        <v>27</v>
      </c>
      <c r="E43" s="0" t="s">
        <v>159</v>
      </c>
      <c r="F43" s="0" t="s">
        <v>29</v>
      </c>
      <c r="G43" s="15" t="s">
        <v>30</v>
      </c>
      <c r="I43" s="0" t="s">
        <v>149</v>
      </c>
      <c r="J43" s="5" t="n">
        <v>0.8</v>
      </c>
      <c r="L43" s="0" t="s">
        <v>185</v>
      </c>
    </row>
    <row r="44" customFormat="false" ht="15" hidden="false" customHeight="true" outlineLevel="0" collapsed="false">
      <c r="A44" s="0" t="s">
        <v>3</v>
      </c>
      <c r="B44" s="0" t="s">
        <v>110</v>
      </c>
      <c r="C44" s="0" t="s">
        <v>152</v>
      </c>
      <c r="D44" s="0" t="s">
        <v>27</v>
      </c>
      <c r="E44" s="0" t="s">
        <v>154</v>
      </c>
      <c r="F44" s="0" t="s">
        <v>29</v>
      </c>
      <c r="G44" s="15" t="s">
        <v>30</v>
      </c>
      <c r="I44" s="0" t="s">
        <v>181</v>
      </c>
      <c r="J44" s="5" t="n">
        <v>0.0335</v>
      </c>
      <c r="L44" s="0" t="s">
        <v>186</v>
      </c>
    </row>
    <row r="45" customFormat="false" ht="15" hidden="false" customHeight="true" outlineLevel="0" collapsed="false">
      <c r="A45" s="0" t="s">
        <v>3</v>
      </c>
      <c r="B45" s="0" t="s">
        <v>110</v>
      </c>
      <c r="C45" s="0" t="s">
        <v>152</v>
      </c>
      <c r="D45" s="0" t="s">
        <v>27</v>
      </c>
      <c r="E45" s="0" t="s">
        <v>157</v>
      </c>
      <c r="F45" s="0" t="s">
        <v>160</v>
      </c>
      <c r="G45" s="15" t="s">
        <v>161</v>
      </c>
      <c r="I45" s="0" t="s">
        <v>149</v>
      </c>
      <c r="J45" s="16" t="n">
        <v>0</v>
      </c>
      <c r="L45" s="0" t="s">
        <v>187</v>
      </c>
    </row>
    <row r="46" customFormat="false" ht="15" hidden="false" customHeight="true" outlineLevel="0" collapsed="false">
      <c r="A46" s="0" t="s">
        <v>3</v>
      </c>
      <c r="B46" s="0" t="s">
        <v>110</v>
      </c>
      <c r="C46" s="0" t="s">
        <v>152</v>
      </c>
      <c r="D46" s="0" t="s">
        <v>27</v>
      </c>
      <c r="E46" s="0" t="s">
        <v>159</v>
      </c>
      <c r="F46" s="0" t="s">
        <v>29</v>
      </c>
      <c r="G46" s="15" t="s">
        <v>30</v>
      </c>
      <c r="I46" s="0" t="s">
        <v>183</v>
      </c>
      <c r="J46" s="5" t="n">
        <v>0.22</v>
      </c>
      <c r="L46" s="0" t="s">
        <v>188</v>
      </c>
    </row>
  </sheetData>
  <dataValidations count="5">
    <dataValidation allowBlank="true" errorStyle="stop" operator="between" showDropDown="false" showErrorMessage="true" showInputMessage="true" sqref="A1:B1" type="none">
      <formula1>0</formula1>
      <formula2>0</formula2>
    </dataValidation>
    <dataValidation allowBlank="true" errorStyle="stop" operator="between" showDropDown="false" showErrorMessage="true" showInputMessage="true" sqref="B2:B1046" type="list">
      <formula1>"Bouillon,Salt,Rice"</formula1>
      <formula2>0</formula2>
    </dataValidation>
    <dataValidation allowBlank="true" errorStyle="stop" operator="between" showDropDown="false" showErrorMessage="true" showInputMessage="true" sqref="C2:C1046" type="list">
      <formula1>"Iron,Folate"</formula1>
      <formula2>0</formula2>
    </dataValidation>
    <dataValidation allowBlank="true" errorStyle="stop" operator="between" showDropDown="false" showErrorMessage="true" showInputMessage="true" sqref="A2:A1046" type="list">
      <formula1>"Nigeria,Ethiopia,India"</formula1>
      <formula2>0</formula2>
    </dataValidation>
    <dataValidation allowBlank="true" errorStyle="stop" operator="between" showDropDown="false" showErrorMessage="true" showInputMessage="true" sqref="D1:D1046" type="list">
      <formula1>"All (assumed same),Total,Lowest,Second,Middle,Fourth,Highest"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.5"/>
    <col collapsed="false" customWidth="true" hidden="false" outlineLevel="0" max="2" min="2" style="0" width="12.5"/>
    <col collapsed="false" customWidth="true" hidden="false" outlineLevel="0" max="3" min="3" style="0" width="12.33"/>
    <col collapsed="false" customWidth="true" hidden="false" outlineLevel="0" max="4" min="4" style="0" width="9.67"/>
    <col collapsed="false" customWidth="true" hidden="false" outlineLevel="0" max="8" min="8" style="0" width="29"/>
  </cols>
  <sheetData>
    <row r="1" customFormat="false" ht="15" hidden="false" customHeight="true" outlineLevel="0" collapsed="false">
      <c r="A1" s="1" t="s">
        <v>0</v>
      </c>
      <c r="B1" s="2" t="s">
        <v>1</v>
      </c>
      <c r="C1" s="2"/>
      <c r="D1" s="2" t="s">
        <v>2</v>
      </c>
      <c r="E1" s="2"/>
      <c r="F1" s="13" t="s">
        <v>3</v>
      </c>
      <c r="G1" s="13"/>
      <c r="H1" s="4" t="s">
        <v>26</v>
      </c>
    </row>
    <row r="2" customFormat="false" ht="15" hidden="false" customHeight="false" outlineLevel="0" collapsed="false">
      <c r="A2" s="1" t="s">
        <v>8</v>
      </c>
      <c r="B2" s="3" t="s">
        <v>9</v>
      </c>
      <c r="C2" s="4" t="s">
        <v>10</v>
      </c>
      <c r="D2" s="3" t="s">
        <v>9</v>
      </c>
      <c r="E2" s="4" t="s">
        <v>10</v>
      </c>
      <c r="F2" s="3" t="s">
        <v>9</v>
      </c>
      <c r="G2" s="4" t="s">
        <v>10</v>
      </c>
    </row>
    <row r="3" customFormat="false" ht="15" hidden="false" customHeight="false" outlineLevel="0" collapsed="false">
      <c r="A3" s="4" t="s">
        <v>11</v>
      </c>
      <c r="B3" s="4"/>
      <c r="D3" s="4"/>
      <c r="E3" s="4"/>
    </row>
    <row r="4" customFormat="false" ht="15" hidden="false" customHeight="false" outlineLevel="0" collapsed="false">
      <c r="A4" s="20" t="s">
        <v>189</v>
      </c>
      <c r="B4" s="0" t="s">
        <v>156</v>
      </c>
      <c r="C4" s="0" t="s">
        <v>156</v>
      </c>
      <c r="D4" s="0" t="s">
        <v>190</v>
      </c>
      <c r="E4" s="0" t="s">
        <v>191</v>
      </c>
      <c r="F4" s="0" t="s">
        <v>190</v>
      </c>
      <c r="G4" s="0" t="s">
        <v>192</v>
      </c>
    </row>
    <row r="5" customFormat="false" ht="15" hidden="false" customHeight="false" outlineLevel="0" collapsed="false">
      <c r="A5" s="0" t="s">
        <v>193</v>
      </c>
      <c r="B5" s="0" t="str">
        <f aca="false">IF(COUNTIFS('Country Extraction'!$A$2:$A$980, B$1,  'Country Extraction'!$B$2:$B$980, "All",  'Country Extraction'!$C$2:$C$980, $A5) = 0, "Missing", "Complete")</f>
        <v>Missing</v>
      </c>
      <c r="C5" s="0" t="str">
        <f aca="false">IF(COUNTIFS('Country Extraction'!$A$1:$A$995, D$1, 'Country Extraction'!$B$1:$B$995, "&lt;&gt;All", 'Country Extraction'!$C$1:$C$995, $A5, 'Country Extraction'!$H$1:$H$995, "&lt;&gt;") &lt; 5, "Missing", "Complete")</f>
        <v>Missing</v>
      </c>
      <c r="D5" s="0" t="str">
        <f aca="false">IF(COUNTIFS('Country Extraction'!$A$2:$A$980, D$1,  'Country Extraction'!$B$2:$B$980, "All",  'Country Extraction'!$C$2:$C$980, $A5) = 0, "Missing", "Complete")</f>
        <v>Missing</v>
      </c>
      <c r="E5" s="0" t="str">
        <f aca="false">IF(COUNTIFS('Country Extraction'!$A$1:$A$995, F$1, 'Country Extraction'!$B$1:$B$995, "&lt;&gt;All", 'Country Extraction'!$C$1:$C$995, $A5, 'Country Extraction'!$H$1:$H$995, "&lt;&gt;") &lt; 5, "Missing", "Complete")</f>
        <v>Missing</v>
      </c>
      <c r="F5" s="0" t="str">
        <f aca="false">IF(COUNTIFS('Country Extraction'!$A$2:$A$980, F$1,  'Country Extraction'!$B$2:$B$980, "All",  'Country Extraction'!$C$2:$C$980, $A5) = 0, "Missing", "Complete")</f>
        <v>Missing</v>
      </c>
      <c r="G5" s="0" t="str">
        <f aca="false"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customFormat="false" ht="15" hidden="false" customHeight="false" outlineLevel="0" collapsed="false">
      <c r="A6" s="0" t="s">
        <v>194</v>
      </c>
      <c r="B6" s="0" t="str">
        <f aca="false">IF(COUNTIFS('Country Extraction'!$A$2:$A$980, B$1,  'Country Extraction'!$B$2:$B$980, "All",  'Country Extraction'!$C$2:$C$980, $A6) = 0, "Missing", "Complete")</f>
        <v>Missing</v>
      </c>
      <c r="C6" s="0" t="str">
        <f aca="false">IF(COUNTIFS('Country Extraction'!$A$1:$A$995, D$1, 'Country Extraction'!$B$1:$B$995, "&lt;&gt;All", 'Country Extraction'!$C$1:$C$995, $A6, 'Country Extraction'!$H$1:$H$995, "&lt;&gt;") &lt; 5, "Missing", "Complete")</f>
        <v>Missing</v>
      </c>
      <c r="D6" s="0" t="str">
        <f aca="false">IF(COUNTIFS('Country Extraction'!$A$2:$A$980, D$1,  'Country Extraction'!$B$2:$B$980, "All",  'Country Extraction'!$C$2:$C$980, $A6) = 0, "Missing", "Complete")</f>
        <v>Missing</v>
      </c>
      <c r="E6" s="0" t="str">
        <f aca="false">IF(COUNTIFS('Country Extraction'!$A$1:$A$995, F$1, 'Country Extraction'!$B$1:$B$995, "&lt;&gt;All", 'Country Extraction'!$C$1:$C$995, $A6, 'Country Extraction'!$H$1:$H$995, "&lt;&gt;") &lt; 5, "Missing", "Complete")</f>
        <v>Missing</v>
      </c>
      <c r="F6" s="0" t="str">
        <f aca="false">IF(COUNTIFS('Country Extraction'!$A$2:$A$980, F$1,  'Country Extraction'!$B$2:$B$980, "All",  'Country Extraction'!$C$2:$C$980, $A6) = 0, "Missing", "Complete")</f>
        <v>Missing</v>
      </c>
      <c r="G6" s="0" t="str">
        <f aca="false"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customFormat="false" ht="15" hidden="false" customHeight="false" outlineLevel="0" collapsed="false">
      <c r="A7" s="0" t="s">
        <v>195</v>
      </c>
      <c r="B7" s="0" t="s">
        <v>156</v>
      </c>
      <c r="C7" s="0" t="s">
        <v>156</v>
      </c>
      <c r="D7" s="0" t="s">
        <v>190</v>
      </c>
      <c r="E7" s="0" t="s">
        <v>191</v>
      </c>
      <c r="F7" s="0" t="s">
        <v>190</v>
      </c>
      <c r="G7" s="0" t="s">
        <v>192</v>
      </c>
    </row>
    <row r="8" customFormat="false" ht="15" hidden="false" customHeight="false" outlineLevel="0" collapsed="false">
      <c r="A8" s="0" t="s">
        <v>196</v>
      </c>
      <c r="B8" s="0" t="s">
        <v>156</v>
      </c>
      <c r="C8" s="0" t="s">
        <v>156</v>
      </c>
      <c r="D8" s="0" t="s">
        <v>190</v>
      </c>
      <c r="E8" s="0" t="s">
        <v>191</v>
      </c>
      <c r="F8" s="0" t="s">
        <v>190</v>
      </c>
      <c r="G8" s="0" t="s">
        <v>192</v>
      </c>
    </row>
    <row r="9" customFormat="false" ht="15" hidden="false" customHeight="false" outlineLevel="0" collapsed="false">
      <c r="A9" s="0" t="s">
        <v>197</v>
      </c>
      <c r="B9" s="0" t="s">
        <v>156</v>
      </c>
      <c r="C9" s="0" t="s">
        <v>156</v>
      </c>
      <c r="D9" s="0" t="s">
        <v>190</v>
      </c>
      <c r="E9" s="0" t="s">
        <v>191</v>
      </c>
      <c r="F9" s="0" t="s">
        <v>190</v>
      </c>
      <c r="G9" s="0" t="s">
        <v>192</v>
      </c>
      <c r="H9" s="0" t="s">
        <v>198</v>
      </c>
    </row>
    <row r="10" customFormat="false" ht="15" hidden="false" customHeight="false" outlineLevel="0" collapsed="false">
      <c r="A10" s="0" t="s">
        <v>199</v>
      </c>
      <c r="B10" s="0" t="s">
        <v>156</v>
      </c>
      <c r="C10" s="0" t="s">
        <v>156</v>
      </c>
      <c r="D10" s="0" t="s">
        <v>190</v>
      </c>
      <c r="E10" s="0" t="str">
        <f aca="false">IF(COUNTIFS('Country Extraction'!$A$1:$A$995, F$1, 'Country Extraction'!$B$1:$B$995, "&lt;&gt;All", 'Country Extraction'!$C$1:$C$995, $A10, 'Country Extraction'!$H$1:$H$995, "&lt;&gt;") &lt; 5, "Missing", "Complete")</f>
        <v>Missing</v>
      </c>
      <c r="F10" s="0" t="s">
        <v>190</v>
      </c>
      <c r="G10" s="0" t="str">
        <f aca="false">IF(COUNTIFS('Country Extraction'!$A$1:$A$995, H$1, 'Country Extraction'!$B$1:$B$995, "&lt;&gt;All", 'Country Extraction'!$C$1:$C$995, $A10, 'Country Extraction'!$H$1:$H$995, "&lt;&gt;") &lt; 5, "Missing", "Complete")</f>
        <v>Missing</v>
      </c>
      <c r="H10" s="20" t="s">
        <v>200</v>
      </c>
    </row>
    <row r="11" customFormat="false" ht="15" hidden="false" customHeight="false" outlineLevel="0" collapsed="false">
      <c r="A11" s="0" t="s">
        <v>201</v>
      </c>
      <c r="B11" s="0" t="s">
        <v>156</v>
      </c>
      <c r="C11" s="0" t="s">
        <v>156</v>
      </c>
      <c r="D11" s="0" t="s">
        <v>190</v>
      </c>
      <c r="E11" s="0" t="str">
        <f aca="false">IF(COUNTIFS('Country Extraction'!$A$1:$A$995, F$1, 'Country Extraction'!$B$1:$B$995, "&lt;&gt;All", 'Country Extraction'!$C$1:$C$995, $A11, 'Country Extraction'!$H$1:$H$995, "&lt;&gt;") &lt; 5, "Missing", "Complete")</f>
        <v>Missing</v>
      </c>
      <c r="F11" s="0" t="s">
        <v>190</v>
      </c>
      <c r="G11" s="0" t="s">
        <v>192</v>
      </c>
      <c r="H11" s="0" t="s">
        <v>202</v>
      </c>
    </row>
    <row r="12" customFormat="false" ht="15" hidden="false" customHeight="false" outlineLevel="0" collapsed="false">
      <c r="A12" s="0" t="s">
        <v>203</v>
      </c>
      <c r="B12" s="0" t="s">
        <v>156</v>
      </c>
      <c r="C12" s="0" t="s">
        <v>156</v>
      </c>
      <c r="D12" s="0" t="s">
        <v>190</v>
      </c>
      <c r="E12" s="0" t="s">
        <v>191</v>
      </c>
      <c r="F12" s="0" t="s">
        <v>190</v>
      </c>
      <c r="G12" s="0" t="s">
        <v>192</v>
      </c>
    </row>
    <row r="13" customFormat="false" ht="15" hidden="false" customHeight="false" outlineLevel="0" collapsed="false">
      <c r="A13" s="0" t="s">
        <v>204</v>
      </c>
      <c r="B13" s="0" t="s">
        <v>156</v>
      </c>
      <c r="C13" s="0" t="s">
        <v>156</v>
      </c>
      <c r="D13" s="0" t="s">
        <v>190</v>
      </c>
      <c r="E13" s="0" t="s">
        <v>191</v>
      </c>
      <c r="F13" s="0" t="s">
        <v>190</v>
      </c>
      <c r="G13" s="0" t="s">
        <v>192</v>
      </c>
      <c r="H13" s="0" t="s">
        <v>205</v>
      </c>
    </row>
    <row r="14" customFormat="false" ht="15" hidden="false" customHeight="false" outlineLevel="0" collapsed="false">
      <c r="A14" s="0" t="s">
        <v>206</v>
      </c>
      <c r="B14" s="0" t="s">
        <v>156</v>
      </c>
      <c r="C14" s="0" t="s">
        <v>156</v>
      </c>
      <c r="D14" s="0" t="s">
        <v>190</v>
      </c>
      <c r="E14" s="0" t="s">
        <v>191</v>
      </c>
      <c r="F14" s="0" t="s">
        <v>190</v>
      </c>
      <c r="G14" s="0" t="s">
        <v>192</v>
      </c>
      <c r="H14" s="0" t="s">
        <v>207</v>
      </c>
    </row>
    <row r="15" customFormat="false" ht="15" hidden="false" customHeight="false" outlineLevel="0" collapsed="false">
      <c r="A15" s="0" t="s">
        <v>208</v>
      </c>
      <c r="B15" s="0" t="s">
        <v>190</v>
      </c>
      <c r="C15" s="0" t="str">
        <f aca="false">IF(COUNTIFS('Country Extraction'!$A$1:$A$995, D$1, 'Country Extraction'!$B$1:$B$995, "&lt;&gt;All", 'Country Extraction'!$C$1:$C$995, $A15, 'Country Extraction'!$H$1:$H$995, "&lt;&gt;") &lt; 5, "Missing", "Complete")</f>
        <v>Missing</v>
      </c>
      <c r="D15" s="0" t="s">
        <v>190</v>
      </c>
      <c r="E15" s="0" t="str">
        <f aca="false">IF(COUNTIFS('Country Extraction'!$A$1:$A$995, F$1, 'Country Extraction'!$B$1:$B$995, "&lt;&gt;All", 'Country Extraction'!$C$1:$C$995, $A15, 'Country Extraction'!$H$1:$H$995, "&lt;&gt;") &lt; 5, "Missing", "Complete")</f>
        <v>Missing</v>
      </c>
      <c r="F15" s="0" t="s">
        <v>190</v>
      </c>
      <c r="G15" s="0" t="str">
        <f aca="false"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priority="2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5" activePane="bottomLeft" state="frozen"/>
      <selection pane="topLeft" activeCell="A1" activeCellId="0" sqref="A1"/>
      <selection pane="bottomLeft" activeCell="E45" activeCellId="0" sqref="E4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3" style="0" width="40.5"/>
    <col collapsed="false" customWidth="true" hidden="false" outlineLevel="0" max="4" min="4" style="0" width="19"/>
    <col collapsed="false" customWidth="true" hidden="false" outlineLevel="0" max="7" min="7" style="0" width="34.17"/>
    <col collapsed="false" customWidth="true" hidden="false" outlineLevel="0" max="10" min="10" style="0" width="50.5"/>
  </cols>
  <sheetData>
    <row r="1" customFormat="false" ht="15" hidden="false" customHeight="false" outlineLevel="0" collapsed="false">
      <c r="A1" s="4" t="s">
        <v>0</v>
      </c>
      <c r="B1" s="4" t="s">
        <v>10</v>
      </c>
      <c r="C1" s="4" t="s">
        <v>11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26</v>
      </c>
    </row>
    <row r="2" customFormat="false" ht="15.75" hidden="false" customHeight="true" outlineLevel="0" collapsed="false">
      <c r="A2" s="0" t="s">
        <v>1</v>
      </c>
      <c r="B2" s="0" t="s">
        <v>209</v>
      </c>
      <c r="C2" s="17" t="s">
        <v>210</v>
      </c>
      <c r="E2" s="0" t="s">
        <v>211</v>
      </c>
      <c r="G2" s="0" t="s">
        <v>211</v>
      </c>
      <c r="J2" s="21" t="s">
        <v>212</v>
      </c>
    </row>
    <row r="3" customFormat="false" ht="32.25" hidden="false" customHeight="true" outlineLevel="0" collapsed="false">
      <c r="A3" s="0" t="s">
        <v>1</v>
      </c>
      <c r="B3" s="0" t="s">
        <v>37</v>
      </c>
      <c r="C3" s="17" t="s">
        <v>210</v>
      </c>
      <c r="E3" s="0" t="s">
        <v>211</v>
      </c>
      <c r="G3" s="0" t="s">
        <v>211</v>
      </c>
      <c r="J3" s="22" t="s">
        <v>213</v>
      </c>
    </row>
    <row r="4" customFormat="false" ht="15" hidden="false" customHeight="false" outlineLevel="0" collapsed="false">
      <c r="A4" s="0" t="s">
        <v>1</v>
      </c>
      <c r="B4" s="0" t="s">
        <v>39</v>
      </c>
      <c r="C4" s="17" t="s">
        <v>210</v>
      </c>
      <c r="E4" s="0" t="s">
        <v>211</v>
      </c>
      <c r="G4" s="0" t="s">
        <v>211</v>
      </c>
    </row>
    <row r="5" customFormat="false" ht="15" hidden="false" customHeight="false" outlineLevel="0" collapsed="false">
      <c r="A5" s="0" t="s">
        <v>1</v>
      </c>
      <c r="B5" s="0" t="s">
        <v>41</v>
      </c>
      <c r="C5" s="17" t="s">
        <v>210</v>
      </c>
      <c r="E5" s="0" t="s">
        <v>211</v>
      </c>
      <c r="G5" s="0" t="s">
        <v>211</v>
      </c>
    </row>
    <row r="6" customFormat="false" ht="15" hidden="false" customHeight="false" outlineLevel="0" collapsed="false">
      <c r="A6" s="0" t="s">
        <v>1</v>
      </c>
      <c r="B6" s="0" t="s">
        <v>43</v>
      </c>
      <c r="C6" s="17" t="s">
        <v>210</v>
      </c>
      <c r="E6" s="0" t="s">
        <v>211</v>
      </c>
      <c r="G6" s="0" t="s">
        <v>211</v>
      </c>
    </row>
    <row r="7" customFormat="false" ht="15" hidden="false" customHeight="false" outlineLevel="0" collapsed="false">
      <c r="A7" s="0" t="s">
        <v>1</v>
      </c>
      <c r="B7" s="0" t="s">
        <v>45</v>
      </c>
      <c r="C7" s="17" t="s">
        <v>210</v>
      </c>
      <c r="E7" s="0" t="s">
        <v>211</v>
      </c>
      <c r="G7" s="0" t="s">
        <v>211</v>
      </c>
    </row>
    <row r="8" customFormat="false" ht="15" hidden="false" customHeight="false" outlineLevel="0" collapsed="false">
      <c r="A8" s="0" t="s">
        <v>214</v>
      </c>
      <c r="B8" s="0" t="s">
        <v>209</v>
      </c>
      <c r="C8" s="17" t="s">
        <v>210</v>
      </c>
      <c r="E8" s="0" t="s">
        <v>211</v>
      </c>
      <c r="G8" s="0" t="s">
        <v>211</v>
      </c>
    </row>
    <row r="9" customFormat="false" ht="15" hidden="false" customHeight="false" outlineLevel="0" collapsed="false">
      <c r="A9" s="0" t="s">
        <v>214</v>
      </c>
      <c r="B9" s="0" t="s">
        <v>37</v>
      </c>
      <c r="C9" s="17" t="s">
        <v>210</v>
      </c>
      <c r="E9" s="0" t="s">
        <v>211</v>
      </c>
      <c r="G9" s="0" t="s">
        <v>211</v>
      </c>
    </row>
    <row r="10" customFormat="false" ht="15" hidden="false" customHeight="false" outlineLevel="0" collapsed="false">
      <c r="A10" s="0" t="s">
        <v>214</v>
      </c>
      <c r="B10" s="0" t="s">
        <v>39</v>
      </c>
      <c r="C10" s="17" t="s">
        <v>210</v>
      </c>
      <c r="E10" s="0" t="s">
        <v>211</v>
      </c>
      <c r="G10" s="0" t="s">
        <v>211</v>
      </c>
    </row>
    <row r="11" customFormat="false" ht="15" hidden="false" customHeight="false" outlineLevel="0" collapsed="false">
      <c r="A11" s="0" t="s">
        <v>214</v>
      </c>
      <c r="B11" s="0" t="s">
        <v>41</v>
      </c>
      <c r="C11" s="17" t="s">
        <v>210</v>
      </c>
      <c r="E11" s="0" t="s">
        <v>211</v>
      </c>
      <c r="G11" s="0" t="s">
        <v>211</v>
      </c>
    </row>
    <row r="12" customFormat="false" ht="15" hidden="false" customHeight="false" outlineLevel="0" collapsed="false">
      <c r="A12" s="0" t="s">
        <v>214</v>
      </c>
      <c r="B12" s="0" t="s">
        <v>43</v>
      </c>
      <c r="C12" s="17" t="s">
        <v>210</v>
      </c>
      <c r="E12" s="0" t="s">
        <v>211</v>
      </c>
      <c r="G12" s="0" t="s">
        <v>211</v>
      </c>
    </row>
    <row r="13" customFormat="false" ht="15" hidden="false" customHeight="false" outlineLevel="0" collapsed="false">
      <c r="A13" s="0" t="s">
        <v>214</v>
      </c>
      <c r="B13" s="0" t="s">
        <v>45</v>
      </c>
      <c r="C13" s="17" t="s">
        <v>210</v>
      </c>
      <c r="E13" s="0" t="s">
        <v>211</v>
      </c>
      <c r="G13" s="0" t="s">
        <v>211</v>
      </c>
    </row>
    <row r="14" customFormat="false" ht="15" hidden="false" customHeight="false" outlineLevel="0" collapsed="false">
      <c r="A14" s="0" t="s">
        <v>3</v>
      </c>
      <c r="B14" s="0" t="s">
        <v>209</v>
      </c>
      <c r="C14" s="17" t="s">
        <v>210</v>
      </c>
      <c r="E14" s="0" t="s">
        <v>211</v>
      </c>
      <c r="G14" s="0" t="s">
        <v>211</v>
      </c>
    </row>
    <row r="15" customFormat="false" ht="15" hidden="false" customHeight="false" outlineLevel="0" collapsed="false">
      <c r="A15" s="0" t="s">
        <v>3</v>
      </c>
      <c r="B15" s="0" t="s">
        <v>37</v>
      </c>
      <c r="C15" s="17" t="s">
        <v>210</v>
      </c>
      <c r="E15" s="0" t="s">
        <v>211</v>
      </c>
      <c r="G15" s="0" t="s">
        <v>211</v>
      </c>
    </row>
    <row r="16" customFormat="false" ht="15" hidden="false" customHeight="false" outlineLevel="0" collapsed="false">
      <c r="A16" s="0" t="s">
        <v>3</v>
      </c>
      <c r="B16" s="0" t="s">
        <v>39</v>
      </c>
      <c r="C16" s="17" t="s">
        <v>210</v>
      </c>
      <c r="E16" s="0" t="s">
        <v>211</v>
      </c>
      <c r="G16" s="0" t="s">
        <v>211</v>
      </c>
    </row>
    <row r="17" customFormat="false" ht="15" hidden="false" customHeight="false" outlineLevel="0" collapsed="false">
      <c r="A17" s="0" t="s">
        <v>3</v>
      </c>
      <c r="B17" s="0" t="s">
        <v>41</v>
      </c>
      <c r="C17" s="17" t="s">
        <v>210</v>
      </c>
      <c r="E17" s="0" t="s">
        <v>211</v>
      </c>
      <c r="G17" s="0" t="s">
        <v>211</v>
      </c>
    </row>
    <row r="18" customFormat="false" ht="15" hidden="false" customHeight="false" outlineLevel="0" collapsed="false">
      <c r="A18" s="0" t="s">
        <v>3</v>
      </c>
      <c r="B18" s="0" t="s">
        <v>43</v>
      </c>
      <c r="C18" s="17" t="s">
        <v>210</v>
      </c>
      <c r="E18" s="0" t="s">
        <v>211</v>
      </c>
      <c r="G18" s="0" t="s">
        <v>211</v>
      </c>
    </row>
    <row r="19" customFormat="false" ht="15" hidden="false" customHeight="false" outlineLevel="0" collapsed="false">
      <c r="A19" s="0" t="s">
        <v>3</v>
      </c>
      <c r="B19" s="0" t="s">
        <v>45</v>
      </c>
      <c r="C19" s="17" t="s">
        <v>210</v>
      </c>
      <c r="E19" s="0" t="s">
        <v>211</v>
      </c>
      <c r="G19" s="0" t="s">
        <v>211</v>
      </c>
    </row>
    <row r="20" customFormat="false" ht="15.75" hidden="false" customHeight="true" outlineLevel="0" collapsed="false">
      <c r="A20" s="0" t="s">
        <v>1</v>
      </c>
      <c r="B20" s="0" t="s">
        <v>209</v>
      </c>
      <c r="C20" s="17" t="s">
        <v>215</v>
      </c>
      <c r="E20" s="15" t="s">
        <v>216</v>
      </c>
      <c r="G20" s="0" t="s">
        <v>211</v>
      </c>
      <c r="J20" s="21" t="s">
        <v>217</v>
      </c>
    </row>
    <row r="21" customFormat="false" ht="15" hidden="false" customHeight="false" outlineLevel="0" collapsed="false">
      <c r="A21" s="0" t="s">
        <v>1</v>
      </c>
      <c r="B21" s="0" t="s">
        <v>37</v>
      </c>
      <c r="C21" s="17" t="s">
        <v>215</v>
      </c>
      <c r="E21" s="15" t="s">
        <v>216</v>
      </c>
      <c r="G21" s="0" t="s">
        <v>211</v>
      </c>
      <c r="J21" s="15" t="s">
        <v>213</v>
      </c>
    </row>
    <row r="22" customFormat="false" ht="15" hidden="false" customHeight="false" outlineLevel="0" collapsed="false">
      <c r="A22" s="0" t="s">
        <v>1</v>
      </c>
      <c r="B22" s="0" t="s">
        <v>39</v>
      </c>
      <c r="C22" s="17" t="s">
        <v>215</v>
      </c>
      <c r="E22" s="15" t="s">
        <v>216</v>
      </c>
      <c r="G22" s="0" t="s">
        <v>211</v>
      </c>
    </row>
    <row r="23" customFormat="false" ht="15" hidden="false" customHeight="false" outlineLevel="0" collapsed="false">
      <c r="A23" s="0" t="s">
        <v>1</v>
      </c>
      <c r="B23" s="0" t="s">
        <v>41</v>
      </c>
      <c r="C23" s="17" t="s">
        <v>215</v>
      </c>
      <c r="E23" s="15" t="s">
        <v>216</v>
      </c>
      <c r="G23" s="0" t="s">
        <v>211</v>
      </c>
    </row>
    <row r="24" customFormat="false" ht="15" hidden="false" customHeight="false" outlineLevel="0" collapsed="false">
      <c r="A24" s="0" t="s">
        <v>1</v>
      </c>
      <c r="B24" s="0" t="s">
        <v>43</v>
      </c>
      <c r="C24" s="17" t="s">
        <v>215</v>
      </c>
      <c r="E24" s="15" t="s">
        <v>216</v>
      </c>
      <c r="G24" s="0" t="s">
        <v>211</v>
      </c>
    </row>
    <row r="25" customFormat="false" ht="15" hidden="false" customHeight="false" outlineLevel="0" collapsed="false">
      <c r="A25" s="0" t="s">
        <v>1</v>
      </c>
      <c r="B25" s="0" t="s">
        <v>45</v>
      </c>
      <c r="C25" s="17" t="s">
        <v>215</v>
      </c>
      <c r="E25" s="15" t="s">
        <v>216</v>
      </c>
      <c r="G25" s="0" t="s">
        <v>211</v>
      </c>
    </row>
    <row r="26" customFormat="false" ht="15" hidden="false" customHeight="false" outlineLevel="0" collapsed="false">
      <c r="A26" s="0" t="s">
        <v>214</v>
      </c>
      <c r="B26" s="0" t="s">
        <v>209</v>
      </c>
      <c r="C26" s="17" t="s">
        <v>215</v>
      </c>
      <c r="E26" s="15" t="s">
        <v>216</v>
      </c>
      <c r="G26" s="0" t="s">
        <v>211</v>
      </c>
    </row>
    <row r="27" customFormat="false" ht="15" hidden="false" customHeight="false" outlineLevel="0" collapsed="false">
      <c r="A27" s="0" t="s">
        <v>214</v>
      </c>
      <c r="B27" s="0" t="s">
        <v>37</v>
      </c>
      <c r="C27" s="17" t="s">
        <v>215</v>
      </c>
      <c r="E27" s="15" t="s">
        <v>216</v>
      </c>
      <c r="G27" s="0" t="s">
        <v>211</v>
      </c>
    </row>
    <row r="28" customFormat="false" ht="15" hidden="false" customHeight="false" outlineLevel="0" collapsed="false">
      <c r="A28" s="0" t="s">
        <v>214</v>
      </c>
      <c r="B28" s="0" t="s">
        <v>39</v>
      </c>
      <c r="C28" s="17" t="s">
        <v>215</v>
      </c>
      <c r="E28" s="15" t="s">
        <v>216</v>
      </c>
      <c r="G28" s="0" t="s">
        <v>211</v>
      </c>
    </row>
    <row r="29" customFormat="false" ht="15" hidden="false" customHeight="false" outlineLevel="0" collapsed="false">
      <c r="A29" s="0" t="s">
        <v>214</v>
      </c>
      <c r="B29" s="0" t="s">
        <v>41</v>
      </c>
      <c r="C29" s="17" t="s">
        <v>215</v>
      </c>
      <c r="E29" s="15" t="s">
        <v>216</v>
      </c>
      <c r="G29" s="0" t="s">
        <v>211</v>
      </c>
    </row>
    <row r="30" customFormat="false" ht="15" hidden="false" customHeight="false" outlineLevel="0" collapsed="false">
      <c r="A30" s="0" t="s">
        <v>214</v>
      </c>
      <c r="B30" s="0" t="s">
        <v>43</v>
      </c>
      <c r="C30" s="17" t="s">
        <v>215</v>
      </c>
      <c r="E30" s="15" t="s">
        <v>216</v>
      </c>
      <c r="G30" s="0" t="s">
        <v>211</v>
      </c>
    </row>
    <row r="31" customFormat="false" ht="15" hidden="false" customHeight="false" outlineLevel="0" collapsed="false">
      <c r="A31" s="0" t="s">
        <v>214</v>
      </c>
      <c r="B31" s="0" t="s">
        <v>45</v>
      </c>
      <c r="C31" s="17" t="s">
        <v>215</v>
      </c>
      <c r="E31" s="15" t="s">
        <v>216</v>
      </c>
      <c r="G31" s="0" t="s">
        <v>211</v>
      </c>
    </row>
    <row r="32" customFormat="false" ht="15" hidden="false" customHeight="false" outlineLevel="0" collapsed="false">
      <c r="A32" s="0" t="s">
        <v>3</v>
      </c>
      <c r="B32" s="0" t="s">
        <v>209</v>
      </c>
      <c r="C32" s="17" t="s">
        <v>215</v>
      </c>
      <c r="E32" s="15" t="s">
        <v>216</v>
      </c>
      <c r="G32" s="0" t="s">
        <v>211</v>
      </c>
    </row>
    <row r="33" customFormat="false" ht="15" hidden="false" customHeight="false" outlineLevel="0" collapsed="false">
      <c r="A33" s="0" t="s">
        <v>3</v>
      </c>
      <c r="B33" s="0" t="s">
        <v>37</v>
      </c>
      <c r="C33" s="17" t="s">
        <v>215</v>
      </c>
      <c r="E33" s="15" t="s">
        <v>216</v>
      </c>
      <c r="G33" s="0" t="s">
        <v>211</v>
      </c>
    </row>
    <row r="34" customFormat="false" ht="15" hidden="false" customHeight="false" outlineLevel="0" collapsed="false">
      <c r="A34" s="0" t="s">
        <v>3</v>
      </c>
      <c r="B34" s="0" t="s">
        <v>39</v>
      </c>
      <c r="C34" s="17" t="s">
        <v>215</v>
      </c>
      <c r="E34" s="15" t="s">
        <v>216</v>
      </c>
      <c r="G34" s="0" t="s">
        <v>211</v>
      </c>
    </row>
    <row r="35" customFormat="false" ht="15" hidden="false" customHeight="false" outlineLevel="0" collapsed="false">
      <c r="A35" s="0" t="s">
        <v>3</v>
      </c>
      <c r="B35" s="0" t="s">
        <v>41</v>
      </c>
      <c r="C35" s="17" t="s">
        <v>215</v>
      </c>
      <c r="E35" s="15" t="s">
        <v>216</v>
      </c>
      <c r="G35" s="0" t="s">
        <v>211</v>
      </c>
    </row>
    <row r="36" customFormat="false" ht="15" hidden="false" customHeight="false" outlineLevel="0" collapsed="false">
      <c r="A36" s="0" t="s">
        <v>3</v>
      </c>
      <c r="B36" s="0" t="s">
        <v>43</v>
      </c>
      <c r="C36" s="17" t="s">
        <v>215</v>
      </c>
      <c r="E36" s="15" t="s">
        <v>216</v>
      </c>
      <c r="G36" s="0" t="s">
        <v>211</v>
      </c>
    </row>
    <row r="37" customFormat="false" ht="15" hidden="false" customHeight="false" outlineLevel="0" collapsed="false">
      <c r="A37" s="0" t="s">
        <v>3</v>
      </c>
      <c r="B37" s="0" t="s">
        <v>45</v>
      </c>
      <c r="C37" s="17" t="s">
        <v>215</v>
      </c>
      <c r="E37" s="15" t="s">
        <v>216</v>
      </c>
      <c r="G37" s="0" t="s">
        <v>211</v>
      </c>
    </row>
    <row r="38" customFormat="false" ht="15" hidden="false" customHeight="false" outlineLevel="0" collapsed="false">
      <c r="A38" s="0" t="s">
        <v>1</v>
      </c>
      <c r="B38" s="0" t="s">
        <v>209</v>
      </c>
      <c r="C38" s="17" t="s">
        <v>218</v>
      </c>
      <c r="G38" s="17" t="s">
        <v>219</v>
      </c>
    </row>
    <row r="39" customFormat="false" ht="15" hidden="false" customHeight="false" outlineLevel="0" collapsed="false">
      <c r="A39" s="0" t="s">
        <v>1</v>
      </c>
      <c r="B39" s="0" t="s">
        <v>37</v>
      </c>
      <c r="C39" s="17" t="s">
        <v>218</v>
      </c>
      <c r="G39" s="7" t="s">
        <v>220</v>
      </c>
    </row>
    <row r="40" customFormat="false" ht="15" hidden="false" customHeight="false" outlineLevel="0" collapsed="false">
      <c r="A40" s="0" t="s">
        <v>1</v>
      </c>
      <c r="B40" s="0" t="s">
        <v>39</v>
      </c>
      <c r="C40" s="17" t="s">
        <v>218</v>
      </c>
      <c r="G40" s="7" t="s">
        <v>220</v>
      </c>
    </row>
    <row r="41" customFormat="false" ht="15" hidden="false" customHeight="false" outlineLevel="0" collapsed="false">
      <c r="A41" s="0" t="s">
        <v>1</v>
      </c>
      <c r="B41" s="0" t="s">
        <v>41</v>
      </c>
      <c r="C41" s="17" t="s">
        <v>218</v>
      </c>
      <c r="G41" s="7" t="s">
        <v>220</v>
      </c>
    </row>
    <row r="42" customFormat="false" ht="15" hidden="false" customHeight="false" outlineLevel="0" collapsed="false">
      <c r="A42" s="0" t="s">
        <v>1</v>
      </c>
      <c r="B42" s="0" t="s">
        <v>43</v>
      </c>
      <c r="C42" s="17" t="s">
        <v>218</v>
      </c>
      <c r="G42" s="7" t="s">
        <v>220</v>
      </c>
    </row>
    <row r="43" customFormat="false" ht="15" hidden="false" customHeight="false" outlineLevel="0" collapsed="false">
      <c r="A43" s="0" t="s">
        <v>1</v>
      </c>
      <c r="B43" s="0" t="s">
        <v>45</v>
      </c>
      <c r="C43" s="17" t="s">
        <v>218</v>
      </c>
      <c r="G43" s="7" t="s">
        <v>220</v>
      </c>
    </row>
    <row r="44" customFormat="false" ht="15" hidden="false" customHeight="false" outlineLevel="0" collapsed="false">
      <c r="A44" s="0" t="s">
        <v>214</v>
      </c>
      <c r="B44" s="0" t="s">
        <v>209</v>
      </c>
      <c r="C44" s="17" t="s">
        <v>218</v>
      </c>
      <c r="G44" s="17" t="s">
        <v>221</v>
      </c>
    </row>
    <row r="45" customFormat="false" ht="15.75" hidden="false" customHeight="true" outlineLevel="0" collapsed="false">
      <c r="A45" s="0" t="s">
        <v>214</v>
      </c>
      <c r="B45" s="0" t="s">
        <v>37</v>
      </c>
      <c r="C45" s="17" t="s">
        <v>218</v>
      </c>
      <c r="G45" s="23" t="s">
        <v>222</v>
      </c>
    </row>
    <row r="46" customFormat="false" ht="15.75" hidden="false" customHeight="true" outlineLevel="0" collapsed="false">
      <c r="A46" s="0" t="s">
        <v>214</v>
      </c>
      <c r="B46" s="0" t="s">
        <v>39</v>
      </c>
      <c r="C46" s="17" t="s">
        <v>218</v>
      </c>
      <c r="G46" s="23" t="s">
        <v>223</v>
      </c>
    </row>
    <row r="47" customFormat="false" ht="15.75" hidden="false" customHeight="true" outlineLevel="0" collapsed="false">
      <c r="A47" s="0" t="s">
        <v>214</v>
      </c>
      <c r="B47" s="0" t="s">
        <v>41</v>
      </c>
      <c r="C47" s="17" t="s">
        <v>218</v>
      </c>
      <c r="G47" s="23" t="s">
        <v>223</v>
      </c>
    </row>
    <row r="48" customFormat="false" ht="15.75" hidden="false" customHeight="true" outlineLevel="0" collapsed="false">
      <c r="A48" s="0" t="s">
        <v>214</v>
      </c>
      <c r="B48" s="0" t="s">
        <v>43</v>
      </c>
      <c r="C48" s="17" t="s">
        <v>218</v>
      </c>
      <c r="G48" s="23" t="s">
        <v>223</v>
      </c>
    </row>
    <row r="49" customFormat="false" ht="15.75" hidden="false" customHeight="true" outlineLevel="0" collapsed="false">
      <c r="A49" s="0" t="s">
        <v>214</v>
      </c>
      <c r="B49" s="0" t="s">
        <v>45</v>
      </c>
      <c r="C49" s="17" t="s">
        <v>218</v>
      </c>
      <c r="G49" s="23" t="s">
        <v>222</v>
      </c>
    </row>
    <row r="50" customFormat="false" ht="15" hidden="false" customHeight="false" outlineLevel="0" collapsed="false">
      <c r="A50" s="0" t="s">
        <v>3</v>
      </c>
      <c r="B50" s="0" t="s">
        <v>209</v>
      </c>
      <c r="C50" s="17" t="s">
        <v>218</v>
      </c>
      <c r="G50" s="17" t="s">
        <v>224</v>
      </c>
    </row>
    <row r="51" customFormat="false" ht="15" hidden="false" customHeight="false" outlineLevel="0" collapsed="false">
      <c r="A51" s="0" t="s">
        <v>3</v>
      </c>
      <c r="B51" s="0" t="s">
        <v>37</v>
      </c>
      <c r="C51" s="17" t="s">
        <v>218</v>
      </c>
      <c r="G51" s="0" t="s">
        <v>211</v>
      </c>
    </row>
    <row r="52" customFormat="false" ht="15" hidden="false" customHeight="false" outlineLevel="0" collapsed="false">
      <c r="A52" s="0" t="s">
        <v>3</v>
      </c>
      <c r="B52" s="0" t="s">
        <v>39</v>
      </c>
      <c r="C52" s="17" t="s">
        <v>218</v>
      </c>
      <c r="G52" s="0" t="s">
        <v>211</v>
      </c>
    </row>
    <row r="53" customFormat="false" ht="15" hidden="false" customHeight="false" outlineLevel="0" collapsed="false">
      <c r="A53" s="0" t="s">
        <v>3</v>
      </c>
      <c r="B53" s="0" t="s">
        <v>41</v>
      </c>
      <c r="C53" s="17" t="s">
        <v>218</v>
      </c>
      <c r="G53" s="0" t="s">
        <v>211</v>
      </c>
    </row>
    <row r="54" customFormat="false" ht="15" hidden="false" customHeight="false" outlineLevel="0" collapsed="false">
      <c r="A54" s="0" t="s">
        <v>3</v>
      </c>
      <c r="B54" s="0" t="s">
        <v>43</v>
      </c>
      <c r="C54" s="17" t="s">
        <v>218</v>
      </c>
      <c r="G54" s="0" t="s">
        <v>211</v>
      </c>
    </row>
    <row r="55" customFormat="false" ht="15" hidden="false" customHeight="false" outlineLevel="0" collapsed="false">
      <c r="A55" s="0" t="s">
        <v>3</v>
      </c>
      <c r="B55" s="0" t="s">
        <v>45</v>
      </c>
      <c r="C55" s="17" t="s">
        <v>218</v>
      </c>
      <c r="G55" s="0" t="s">
        <v>211</v>
      </c>
    </row>
    <row r="56" customFormat="false" ht="15" hidden="false" customHeight="false" outlineLevel="0" collapsed="false">
      <c r="A56" s="0" t="s">
        <v>1</v>
      </c>
      <c r="B56" s="0" t="s">
        <v>209</v>
      </c>
      <c r="C56" s="0" t="s">
        <v>225</v>
      </c>
      <c r="G56" s="0" t="s">
        <v>190</v>
      </c>
    </row>
    <row r="57" customFormat="false" ht="43.5" hidden="false" customHeight="true" outlineLevel="0" collapsed="false">
      <c r="A57" s="0" t="s">
        <v>1</v>
      </c>
      <c r="B57" s="0" t="s">
        <v>37</v>
      </c>
      <c r="C57" s="0" t="s">
        <v>225</v>
      </c>
      <c r="J57" s="22" t="s">
        <v>226</v>
      </c>
    </row>
    <row r="58" customFormat="false" ht="15.75" hidden="false" customHeight="true" outlineLevel="0" collapsed="false">
      <c r="A58" s="0" t="s">
        <v>1</v>
      </c>
      <c r="B58" s="0" t="s">
        <v>39</v>
      </c>
      <c r="C58" s="0" t="s">
        <v>225</v>
      </c>
      <c r="J58" s="24" t="s">
        <v>227</v>
      </c>
    </row>
    <row r="59" customFormat="false" ht="15.75" hidden="false" customHeight="true" outlineLevel="0" collapsed="false">
      <c r="A59" s="0" t="s">
        <v>1</v>
      </c>
      <c r="B59" s="0" t="s">
        <v>41</v>
      </c>
      <c r="C59" s="0" t="s">
        <v>225</v>
      </c>
      <c r="J59" s="24"/>
    </row>
    <row r="60" customFormat="false" ht="15" hidden="false" customHeight="false" outlineLevel="0" collapsed="false">
      <c r="A60" s="0" t="s">
        <v>1</v>
      </c>
      <c r="B60" s="0" t="s">
        <v>43</v>
      </c>
      <c r="C60" s="0" t="s">
        <v>225</v>
      </c>
    </row>
    <row r="61" customFormat="false" ht="15" hidden="false" customHeight="false" outlineLevel="0" collapsed="false">
      <c r="A61" s="0" t="s">
        <v>1</v>
      </c>
      <c r="B61" s="0" t="s">
        <v>45</v>
      </c>
      <c r="C61" s="0" t="s">
        <v>225</v>
      </c>
    </row>
    <row r="62" customFormat="false" ht="15" hidden="false" customHeight="false" outlineLevel="0" collapsed="false">
      <c r="A62" s="0" t="s">
        <v>214</v>
      </c>
      <c r="B62" s="0" t="s">
        <v>209</v>
      </c>
      <c r="C62" s="0" t="s">
        <v>225</v>
      </c>
      <c r="G62" s="0" t="s">
        <v>190</v>
      </c>
    </row>
    <row r="63" customFormat="false" ht="15" hidden="false" customHeight="false" outlineLevel="0" collapsed="false">
      <c r="A63" s="0" t="s">
        <v>214</v>
      </c>
      <c r="B63" s="0" t="s">
        <v>37</v>
      </c>
      <c r="C63" s="0" t="s">
        <v>225</v>
      </c>
    </row>
    <row r="64" customFormat="false" ht="15" hidden="false" customHeight="false" outlineLevel="0" collapsed="false">
      <c r="A64" s="0" t="s">
        <v>214</v>
      </c>
      <c r="B64" s="0" t="s">
        <v>39</v>
      </c>
      <c r="C64" s="0" t="s">
        <v>225</v>
      </c>
    </row>
    <row r="65" customFormat="false" ht="15" hidden="false" customHeight="false" outlineLevel="0" collapsed="false">
      <c r="A65" s="0" t="s">
        <v>214</v>
      </c>
      <c r="B65" s="0" t="s">
        <v>41</v>
      </c>
      <c r="C65" s="0" t="s">
        <v>225</v>
      </c>
    </row>
    <row r="66" customFormat="false" ht="15" hidden="false" customHeight="false" outlineLevel="0" collapsed="false">
      <c r="A66" s="0" t="s">
        <v>214</v>
      </c>
      <c r="B66" s="0" t="s">
        <v>43</v>
      </c>
      <c r="C66" s="0" t="s">
        <v>225</v>
      </c>
    </row>
    <row r="67" customFormat="false" ht="15" hidden="false" customHeight="false" outlineLevel="0" collapsed="false">
      <c r="A67" s="0" t="s">
        <v>214</v>
      </c>
      <c r="B67" s="0" t="s">
        <v>45</v>
      </c>
      <c r="C67" s="0" t="s">
        <v>225</v>
      </c>
    </row>
    <row r="68" customFormat="false" ht="15" hidden="false" customHeight="false" outlineLevel="0" collapsed="false">
      <c r="A68" s="0" t="s">
        <v>3</v>
      </c>
      <c r="B68" s="0" t="s">
        <v>209</v>
      </c>
      <c r="C68" s="0" t="s">
        <v>225</v>
      </c>
      <c r="G68" s="25" t="s">
        <v>190</v>
      </c>
    </row>
    <row r="69" customFormat="false" ht="15" hidden="false" customHeight="false" outlineLevel="0" collapsed="false">
      <c r="A69" s="0" t="s">
        <v>3</v>
      </c>
      <c r="B69" s="0" t="s">
        <v>37</v>
      </c>
      <c r="C69" s="0" t="s">
        <v>225</v>
      </c>
    </row>
    <row r="70" customFormat="false" ht="15" hidden="false" customHeight="false" outlineLevel="0" collapsed="false">
      <c r="A70" s="0" t="s">
        <v>3</v>
      </c>
      <c r="B70" s="0" t="s">
        <v>39</v>
      </c>
      <c r="C70" s="0" t="s">
        <v>225</v>
      </c>
    </row>
    <row r="71" customFormat="false" ht="15" hidden="false" customHeight="false" outlineLevel="0" collapsed="false">
      <c r="A71" s="0" t="s">
        <v>3</v>
      </c>
      <c r="B71" s="0" t="s">
        <v>41</v>
      </c>
      <c r="C71" s="0" t="s">
        <v>225</v>
      </c>
    </row>
    <row r="72" customFormat="false" ht="15" hidden="false" customHeight="false" outlineLevel="0" collapsed="false">
      <c r="A72" s="0" t="s">
        <v>3</v>
      </c>
      <c r="B72" s="0" t="s">
        <v>43</v>
      </c>
      <c r="C72" s="0" t="s">
        <v>225</v>
      </c>
    </row>
    <row r="73" customFormat="false" ht="15" hidden="false" customHeight="false" outlineLevel="0" collapsed="false">
      <c r="A73" s="0" t="s">
        <v>3</v>
      </c>
      <c r="B73" s="0" t="s">
        <v>45</v>
      </c>
      <c r="C73" s="0" t="s">
        <v>225</v>
      </c>
    </row>
    <row r="74" customFormat="false" ht="29.25" hidden="false" customHeight="true" outlineLevel="0" collapsed="false">
      <c r="A74" s="0" t="s">
        <v>1</v>
      </c>
      <c r="B74" s="0" t="s">
        <v>209</v>
      </c>
      <c r="C74" s="0" t="s">
        <v>228</v>
      </c>
      <c r="D74" s="0" t="s">
        <v>229</v>
      </c>
      <c r="G74" s="24" t="s">
        <v>230</v>
      </c>
      <c r="J74" s="23" t="s">
        <v>231</v>
      </c>
    </row>
    <row r="75" customFormat="false" ht="15" hidden="false" customHeight="false" outlineLevel="0" collapsed="false">
      <c r="A75" s="0" t="s">
        <v>214</v>
      </c>
      <c r="B75" s="0" t="s">
        <v>209</v>
      </c>
      <c r="C75" s="0" t="s">
        <v>228</v>
      </c>
      <c r="D75" s="0" t="s">
        <v>229</v>
      </c>
      <c r="J75" s="0" t="s">
        <v>232</v>
      </c>
    </row>
    <row r="76" customFormat="false" ht="15" hidden="false" customHeight="false" outlineLevel="0" collapsed="false">
      <c r="A76" s="0" t="s">
        <v>3</v>
      </c>
      <c r="B76" s="0" t="s">
        <v>209</v>
      </c>
      <c r="C76" s="0" t="s">
        <v>228</v>
      </c>
      <c r="D76" s="0" t="s">
        <v>229</v>
      </c>
    </row>
  </sheetData>
  <dataValidations count="3">
    <dataValidation allowBlank="true" errorStyle="stop" operator="between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true" sqref="A2:A1076" type="list">
      <formula1>"Nigeria,Ethiopia,India"</formula1>
      <formula2>0</formula2>
    </dataValidation>
    <dataValidation allowBlank="true" errorStyle="stop" operator="between" showDropDown="false" showErrorMessage="true" showInputMessage="true" sqref="B1:B1076" type="list">
      <formula1>"All (assumed same),Total,Lowest,Second,Middle,Fourth,Highest"</formula1>
      <formula2>0</formula2>
    </dataValidation>
  </dataValidations>
  <hyperlinks>
    <hyperlink ref="G39" r:id="rId1" display="Ethiopia DHS survey report Table 8.4 "/>
    <hyperlink ref="G40" r:id="rId2" display="Ethiopia DHS survey report Table 8.4 "/>
    <hyperlink ref="G41" r:id="rId3" display="Ethiopia DHS survey report Table 8.4 "/>
    <hyperlink ref="G42" r:id="rId4" display="Ethiopia DHS survey report Table 8.4 "/>
    <hyperlink ref="G43" r:id="rId5" display="Ethiopia DHS survey report Table 8.4 "/>
    <hyperlink ref="G45" r:id="rId6" display="Nigeria DHS survey report -  Table 8.4 "/>
    <hyperlink ref="G46" r:id="rId7" display="Nigeria DHS survey report -  Table 8.4 "/>
    <hyperlink ref="G47" r:id="rId8" display="Nigeria DHS survey report -  Table 8.4 "/>
    <hyperlink ref="G48" r:id="rId9" display="Nigeria DHS survey report -  Table 8.4 "/>
    <hyperlink ref="G49" r:id="rId10" display="Nigeria DHS survey report -  Table 8.4 "/>
    <hyperlink ref="J74" r:id="rId11" display="There is also some data on stillbirth-to-livebirth ratio among NTDs in the literature, see Blencowe et al 2018.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.5"/>
    <col collapsed="false" customWidth="true" hidden="false" outlineLevel="0" max="2" min="2" style="0" width="12.5"/>
    <col collapsed="false" customWidth="true" hidden="false" outlineLevel="0" max="3" min="3" style="0" width="9.67"/>
    <col collapsed="false" customWidth="true" hidden="false" outlineLevel="0" max="5" min="5" style="0" width="29"/>
  </cols>
  <sheetData>
    <row r="1" customFormat="false" ht="15.75" hidden="false" customHeight="true" outlineLevel="0" collapsed="false">
      <c r="A1" s="1" t="s">
        <v>4</v>
      </c>
      <c r="B1" s="26" t="s">
        <v>5</v>
      </c>
      <c r="C1" s="26" t="s">
        <v>6</v>
      </c>
      <c r="D1" s="27" t="s">
        <v>7</v>
      </c>
      <c r="E1" s="4" t="s">
        <v>26</v>
      </c>
    </row>
    <row r="2" customFormat="false" ht="15" hidden="false" customHeight="false" outlineLevel="0" collapsed="false">
      <c r="A2" s="4" t="s">
        <v>11</v>
      </c>
      <c r="B2" s="4"/>
      <c r="C2" s="4"/>
    </row>
    <row r="3" customFormat="false" ht="15" hidden="false" customHeight="false" outlineLevel="0" collapsed="false">
      <c r="A3" s="20" t="s">
        <v>233</v>
      </c>
      <c r="B3" s="0" t="s">
        <v>156</v>
      </c>
      <c r="C3" s="0" t="str">
        <f aca="false">IF(COUNTIFS('Vehicle Extraction'!$A$2:$A$904, C$1,  'Vehicle Extraction'!$B$2:$B$904, $A3) = 0, "Missing", "Complete")</f>
        <v>Complete</v>
      </c>
      <c r="D3" s="0" t="str">
        <f aca="false">IF(COUNTIFS('Vehicle Extraction'!$A$2:$A$904, D$1,  'Vehicle Extraction'!$B$2:$B$904, $A3) = 0, "Missing", "Complete")</f>
        <v>Complete</v>
      </c>
    </row>
    <row r="4" customFormat="false" ht="15" hidden="false" customHeight="false" outlineLevel="0" collapsed="false">
      <c r="A4" s="25" t="s">
        <v>234</v>
      </c>
      <c r="B4" s="0" t="s">
        <v>156</v>
      </c>
      <c r="C4" s="0" t="str">
        <f aca="false">IF(COUNTIFS('Vehicle Extraction'!$A$2:$A$904, C$1,  'Vehicle Extraction'!$B$2:$B$904, $A4) = 0, "Missing", "Complete")</f>
        <v>Complete</v>
      </c>
      <c r="D4" s="0" t="str">
        <f aca="false"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.5"/>
    <col collapsed="false" customWidth="true" hidden="false" outlineLevel="0" max="3" min="3" style="0" width="19"/>
    <col collapsed="false" customWidth="true" hidden="false" outlineLevel="0" max="4" min="4" style="0" width="18.33"/>
    <col collapsed="false" customWidth="true" hidden="false" outlineLevel="0" max="6" min="6" style="0" width="34.17"/>
    <col collapsed="false" customWidth="true" hidden="false" outlineLevel="0" max="8" min="8" style="0" width="13.16"/>
    <col collapsed="false" customWidth="true" hidden="false" outlineLevel="0" max="9" min="9" style="0" width="50.5"/>
  </cols>
  <sheetData>
    <row r="1" customFormat="false" ht="15" hidden="false" customHeight="false" outlineLevel="0" collapsed="false">
      <c r="A1" s="4" t="s">
        <v>4</v>
      </c>
      <c r="B1" s="4" t="s">
        <v>11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26</v>
      </c>
    </row>
    <row r="2" customFormat="false" ht="115.5" hidden="false" customHeight="true" outlineLevel="0" collapsed="false">
      <c r="A2" s="0" t="s">
        <v>7</v>
      </c>
      <c r="B2" s="0" t="s">
        <v>233</v>
      </c>
      <c r="C2" s="0" t="s">
        <v>235</v>
      </c>
      <c r="D2" s="0" t="s">
        <v>236</v>
      </c>
      <c r="E2" s="0" t="s">
        <v>237</v>
      </c>
      <c r="F2" s="6" t="s">
        <v>238</v>
      </c>
      <c r="G2" s="25" t="n">
        <v>3.25</v>
      </c>
      <c r="H2" s="25" t="s">
        <v>239</v>
      </c>
      <c r="I2" s="6" t="s">
        <v>240</v>
      </c>
    </row>
    <row r="3" customFormat="false" ht="15" hidden="false" customHeight="false" outlineLevel="0" collapsed="false">
      <c r="A3" s="0" t="s">
        <v>5</v>
      </c>
      <c r="B3" s="0" t="s">
        <v>233</v>
      </c>
      <c r="C3" s="0" t="s">
        <v>235</v>
      </c>
      <c r="D3" s="0" t="s">
        <v>236</v>
      </c>
      <c r="E3" s="0" t="n">
        <v>2021</v>
      </c>
      <c r="F3" s="0" t="s">
        <v>241</v>
      </c>
      <c r="G3" s="0" t="n">
        <v>4.4</v>
      </c>
      <c r="H3" s="0" t="s">
        <v>242</v>
      </c>
      <c r="I3" s="7" t="s">
        <v>243</v>
      </c>
    </row>
    <row r="4" customFormat="false" ht="57.75" hidden="false" customHeight="true" outlineLevel="0" collapsed="false">
      <c r="A4" s="0" t="s">
        <v>6</v>
      </c>
      <c r="B4" s="0" t="s">
        <v>233</v>
      </c>
      <c r="C4" s="0" t="s">
        <v>235</v>
      </c>
      <c r="D4" s="0" t="s">
        <v>236</v>
      </c>
      <c r="E4" s="0" t="n">
        <v>2012</v>
      </c>
      <c r="F4" s="6" t="s">
        <v>244</v>
      </c>
      <c r="G4" s="0" t="n">
        <v>4.2</v>
      </c>
      <c r="H4" s="0" t="s">
        <v>245</v>
      </c>
      <c r="I4" s="7" t="s">
        <v>246</v>
      </c>
    </row>
    <row r="5" customFormat="false" ht="43.5" hidden="false" customHeight="true" outlineLevel="0" collapsed="false">
      <c r="A5" s="0" t="s">
        <v>7</v>
      </c>
      <c r="B5" s="0" t="s">
        <v>234</v>
      </c>
      <c r="C5" s="0" t="s">
        <v>235</v>
      </c>
      <c r="D5" s="0" t="s">
        <v>247</v>
      </c>
      <c r="E5" s="0" t="n">
        <v>2013</v>
      </c>
      <c r="F5" s="6" t="s">
        <v>248</v>
      </c>
      <c r="G5" s="0" t="n">
        <v>1.67</v>
      </c>
      <c r="H5" s="0" t="s">
        <v>249</v>
      </c>
      <c r="I5" s="7" t="s">
        <v>250</v>
      </c>
    </row>
    <row r="6" customFormat="false" ht="15" hidden="false" customHeight="false" outlineLevel="0" collapsed="false">
      <c r="A6" s="0" t="s">
        <v>6</v>
      </c>
      <c r="B6" s="0" t="s">
        <v>234</v>
      </c>
      <c r="C6" s="0" t="s">
        <v>235</v>
      </c>
      <c r="D6" s="0" t="s">
        <v>247</v>
      </c>
      <c r="E6" s="0" t="n">
        <v>2013</v>
      </c>
      <c r="F6" s="0" t="s">
        <v>248</v>
      </c>
      <c r="G6" s="0" t="n">
        <v>1.67</v>
      </c>
      <c r="H6" s="0" t="s">
        <v>249</v>
      </c>
      <c r="I6" s="7" t="s">
        <v>250</v>
      </c>
    </row>
    <row r="7" customFormat="false" ht="115.5" hidden="false" customHeight="true" outlineLevel="0" collapsed="false">
      <c r="A7" s="0" t="s">
        <v>110</v>
      </c>
      <c r="B7" s="0" t="s">
        <v>233</v>
      </c>
      <c r="C7" s="0" t="s">
        <v>235</v>
      </c>
      <c r="D7" s="0" t="s">
        <v>236</v>
      </c>
      <c r="F7" s="6" t="s">
        <v>251</v>
      </c>
      <c r="G7" s="25" t="n">
        <v>3.25</v>
      </c>
      <c r="I7" s="6" t="s">
        <v>252</v>
      </c>
    </row>
    <row r="8" customFormat="false" ht="43.5" hidden="false" customHeight="true" outlineLevel="0" collapsed="false">
      <c r="A8" s="0" t="s">
        <v>110</v>
      </c>
      <c r="B8" s="0" t="s">
        <v>234</v>
      </c>
      <c r="C8" s="0" t="s">
        <v>235</v>
      </c>
      <c r="D8" s="0" t="s">
        <v>247</v>
      </c>
      <c r="F8" s="6" t="s">
        <v>251</v>
      </c>
      <c r="G8" s="0" t="n">
        <v>1.67</v>
      </c>
      <c r="I8" s="7" t="s">
        <v>252</v>
      </c>
    </row>
    <row r="9" customFormat="false" ht="43.5" hidden="false" customHeight="true" outlineLevel="0" collapsed="false">
      <c r="A9" s="0" t="s">
        <v>5</v>
      </c>
      <c r="B9" s="0" t="s">
        <v>234</v>
      </c>
      <c r="C9" s="0" t="s">
        <v>235</v>
      </c>
      <c r="D9" s="0" t="s">
        <v>247</v>
      </c>
      <c r="F9" s="6" t="s">
        <v>145</v>
      </c>
      <c r="G9" s="0" t="n">
        <v>1.67</v>
      </c>
      <c r="I9" s="7" t="s">
        <v>253</v>
      </c>
    </row>
  </sheetData>
  <hyperlinks>
    <hyperlink ref="I3" r:id="rId1" display="https://www.ncbi.nlm.nih.gov/pmc/articles/PMC7882357/; meta-analysis of 22 studies"/>
    <hyperlink ref="I4" r:id="rId2" display="https://www.sciencedirect.com/science/article/pii/S0002916523028915; could not find anything bouillon-specific"/>
    <hyperlink ref="I5" r:id="rId3" display="https://www.bmj.com/content/346/bmj.f3443; study of supplementation at higher doses than fortification; selected the effect among trials &lt;66mg/day as all fortification would fall in this range"/>
    <hyperlink ref="I6" r:id="rId4" display="https://www.bmj.com/content/346/bmj.f3443; study of supplementation at higher doses than fortification; selected the effect among trials &lt;66mg/day as all fortification would fall in this rang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6.5"/>
    <col collapsed="false" customWidth="true" hidden="false" outlineLevel="0" max="2" min="2" style="0" width="32.33"/>
    <col collapsed="false" customWidth="true" hidden="false" outlineLevel="0" max="4" min="4" style="0" width="12.5"/>
    <col collapsed="false" customWidth="true" hidden="false" outlineLevel="0" max="5" min="5" style="0" width="150"/>
    <col collapsed="false" customWidth="true" hidden="false" outlineLevel="0" max="6" min="6" style="0" width="36.5"/>
  </cols>
  <sheetData>
    <row r="1" customFormat="false" ht="15" hidden="false" customHeight="false" outlineLevel="0" collapsed="false">
      <c r="A1" s="3" t="s">
        <v>11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28" t="s">
        <v>26</v>
      </c>
      <c r="I1" s="29"/>
    </row>
    <row r="2" customFormat="false" ht="15" hidden="false" customHeight="false" outlineLevel="0" collapsed="false">
      <c r="A2" s="25" t="s">
        <v>254</v>
      </c>
      <c r="B2" s="25"/>
      <c r="C2" s="25"/>
      <c r="D2" s="25"/>
      <c r="E2" s="25"/>
      <c r="F2" s="25"/>
      <c r="G2" s="25"/>
      <c r="H2" s="29"/>
      <c r="I2" s="29"/>
    </row>
    <row r="3" customFormat="false" ht="15" hidden="false" customHeight="false" outlineLevel="0" collapsed="false">
      <c r="A3" s="25" t="s">
        <v>255</v>
      </c>
      <c r="B3" s="25" t="s">
        <v>256</v>
      </c>
      <c r="C3" s="25" t="s">
        <v>257</v>
      </c>
      <c r="D3" s="25" t="n">
        <v>2018</v>
      </c>
      <c r="E3" s="25" t="s">
        <v>258</v>
      </c>
      <c r="F3" s="25" t="n">
        <v>4.3</v>
      </c>
      <c r="G3" s="25" t="s">
        <v>259</v>
      </c>
      <c r="H3" s="30" t="s">
        <v>260</v>
      </c>
      <c r="I3" s="29"/>
    </row>
    <row r="4" customFormat="false" ht="15" hidden="false" customHeight="false" outlineLevel="0" collapsed="false">
      <c r="A4" s="25" t="s">
        <v>261</v>
      </c>
      <c r="B4" s="25" t="s">
        <v>262</v>
      </c>
      <c r="C4" s="25" t="s">
        <v>263</v>
      </c>
      <c r="D4" s="25" t="n">
        <v>2015</v>
      </c>
      <c r="E4" s="31" t="s">
        <v>264</v>
      </c>
      <c r="F4" s="25" t="n">
        <v>6</v>
      </c>
      <c r="G4" s="32" t="s">
        <v>265</v>
      </c>
      <c r="H4" s="29"/>
      <c r="I4" s="29"/>
    </row>
    <row r="5" customFormat="false" ht="15" hidden="false" customHeight="false" outlineLevel="0" collapsed="false">
      <c r="A5" s="25" t="s">
        <v>266</v>
      </c>
      <c r="B5" s="25"/>
      <c r="C5" s="25"/>
      <c r="D5" s="25"/>
      <c r="E5" s="25"/>
      <c r="F5" s="25"/>
      <c r="G5" s="25"/>
      <c r="H5" s="29"/>
      <c r="I5" s="29"/>
    </row>
    <row r="6" customFormat="false" ht="15" hidden="false" customHeight="false" outlineLevel="0" collapsed="false">
      <c r="A6" s="25" t="s">
        <v>267</v>
      </c>
      <c r="B6" s="25" t="s">
        <v>268</v>
      </c>
      <c r="C6" s="25"/>
      <c r="D6" s="25"/>
      <c r="E6" s="25" t="s">
        <v>269</v>
      </c>
      <c r="F6" s="25" t="s">
        <v>270</v>
      </c>
      <c r="G6" s="25"/>
      <c r="H6" s="29"/>
      <c r="I6" s="29"/>
    </row>
    <row r="7" customFormat="false" ht="29.25" hidden="false" customHeight="true" outlineLevel="0" collapsed="false">
      <c r="A7" s="25" t="s">
        <v>267</v>
      </c>
      <c r="B7" s="25" t="s">
        <v>268</v>
      </c>
      <c r="C7" s="25"/>
      <c r="D7" s="25"/>
      <c r="E7" s="25" t="s">
        <v>271</v>
      </c>
      <c r="F7" s="33" t="s">
        <v>272</v>
      </c>
      <c r="G7" s="25"/>
      <c r="H7" s="29"/>
      <c r="I7" s="29"/>
    </row>
    <row r="8" customFormat="false" ht="15" hidden="false" customHeight="false" outlineLevel="0" collapsed="false">
      <c r="A8" s="25" t="s">
        <v>273</v>
      </c>
      <c r="B8" s="25" t="s">
        <v>229</v>
      </c>
      <c r="C8" s="25"/>
      <c r="D8" s="25"/>
      <c r="E8" s="25" t="s">
        <v>274</v>
      </c>
      <c r="F8" s="25" t="s">
        <v>275</v>
      </c>
      <c r="G8" s="25"/>
      <c r="H8" s="29" t="s">
        <v>276</v>
      </c>
      <c r="I8" s="29"/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</row>
  </sheetData>
  <hyperlinks>
    <hyperlink ref="H3" r:id="rId1" display="https://iris.who.int/bitstream/handle/10665/272535/9789241550291-eng.pdf?ua=1 found a single stud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.5"/>
    <col collapsed="false" customWidth="true" hidden="false" outlineLevel="0" max="2" min="2" style="0" width="21"/>
    <col collapsed="false" customWidth="true" hidden="false" outlineLevel="0" max="3" min="3" style="0" width="22.33"/>
    <col collapsed="false" customWidth="true" hidden="false" outlineLevel="0" max="9" min="4" style="0" width="11.5"/>
  </cols>
  <sheetData>
    <row r="1" customFormat="false" ht="15" hidden="false" customHeight="true" outlineLevel="0" collapsed="false">
      <c r="A1" s="1" t="s">
        <v>0</v>
      </c>
      <c r="B1" s="34" t="s">
        <v>1</v>
      </c>
      <c r="C1" s="34"/>
      <c r="D1" s="34"/>
      <c r="E1" s="35" t="s">
        <v>2</v>
      </c>
      <c r="F1" s="35"/>
      <c r="G1" s="35"/>
      <c r="H1" s="35"/>
      <c r="I1" s="35" t="s">
        <v>3</v>
      </c>
      <c r="J1" s="35"/>
    </row>
    <row r="2" customFormat="false" ht="15" hidden="false" customHeight="true" outlineLevel="0" collapsed="false">
      <c r="A2" s="1" t="s">
        <v>4</v>
      </c>
      <c r="B2" s="34" t="s">
        <v>5</v>
      </c>
      <c r="C2" s="34"/>
      <c r="D2" s="34"/>
      <c r="E2" s="35" t="s">
        <v>6</v>
      </c>
      <c r="F2" s="35"/>
      <c r="G2" s="35" t="s">
        <v>7</v>
      </c>
      <c r="H2" s="35"/>
      <c r="I2" s="35" t="s">
        <v>7</v>
      </c>
      <c r="J2" s="35"/>
    </row>
    <row r="3" customFormat="false" ht="15" hidden="false" customHeight="true" outlineLevel="0" collapsed="false">
      <c r="A3" s="1" t="s">
        <v>151</v>
      </c>
      <c r="B3" s="34" t="s">
        <v>152</v>
      </c>
      <c r="C3" s="34"/>
      <c r="D3" s="34"/>
      <c r="E3" s="36" t="s">
        <v>152</v>
      </c>
      <c r="F3" s="36" t="s">
        <v>153</v>
      </c>
      <c r="G3" s="36" t="s">
        <v>152</v>
      </c>
      <c r="H3" s="36" t="s">
        <v>153</v>
      </c>
      <c r="I3" s="36" t="s">
        <v>152</v>
      </c>
      <c r="J3" s="37" t="s">
        <v>153</v>
      </c>
    </row>
    <row r="4" customFormat="false" ht="15" hidden="false" customHeight="true" outlineLevel="0" collapsed="false">
      <c r="A4" s="38" t="s">
        <v>277</v>
      </c>
      <c r="B4" s="39" t="s">
        <v>278</v>
      </c>
      <c r="C4" s="39" t="s">
        <v>279</v>
      </c>
      <c r="D4" s="40" t="s">
        <v>280</v>
      </c>
      <c r="E4" s="39" t="s">
        <v>281</v>
      </c>
      <c r="F4" s="39" t="s">
        <v>281</v>
      </c>
      <c r="G4" s="39" t="s">
        <v>281</v>
      </c>
      <c r="H4" s="39" t="s">
        <v>281</v>
      </c>
      <c r="I4" s="39" t="s">
        <v>281</v>
      </c>
      <c r="J4" s="20" t="s">
        <v>281</v>
      </c>
    </row>
    <row r="5" customFormat="false" ht="15" hidden="false" customHeight="true" outlineLevel="0" collapsed="false">
      <c r="A5" s="4" t="s">
        <v>11</v>
      </c>
      <c r="B5" s="4"/>
      <c r="C5" s="4"/>
      <c r="E5" s="4"/>
      <c r="I5" s="4"/>
    </row>
    <row r="6" customFormat="false" ht="15" hidden="false" customHeight="true" outlineLevel="0" collapsed="false">
      <c r="A6" s="0" t="s">
        <v>282</v>
      </c>
      <c r="B6" s="0" t="str">
        <f aca="false"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s="0" t="str">
        <f aca="false"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s="0" t="s">
        <v>283</v>
      </c>
      <c r="E6" s="0" t="str">
        <f aca="false"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s="0" t="str">
        <f aca="false"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s="0" t="str">
        <f aca="false"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s="0" t="str">
        <f aca="false"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s="0" t="str">
        <f aca="false"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s="0" t="str">
        <f aca="false"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customFormat="false" ht="15" hidden="false" customHeight="true" outlineLevel="0" collapsed="false">
      <c r="A7" s="0" t="s">
        <v>284</v>
      </c>
      <c r="B7" s="0" t="str">
        <f aca="false"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s="0" t="str">
        <f aca="false"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s="0" t="s">
        <v>283</v>
      </c>
      <c r="E7" s="0" t="str">
        <f aca="false"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s="0" t="str">
        <f aca="false"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s="0" t="str">
        <f aca="false"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s="0" t="str">
        <f aca="false"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s="0" t="str">
        <f aca="false"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s="0" t="str">
        <f aca="false"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customFormat="false" ht="15" hidden="false" customHeight="true" outlineLevel="0" collapsed="false">
      <c r="A8" s="0" t="s">
        <v>285</v>
      </c>
      <c r="B8" s="0" t="str">
        <f aca="false"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s="0" t="str">
        <f aca="false"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s="0" t="s">
        <v>283</v>
      </c>
      <c r="E8" s="0" t="str">
        <f aca="false"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s="0" t="str">
        <f aca="false"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s="0" t="str">
        <f aca="false"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s="0" t="str">
        <f aca="false"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s="0" t="str">
        <f aca="false"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s="0" t="str">
        <f aca="false"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1:D1"/>
    <mergeCell ref="E1:H1"/>
    <mergeCell ref="I1:J1"/>
    <mergeCell ref="B2:D2"/>
    <mergeCell ref="E2:F2"/>
    <mergeCell ref="G2:H2"/>
    <mergeCell ref="I2:J2"/>
    <mergeCell ref="B3:D3"/>
  </mergeCells>
  <conditionalFormatting sqref="B6:I8">
    <cfRule type="cellIs" priority="2" operator="equal" aboveAverage="0" equalAverage="0" bottom="0" percent="0" rank="0" text="" dxfId="0">
      <formula>"Missing"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20" activeCellId="0" sqref="J2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3" style="0" width="10.33"/>
    <col collapsed="false" customWidth="true" hidden="false" outlineLevel="0" max="4" min="4" style="0" width="26.67"/>
    <col collapsed="false" customWidth="true" hidden="false" outlineLevel="0" max="5" min="5" style="0" width="52.66"/>
    <col collapsed="false" customWidth="true" hidden="false" outlineLevel="0" max="6" min="6" style="0" width="19"/>
    <col collapsed="false" customWidth="true" hidden="false" outlineLevel="0" max="8" min="8" style="0" width="25.83"/>
    <col collapsed="false" customWidth="true" hidden="false" outlineLevel="0" max="10" min="10" style="0" width="50.5"/>
  </cols>
  <sheetData>
    <row r="1" customFormat="false" ht="15" hidden="false" customHeight="false" outlineLevel="0" collapsed="false">
      <c r="A1" s="4" t="s">
        <v>0</v>
      </c>
      <c r="B1" s="4" t="s">
        <v>4</v>
      </c>
      <c r="C1" s="4" t="s">
        <v>151</v>
      </c>
      <c r="D1" s="4" t="s">
        <v>277</v>
      </c>
      <c r="E1" s="4" t="s">
        <v>11</v>
      </c>
      <c r="F1" s="4" t="s">
        <v>19</v>
      </c>
      <c r="G1" s="4" t="s">
        <v>20</v>
      </c>
      <c r="H1" s="4" t="s">
        <v>22</v>
      </c>
      <c r="I1" s="4" t="s">
        <v>23</v>
      </c>
      <c r="J1" s="4" t="s">
        <v>26</v>
      </c>
    </row>
    <row r="2" customFormat="false" ht="15" hidden="false" customHeight="false" outlineLevel="0" collapsed="false">
      <c r="A2" s="0" t="s">
        <v>2</v>
      </c>
      <c r="B2" s="0" t="s">
        <v>6</v>
      </c>
      <c r="C2" s="0" t="s">
        <v>153</v>
      </c>
      <c r="D2" s="0" t="s">
        <v>281</v>
      </c>
      <c r="E2" s="0" t="s">
        <v>284</v>
      </c>
      <c r="F2" s="0" t="s">
        <v>29</v>
      </c>
      <c r="G2" s="0" t="s">
        <v>30</v>
      </c>
      <c r="H2" s="0" t="s">
        <v>31</v>
      </c>
      <c r="I2" s="41" t="n">
        <v>0.92</v>
      </c>
      <c r="J2" s="0" t="s">
        <v>286</v>
      </c>
    </row>
    <row r="3" customFormat="false" ht="15" hidden="false" customHeight="false" outlineLevel="0" collapsed="false">
      <c r="A3" s="0" t="s">
        <v>2</v>
      </c>
      <c r="B3" s="0" t="s">
        <v>6</v>
      </c>
      <c r="C3" s="0" t="s">
        <v>152</v>
      </c>
      <c r="D3" s="0" t="s">
        <v>281</v>
      </c>
      <c r="E3" s="0" t="s">
        <v>284</v>
      </c>
      <c r="F3" s="0" t="s">
        <v>29</v>
      </c>
      <c r="G3" s="0" t="s">
        <v>30</v>
      </c>
      <c r="H3" s="0" t="s">
        <v>31</v>
      </c>
      <c r="I3" s="41" t="n">
        <v>0.92</v>
      </c>
      <c r="J3" s="0" t="s">
        <v>286</v>
      </c>
    </row>
    <row r="4" customFormat="false" ht="15" hidden="false" customHeight="true" outlineLevel="0" collapsed="false">
      <c r="A4" s="0" t="s">
        <v>2</v>
      </c>
      <c r="B4" s="0" t="s">
        <v>7</v>
      </c>
      <c r="C4" s="0" t="s">
        <v>153</v>
      </c>
      <c r="D4" s="0" t="s">
        <v>281</v>
      </c>
      <c r="E4" s="0" t="s">
        <v>284</v>
      </c>
      <c r="F4" s="0" t="s">
        <v>29</v>
      </c>
      <c r="G4" s="0" t="s">
        <v>30</v>
      </c>
      <c r="H4" s="0" t="s">
        <v>31</v>
      </c>
      <c r="I4" s="41" t="n">
        <v>0.92</v>
      </c>
      <c r="J4" s="0" t="s">
        <v>287</v>
      </c>
    </row>
    <row r="5" customFormat="false" ht="15" hidden="false" customHeight="false" outlineLevel="0" collapsed="false">
      <c r="A5" s="0" t="s">
        <v>2</v>
      </c>
      <c r="B5" s="0" t="s">
        <v>7</v>
      </c>
      <c r="C5" s="0" t="s">
        <v>152</v>
      </c>
      <c r="D5" s="0" t="s">
        <v>281</v>
      </c>
      <c r="E5" s="0" t="s">
        <v>284</v>
      </c>
      <c r="F5" s="0" t="s">
        <v>29</v>
      </c>
      <c r="G5" s="0" t="s">
        <v>30</v>
      </c>
      <c r="H5" s="0" t="s">
        <v>31</v>
      </c>
      <c r="I5" s="41" t="n">
        <v>0.92</v>
      </c>
      <c r="J5" s="0" t="s">
        <v>287</v>
      </c>
    </row>
    <row r="6" customFormat="false" ht="15" hidden="false" customHeight="false" outlineLevel="0" collapsed="false">
      <c r="A6" s="0" t="s">
        <v>1</v>
      </c>
      <c r="B6" s="0" t="s">
        <v>5</v>
      </c>
      <c r="C6" s="0" t="s">
        <v>152</v>
      </c>
      <c r="D6" s="0" t="s">
        <v>278</v>
      </c>
      <c r="E6" s="0" t="s">
        <v>284</v>
      </c>
      <c r="F6" s="0" t="s">
        <v>29</v>
      </c>
      <c r="G6" s="0" t="s">
        <v>30</v>
      </c>
      <c r="H6" s="0" t="s">
        <v>31</v>
      </c>
      <c r="I6" s="41" t="n">
        <v>0.92</v>
      </c>
      <c r="J6" s="0" t="s">
        <v>288</v>
      </c>
    </row>
    <row r="7" customFormat="false" ht="15" hidden="false" customHeight="false" outlineLevel="0" collapsed="false">
      <c r="A7" s="0" t="s">
        <v>1</v>
      </c>
      <c r="B7" s="0" t="s">
        <v>5</v>
      </c>
      <c r="C7" s="0" t="s">
        <v>152</v>
      </c>
      <c r="D7" s="0" t="s">
        <v>279</v>
      </c>
      <c r="E7" s="0" t="s">
        <v>284</v>
      </c>
      <c r="F7" s="0" t="s">
        <v>29</v>
      </c>
      <c r="G7" s="0" t="s">
        <v>30</v>
      </c>
      <c r="H7" s="0" t="s">
        <v>31</v>
      </c>
      <c r="I7" s="41" t="n">
        <v>0.92</v>
      </c>
      <c r="J7" s="0" t="s">
        <v>288</v>
      </c>
    </row>
    <row r="8" customFormat="false" ht="15" hidden="false" customHeight="false" outlineLevel="0" collapsed="false">
      <c r="A8" s="0" t="s">
        <v>1</v>
      </c>
      <c r="B8" s="0" t="s">
        <v>5</v>
      </c>
      <c r="C8" s="0" t="s">
        <v>152</v>
      </c>
      <c r="D8" s="0" t="s">
        <v>280</v>
      </c>
      <c r="E8" s="0" t="s">
        <v>284</v>
      </c>
      <c r="F8" s="0" t="s">
        <v>29</v>
      </c>
      <c r="G8" s="0" t="s">
        <v>30</v>
      </c>
      <c r="H8" s="0" t="s">
        <v>31</v>
      </c>
      <c r="I8" s="41" t="n">
        <v>0.92</v>
      </c>
      <c r="J8" s="0" t="s">
        <v>288</v>
      </c>
    </row>
    <row r="9" customFormat="false" ht="15" hidden="false" customHeight="false" outlineLevel="0" collapsed="false">
      <c r="A9" s="0" t="s">
        <v>3</v>
      </c>
      <c r="B9" s="0" t="s">
        <v>7</v>
      </c>
      <c r="C9" s="0" t="s">
        <v>153</v>
      </c>
      <c r="D9" s="0" t="s">
        <v>281</v>
      </c>
      <c r="E9" s="0" t="s">
        <v>284</v>
      </c>
      <c r="F9" s="0" t="s">
        <v>29</v>
      </c>
      <c r="G9" s="0" t="s">
        <v>30</v>
      </c>
      <c r="H9" s="0" t="s">
        <v>289</v>
      </c>
      <c r="I9" s="41" t="n">
        <v>0.92</v>
      </c>
      <c r="J9" s="0" t="s">
        <v>290</v>
      </c>
    </row>
    <row r="10" customFormat="false" ht="15" hidden="false" customHeight="false" outlineLevel="0" collapsed="false">
      <c r="A10" s="0" t="s">
        <v>3</v>
      </c>
      <c r="B10" s="0" t="s">
        <v>7</v>
      </c>
      <c r="C10" s="0" t="s">
        <v>152</v>
      </c>
      <c r="D10" s="0" t="s">
        <v>281</v>
      </c>
      <c r="E10" s="0" t="s">
        <v>284</v>
      </c>
      <c r="F10" s="0" t="s">
        <v>29</v>
      </c>
      <c r="G10" s="0" t="s">
        <v>30</v>
      </c>
      <c r="H10" s="0" t="s">
        <v>289</v>
      </c>
      <c r="I10" s="41" t="n">
        <v>0.92</v>
      </c>
      <c r="J10" s="0" t="s">
        <v>290</v>
      </c>
    </row>
    <row r="11" customFormat="false" ht="15" hidden="false" customHeight="false" outlineLevel="0" collapsed="false">
      <c r="A11" s="0" t="s">
        <v>2</v>
      </c>
      <c r="B11" s="0" t="s">
        <v>6</v>
      </c>
      <c r="C11" s="0" t="s">
        <v>153</v>
      </c>
      <c r="D11" s="0" t="s">
        <v>281</v>
      </c>
      <c r="E11" s="0" t="s">
        <v>285</v>
      </c>
      <c r="F11" s="0" t="s">
        <v>29</v>
      </c>
      <c r="G11" s="0" t="s">
        <v>30</v>
      </c>
      <c r="H11" s="0" t="s">
        <v>31</v>
      </c>
      <c r="I11" s="41" t="n">
        <v>0.92</v>
      </c>
      <c r="J11" s="0" t="s">
        <v>286</v>
      </c>
    </row>
    <row r="12" customFormat="false" ht="15" hidden="false" customHeight="false" outlineLevel="0" collapsed="false">
      <c r="A12" s="0" t="s">
        <v>2</v>
      </c>
      <c r="B12" s="0" t="s">
        <v>6</v>
      </c>
      <c r="C12" s="0" t="s">
        <v>152</v>
      </c>
      <c r="D12" s="0" t="s">
        <v>281</v>
      </c>
      <c r="E12" s="0" t="s">
        <v>285</v>
      </c>
      <c r="F12" s="0" t="s">
        <v>29</v>
      </c>
      <c r="G12" s="0" t="s">
        <v>30</v>
      </c>
      <c r="H12" s="0" t="s">
        <v>31</v>
      </c>
      <c r="I12" s="41" t="n">
        <v>0.92</v>
      </c>
      <c r="J12" s="0" t="s">
        <v>286</v>
      </c>
    </row>
    <row r="13" customFormat="false" ht="15" hidden="false" customHeight="true" outlineLevel="0" collapsed="false">
      <c r="A13" s="0" t="s">
        <v>2</v>
      </c>
      <c r="B13" s="0" t="s">
        <v>7</v>
      </c>
      <c r="C13" s="0" t="s">
        <v>153</v>
      </c>
      <c r="D13" s="0" t="s">
        <v>281</v>
      </c>
      <c r="E13" s="0" t="s">
        <v>285</v>
      </c>
      <c r="F13" s="0" t="s">
        <v>29</v>
      </c>
      <c r="G13" s="0" t="s">
        <v>30</v>
      </c>
      <c r="H13" s="0" t="s">
        <v>31</v>
      </c>
      <c r="I13" s="41" t="n">
        <v>0.92</v>
      </c>
      <c r="J13" s="0" t="s">
        <v>287</v>
      </c>
    </row>
    <row r="14" customFormat="false" ht="15" hidden="false" customHeight="false" outlineLevel="0" collapsed="false">
      <c r="A14" s="0" t="s">
        <v>2</v>
      </c>
      <c r="B14" s="0" t="s">
        <v>7</v>
      </c>
      <c r="C14" s="0" t="s">
        <v>152</v>
      </c>
      <c r="D14" s="0" t="s">
        <v>281</v>
      </c>
      <c r="E14" s="0" t="s">
        <v>285</v>
      </c>
      <c r="F14" s="0" t="s">
        <v>29</v>
      </c>
      <c r="G14" s="0" t="s">
        <v>30</v>
      </c>
      <c r="H14" s="0" t="s">
        <v>31</v>
      </c>
      <c r="I14" s="41" t="n">
        <v>0.92</v>
      </c>
      <c r="J14" s="0" t="s">
        <v>287</v>
      </c>
    </row>
    <row r="15" customFormat="false" ht="15" hidden="false" customHeight="false" outlineLevel="0" collapsed="false">
      <c r="A15" s="0" t="s">
        <v>1</v>
      </c>
      <c r="B15" s="0" t="s">
        <v>5</v>
      </c>
      <c r="C15" s="0" t="s">
        <v>152</v>
      </c>
      <c r="D15" s="0" t="s">
        <v>278</v>
      </c>
      <c r="E15" s="0" t="s">
        <v>285</v>
      </c>
      <c r="F15" s="0" t="s">
        <v>29</v>
      </c>
      <c r="G15" s="0" t="s">
        <v>30</v>
      </c>
      <c r="H15" s="0" t="s">
        <v>31</v>
      </c>
      <c r="I15" s="41" t="n">
        <v>0.92</v>
      </c>
      <c r="J15" s="0" t="s">
        <v>288</v>
      </c>
    </row>
    <row r="16" customFormat="false" ht="15" hidden="false" customHeight="false" outlineLevel="0" collapsed="false">
      <c r="A16" s="0" t="s">
        <v>1</v>
      </c>
      <c r="B16" s="0" t="s">
        <v>5</v>
      </c>
      <c r="C16" s="0" t="s">
        <v>152</v>
      </c>
      <c r="D16" s="0" t="s">
        <v>279</v>
      </c>
      <c r="E16" s="0" t="s">
        <v>285</v>
      </c>
      <c r="F16" s="0" t="s">
        <v>29</v>
      </c>
      <c r="G16" s="0" t="s">
        <v>30</v>
      </c>
      <c r="H16" s="0" t="s">
        <v>31</v>
      </c>
      <c r="I16" s="41" t="n">
        <v>0.92</v>
      </c>
      <c r="J16" s="0" t="s">
        <v>288</v>
      </c>
    </row>
    <row r="17" customFormat="false" ht="15" hidden="false" customHeight="false" outlineLevel="0" collapsed="false">
      <c r="A17" s="0" t="s">
        <v>1</v>
      </c>
      <c r="B17" s="0" t="s">
        <v>5</v>
      </c>
      <c r="C17" s="0" t="s">
        <v>152</v>
      </c>
      <c r="D17" s="0" t="s">
        <v>280</v>
      </c>
      <c r="E17" s="0" t="s">
        <v>285</v>
      </c>
      <c r="F17" s="0" t="s">
        <v>29</v>
      </c>
      <c r="G17" s="0" t="s">
        <v>30</v>
      </c>
      <c r="H17" s="0" t="s">
        <v>31</v>
      </c>
      <c r="I17" s="41" t="n">
        <v>0.92</v>
      </c>
      <c r="J17" s="0" t="s">
        <v>288</v>
      </c>
    </row>
    <row r="18" customFormat="false" ht="43.5" hidden="false" customHeight="true" outlineLevel="0" collapsed="false">
      <c r="A18" s="0" t="s">
        <v>3</v>
      </c>
      <c r="B18" s="0" t="s">
        <v>7</v>
      </c>
      <c r="C18" s="0" t="s">
        <v>153</v>
      </c>
      <c r="D18" s="0" t="s">
        <v>281</v>
      </c>
      <c r="E18" s="0" t="s">
        <v>285</v>
      </c>
      <c r="F18" s="0" t="s">
        <v>29</v>
      </c>
      <c r="G18" s="0" t="s">
        <v>30</v>
      </c>
      <c r="H18" s="0" t="s">
        <v>289</v>
      </c>
      <c r="I18" s="41" t="n">
        <v>0.92</v>
      </c>
      <c r="J18" s="6" t="s">
        <v>290</v>
      </c>
    </row>
    <row r="19" customFormat="false" ht="43.5" hidden="false" customHeight="true" outlineLevel="0" collapsed="false">
      <c r="A19" s="0" t="s">
        <v>3</v>
      </c>
      <c r="B19" s="0" t="s">
        <v>7</v>
      </c>
      <c r="C19" s="0" t="s">
        <v>152</v>
      </c>
      <c r="D19" s="0" t="s">
        <v>281</v>
      </c>
      <c r="E19" s="0" t="s">
        <v>285</v>
      </c>
      <c r="F19" s="0" t="s">
        <v>29</v>
      </c>
      <c r="G19" s="0" t="s">
        <v>30</v>
      </c>
      <c r="H19" s="0" t="s">
        <v>289</v>
      </c>
      <c r="I19" s="41" t="n">
        <v>0.92</v>
      </c>
      <c r="J19" s="6" t="s">
        <v>290</v>
      </c>
    </row>
    <row r="20" customFormat="false" ht="29.25" hidden="false" customHeight="true" outlineLevel="0" collapsed="false">
      <c r="A20" s="0" t="s">
        <v>2</v>
      </c>
      <c r="B20" s="0" t="s">
        <v>6</v>
      </c>
      <c r="C20" s="0" t="s">
        <v>153</v>
      </c>
      <c r="D20" s="0" t="s">
        <v>281</v>
      </c>
      <c r="E20" s="0" t="s">
        <v>282</v>
      </c>
      <c r="F20" s="0" t="s">
        <v>160</v>
      </c>
      <c r="G20" s="0" t="s">
        <v>161</v>
      </c>
      <c r="H20" s="0" t="s">
        <v>291</v>
      </c>
      <c r="I20" s="0" t="n">
        <v>1320</v>
      </c>
      <c r="J20" s="42" t="s">
        <v>292</v>
      </c>
    </row>
    <row r="21" customFormat="false" ht="29.25" hidden="false" customHeight="true" outlineLevel="0" collapsed="false">
      <c r="A21" s="0" t="s">
        <v>2</v>
      </c>
      <c r="B21" s="0" t="s">
        <v>6</v>
      </c>
      <c r="C21" s="0" t="s">
        <v>152</v>
      </c>
      <c r="D21" s="0" t="s">
        <v>281</v>
      </c>
      <c r="E21" s="0" t="s">
        <v>282</v>
      </c>
      <c r="F21" s="0" t="s">
        <v>160</v>
      </c>
      <c r="G21" s="0" t="s">
        <v>161</v>
      </c>
      <c r="H21" s="0" t="s">
        <v>291</v>
      </c>
      <c r="I21" s="0" t="n">
        <v>24</v>
      </c>
      <c r="J21" s="42" t="s">
        <v>293</v>
      </c>
    </row>
    <row r="22" customFormat="false" ht="15" hidden="false" customHeight="false" outlineLevel="0" collapsed="false">
      <c r="A22" s="0" t="s">
        <v>2</v>
      </c>
      <c r="B22" s="0" t="s">
        <v>7</v>
      </c>
      <c r="C22" s="0" t="s">
        <v>153</v>
      </c>
      <c r="D22" s="0" t="s">
        <v>281</v>
      </c>
      <c r="E22" s="0" t="s">
        <v>282</v>
      </c>
      <c r="F22" s="0" t="s">
        <v>160</v>
      </c>
      <c r="G22" s="0" t="s">
        <v>161</v>
      </c>
      <c r="H22" s="0" t="s">
        <v>294</v>
      </c>
      <c r="I22" s="0" t="n">
        <v>40</v>
      </c>
      <c r="J22" s="43" t="s">
        <v>295</v>
      </c>
    </row>
    <row r="23" customFormat="false" ht="15" hidden="false" customHeight="false" outlineLevel="0" collapsed="false">
      <c r="A23" s="0" t="s">
        <v>2</v>
      </c>
      <c r="B23" s="0" t="s">
        <v>7</v>
      </c>
      <c r="C23" s="0" t="s">
        <v>152</v>
      </c>
      <c r="D23" s="0" t="s">
        <v>281</v>
      </c>
      <c r="E23" s="0" t="s">
        <v>282</v>
      </c>
      <c r="F23" s="0" t="s">
        <v>160</v>
      </c>
      <c r="G23" s="0" t="s">
        <v>161</v>
      </c>
      <c r="H23" s="0" t="s">
        <v>294</v>
      </c>
      <c r="I23" s="0" t="n">
        <v>1.69</v>
      </c>
      <c r="J23" s="43" t="s">
        <v>296</v>
      </c>
    </row>
    <row r="24" customFormat="false" ht="15" hidden="false" customHeight="false" outlineLevel="0" collapsed="false">
      <c r="A24" s="0" t="s">
        <v>1</v>
      </c>
      <c r="B24" s="0" t="s">
        <v>5</v>
      </c>
      <c r="C24" s="0" t="s">
        <v>152</v>
      </c>
      <c r="D24" s="0" t="s">
        <v>278</v>
      </c>
      <c r="E24" s="0" t="s">
        <v>282</v>
      </c>
      <c r="F24" s="0" t="s">
        <v>160</v>
      </c>
      <c r="G24" s="0" t="s">
        <v>161</v>
      </c>
      <c r="H24" s="0" t="s">
        <v>291</v>
      </c>
      <c r="I24" s="0" t="n">
        <v>14.0845070422535</v>
      </c>
      <c r="J24" s="0" t="s">
        <v>297</v>
      </c>
    </row>
    <row r="25" customFormat="false" ht="15" hidden="false" customHeight="true" outlineLevel="0" collapsed="false">
      <c r="A25" s="0" t="s">
        <v>1</v>
      </c>
      <c r="B25" s="0" t="s">
        <v>5</v>
      </c>
      <c r="C25" s="0" t="s">
        <v>152</v>
      </c>
      <c r="D25" s="0" t="s">
        <v>279</v>
      </c>
      <c r="E25" s="0" t="s">
        <v>282</v>
      </c>
      <c r="F25" s="0" t="s">
        <v>160</v>
      </c>
      <c r="G25" s="0" t="s">
        <v>161</v>
      </c>
      <c r="H25" s="44" t="s">
        <v>291</v>
      </c>
      <c r="I25" s="0" t="n">
        <v>56.3380281690141</v>
      </c>
      <c r="J25" s="44" t="s">
        <v>298</v>
      </c>
    </row>
    <row r="26" customFormat="false" ht="15" hidden="false" customHeight="false" outlineLevel="0" collapsed="false">
      <c r="A26" s="0" t="s">
        <v>1</v>
      </c>
      <c r="B26" s="0" t="s">
        <v>5</v>
      </c>
      <c r="C26" s="0" t="s">
        <v>152</v>
      </c>
      <c r="D26" s="0" t="s">
        <v>280</v>
      </c>
      <c r="E26" s="0" t="s">
        <v>282</v>
      </c>
      <c r="F26" s="0" t="s">
        <v>160</v>
      </c>
      <c r="G26" s="0" t="s">
        <v>161</v>
      </c>
      <c r="H26" s="0" t="s">
        <v>299</v>
      </c>
      <c r="I26" s="0" t="n">
        <v>45</v>
      </c>
      <c r="J26" s="0" t="s">
        <v>300</v>
      </c>
    </row>
    <row r="27" customFormat="false" ht="15" hidden="false" customHeight="false" outlineLevel="0" collapsed="false">
      <c r="A27" s="0" t="s">
        <v>3</v>
      </c>
      <c r="B27" s="0" t="s">
        <v>7</v>
      </c>
      <c r="C27" s="0" t="s">
        <v>153</v>
      </c>
      <c r="D27" s="0" t="s">
        <v>281</v>
      </c>
      <c r="E27" s="0" t="s">
        <v>282</v>
      </c>
      <c r="F27" s="0" t="s">
        <v>160</v>
      </c>
      <c r="G27" s="0" t="s">
        <v>161</v>
      </c>
      <c r="H27" s="0" t="s">
        <v>301</v>
      </c>
      <c r="I27" s="0" t="n">
        <v>42.5</v>
      </c>
      <c r="J27" s="0" t="s">
        <v>302</v>
      </c>
    </row>
    <row r="28" customFormat="false" ht="15" hidden="false" customHeight="false" outlineLevel="0" collapsed="false">
      <c r="A28" s="0" t="s">
        <v>3</v>
      </c>
      <c r="B28" s="0" t="s">
        <v>7</v>
      </c>
      <c r="C28" s="0" t="s">
        <v>152</v>
      </c>
      <c r="D28" s="0" t="s">
        <v>281</v>
      </c>
      <c r="E28" s="0" t="s">
        <v>282</v>
      </c>
      <c r="F28" s="0" t="s">
        <v>160</v>
      </c>
      <c r="G28" s="0" t="s">
        <v>161</v>
      </c>
      <c r="H28" s="43" t="s">
        <v>303</v>
      </c>
      <c r="I28" s="0" t="n">
        <v>1.3</v>
      </c>
      <c r="J28" s="43" t="s">
        <v>304</v>
      </c>
    </row>
    <row r="29" customFormat="false" ht="15" hidden="false" customHeight="false" outlineLevel="0" collapsed="false">
      <c r="A29" s="0" t="s">
        <v>2</v>
      </c>
      <c r="B29" s="0" t="s">
        <v>5</v>
      </c>
      <c r="C29" s="0" t="s">
        <v>152</v>
      </c>
      <c r="D29" s="0" t="s">
        <v>278</v>
      </c>
      <c r="E29" s="0" t="s">
        <v>284</v>
      </c>
      <c r="F29" s="0" t="s">
        <v>29</v>
      </c>
      <c r="G29" s="0" t="s">
        <v>30</v>
      </c>
      <c r="H29" s="0" t="s">
        <v>305</v>
      </c>
      <c r="I29" s="0" t="n">
        <v>0.95</v>
      </c>
      <c r="J29" s="0" t="s">
        <v>306</v>
      </c>
    </row>
    <row r="30" customFormat="false" ht="15" hidden="false" customHeight="false" outlineLevel="0" collapsed="false">
      <c r="A30" s="0" t="s">
        <v>2</v>
      </c>
      <c r="B30" s="0" t="s">
        <v>5</v>
      </c>
      <c r="C30" s="0" t="s">
        <v>152</v>
      </c>
      <c r="D30" s="0" t="s">
        <v>278</v>
      </c>
      <c r="E30" s="0" t="s">
        <v>285</v>
      </c>
      <c r="F30" s="0" t="s">
        <v>29</v>
      </c>
      <c r="G30" s="0" t="s">
        <v>30</v>
      </c>
      <c r="H30" s="0" t="s">
        <v>305</v>
      </c>
      <c r="I30" s="0" t="n">
        <v>0.95</v>
      </c>
      <c r="J30" s="0" t="s">
        <v>306</v>
      </c>
    </row>
    <row r="31" customFormat="false" ht="15" hidden="false" customHeight="false" outlineLevel="0" collapsed="false">
      <c r="A31" s="0" t="s">
        <v>2</v>
      </c>
      <c r="B31" s="0" t="s">
        <v>5</v>
      </c>
      <c r="C31" s="0" t="s">
        <v>152</v>
      </c>
      <c r="D31" s="0" t="s">
        <v>278</v>
      </c>
      <c r="E31" s="0" t="s">
        <v>282</v>
      </c>
      <c r="F31" s="0" t="s">
        <v>160</v>
      </c>
      <c r="G31" s="0" t="s">
        <v>161</v>
      </c>
      <c r="H31" s="0" t="s">
        <v>307</v>
      </c>
      <c r="I31" s="0" t="n">
        <v>25.6410256410256</v>
      </c>
      <c r="J31" s="0" t="s">
        <v>308</v>
      </c>
    </row>
    <row r="32" customFormat="false" ht="15" hidden="false" customHeight="false" outlineLevel="0" collapsed="false">
      <c r="A32" s="0" t="s">
        <v>2</v>
      </c>
      <c r="B32" s="0" t="s">
        <v>5</v>
      </c>
      <c r="C32" s="0" t="s">
        <v>152</v>
      </c>
      <c r="D32" s="0" t="s">
        <v>279</v>
      </c>
      <c r="E32" s="0" t="s">
        <v>284</v>
      </c>
      <c r="F32" s="0" t="s">
        <v>29</v>
      </c>
      <c r="G32" s="0" t="s">
        <v>30</v>
      </c>
      <c r="H32" s="0" t="s">
        <v>305</v>
      </c>
      <c r="I32" s="0" t="n">
        <v>0.95</v>
      </c>
      <c r="J32" s="0" t="s">
        <v>306</v>
      </c>
    </row>
    <row r="33" customFormat="false" ht="15" hidden="false" customHeight="false" outlineLevel="0" collapsed="false">
      <c r="A33" s="0" t="s">
        <v>2</v>
      </c>
      <c r="B33" s="0" t="s">
        <v>5</v>
      </c>
      <c r="C33" s="0" t="s">
        <v>152</v>
      </c>
      <c r="D33" s="0" t="s">
        <v>279</v>
      </c>
      <c r="E33" s="0" t="s">
        <v>285</v>
      </c>
      <c r="F33" s="0" t="s">
        <v>29</v>
      </c>
      <c r="G33" s="0" t="s">
        <v>30</v>
      </c>
      <c r="H33" s="0" t="s">
        <v>305</v>
      </c>
      <c r="I33" s="0" t="n">
        <v>0.95</v>
      </c>
      <c r="J33" s="0" t="s">
        <v>306</v>
      </c>
    </row>
    <row r="34" customFormat="false" ht="15" hidden="false" customHeight="false" outlineLevel="0" collapsed="false">
      <c r="A34" s="0" t="s">
        <v>2</v>
      </c>
      <c r="B34" s="0" t="s">
        <v>5</v>
      </c>
      <c r="C34" s="0" t="s">
        <v>152</v>
      </c>
      <c r="D34" s="0" t="s">
        <v>279</v>
      </c>
      <c r="E34" s="0" t="s">
        <v>282</v>
      </c>
      <c r="F34" s="0" t="s">
        <v>160</v>
      </c>
      <c r="G34" s="0" t="s">
        <v>161</v>
      </c>
      <c r="H34" s="0" t="s">
        <v>307</v>
      </c>
      <c r="I34" s="0" t="n">
        <v>102.564102564103</v>
      </c>
      <c r="J34" s="0" t="s">
        <v>309</v>
      </c>
    </row>
    <row r="35" customFormat="false" ht="15" hidden="false" customHeight="true" outlineLevel="0" collapsed="false">
      <c r="A35" s="0" t="s">
        <v>2</v>
      </c>
      <c r="B35" s="0" t="s">
        <v>110</v>
      </c>
      <c r="C35" s="0" t="s">
        <v>153</v>
      </c>
      <c r="D35" s="0" t="s">
        <v>281</v>
      </c>
      <c r="E35" s="0" t="s">
        <v>284</v>
      </c>
      <c r="F35" s="0" t="s">
        <v>29</v>
      </c>
      <c r="G35" s="0" t="s">
        <v>30</v>
      </c>
      <c r="H35" s="0" t="s">
        <v>31</v>
      </c>
      <c r="I35" s="41" t="n">
        <v>0.92</v>
      </c>
      <c r="J35" s="0" t="s">
        <v>310</v>
      </c>
    </row>
    <row r="36" customFormat="false" ht="15" hidden="false" customHeight="true" outlineLevel="0" collapsed="false">
      <c r="A36" s="0" t="s">
        <v>2</v>
      </c>
      <c r="B36" s="0" t="s">
        <v>110</v>
      </c>
      <c r="C36" s="0" t="s">
        <v>153</v>
      </c>
      <c r="D36" s="0" t="s">
        <v>281</v>
      </c>
      <c r="E36" s="0" t="s">
        <v>285</v>
      </c>
      <c r="F36" s="0" t="s">
        <v>29</v>
      </c>
      <c r="G36" s="0" t="s">
        <v>30</v>
      </c>
      <c r="H36" s="0" t="s">
        <v>31</v>
      </c>
      <c r="I36" s="41" t="n">
        <v>0.92</v>
      </c>
      <c r="J36" s="0" t="s">
        <v>310</v>
      </c>
    </row>
    <row r="37" customFormat="false" ht="15" hidden="false" customHeight="false" outlineLevel="0" collapsed="false">
      <c r="A37" s="0" t="s">
        <v>2</v>
      </c>
      <c r="B37" s="0" t="s">
        <v>110</v>
      </c>
      <c r="C37" s="0" t="s">
        <v>153</v>
      </c>
      <c r="D37" s="0" t="s">
        <v>281</v>
      </c>
      <c r="E37" s="0" t="s">
        <v>282</v>
      </c>
      <c r="F37" s="0" t="s">
        <v>160</v>
      </c>
      <c r="G37" s="0" t="s">
        <v>161</v>
      </c>
      <c r="H37" s="0" t="s">
        <v>251</v>
      </c>
      <c r="I37" s="0" t="n">
        <v>40</v>
      </c>
      <c r="J37" s="43" t="s">
        <v>252</v>
      </c>
    </row>
    <row r="38" customFormat="false" ht="15" hidden="false" customHeight="true" outlineLevel="0" collapsed="false">
      <c r="A38" s="0" t="s">
        <v>2</v>
      </c>
      <c r="B38" s="0" t="s">
        <v>110</v>
      </c>
      <c r="C38" s="0" t="s">
        <v>152</v>
      </c>
      <c r="D38" s="0" t="s">
        <v>281</v>
      </c>
      <c r="E38" s="0" t="s">
        <v>284</v>
      </c>
      <c r="F38" s="0" t="s">
        <v>29</v>
      </c>
      <c r="G38" s="0" t="s">
        <v>30</v>
      </c>
      <c r="H38" s="0" t="s">
        <v>31</v>
      </c>
      <c r="I38" s="41" t="n">
        <v>0.92</v>
      </c>
      <c r="J38" s="0" t="s">
        <v>311</v>
      </c>
    </row>
    <row r="39" customFormat="false" ht="15" hidden="false" customHeight="true" outlineLevel="0" collapsed="false">
      <c r="A39" s="0" t="s">
        <v>2</v>
      </c>
      <c r="B39" s="0" t="s">
        <v>110</v>
      </c>
      <c r="C39" s="0" t="s">
        <v>152</v>
      </c>
      <c r="D39" s="0" t="s">
        <v>281</v>
      </c>
      <c r="E39" s="0" t="s">
        <v>285</v>
      </c>
      <c r="F39" s="0" t="s">
        <v>29</v>
      </c>
      <c r="G39" s="0" t="s">
        <v>30</v>
      </c>
      <c r="H39" s="0" t="s">
        <v>31</v>
      </c>
      <c r="I39" s="41" t="n">
        <v>0.92</v>
      </c>
      <c r="J39" s="0" t="s">
        <v>311</v>
      </c>
    </row>
    <row r="40" customFormat="false" ht="15" hidden="false" customHeight="false" outlineLevel="0" collapsed="false">
      <c r="A40" s="0" t="s">
        <v>2</v>
      </c>
      <c r="B40" s="0" t="s">
        <v>110</v>
      </c>
      <c r="C40" s="0" t="s">
        <v>152</v>
      </c>
      <c r="D40" s="0" t="s">
        <v>281</v>
      </c>
      <c r="E40" s="0" t="s">
        <v>282</v>
      </c>
      <c r="F40" s="0" t="s">
        <v>160</v>
      </c>
      <c r="G40" s="0" t="s">
        <v>161</v>
      </c>
      <c r="H40" s="0" t="s">
        <v>312</v>
      </c>
      <c r="I40" s="0" t="n">
        <v>2.6</v>
      </c>
      <c r="J40" s="43" t="s">
        <v>313</v>
      </c>
    </row>
    <row r="41" customFormat="false" ht="15" hidden="false" customHeight="true" outlineLevel="0" collapsed="false">
      <c r="A41" s="0" t="s">
        <v>3</v>
      </c>
      <c r="B41" s="0" t="s">
        <v>110</v>
      </c>
      <c r="C41" s="0" t="s">
        <v>153</v>
      </c>
      <c r="D41" s="0" t="s">
        <v>281</v>
      </c>
      <c r="E41" s="0" t="s">
        <v>284</v>
      </c>
      <c r="F41" s="0" t="s">
        <v>29</v>
      </c>
      <c r="G41" s="0" t="s">
        <v>30</v>
      </c>
      <c r="H41" s="0" t="s">
        <v>145</v>
      </c>
      <c r="I41" s="41" t="n">
        <v>0.95</v>
      </c>
      <c r="J41" s="0" t="s">
        <v>146</v>
      </c>
    </row>
    <row r="42" customFormat="false" ht="15" hidden="false" customHeight="true" outlineLevel="0" collapsed="false">
      <c r="A42" s="0" t="s">
        <v>3</v>
      </c>
      <c r="B42" s="0" t="s">
        <v>110</v>
      </c>
      <c r="C42" s="0" t="s">
        <v>153</v>
      </c>
      <c r="D42" s="0" t="s">
        <v>281</v>
      </c>
      <c r="E42" s="0" t="s">
        <v>285</v>
      </c>
      <c r="F42" s="0" t="s">
        <v>29</v>
      </c>
      <c r="G42" s="0" t="s">
        <v>30</v>
      </c>
      <c r="H42" s="0" t="s">
        <v>145</v>
      </c>
      <c r="I42" s="41" t="n">
        <v>0.95</v>
      </c>
      <c r="J42" s="0" t="s">
        <v>146</v>
      </c>
    </row>
    <row r="43" customFormat="false" ht="15" hidden="false" customHeight="false" outlineLevel="0" collapsed="false">
      <c r="A43" s="0" t="s">
        <v>3</v>
      </c>
      <c r="B43" s="0" t="s">
        <v>110</v>
      </c>
      <c r="C43" s="0" t="s">
        <v>153</v>
      </c>
      <c r="D43" s="0" t="s">
        <v>281</v>
      </c>
      <c r="E43" s="0" t="s">
        <v>282</v>
      </c>
      <c r="F43" s="0" t="s">
        <v>160</v>
      </c>
      <c r="G43" s="0" t="s">
        <v>161</v>
      </c>
      <c r="H43" s="0" t="s">
        <v>145</v>
      </c>
      <c r="I43" s="0" t="n">
        <v>40</v>
      </c>
      <c r="J43" s="43" t="s">
        <v>146</v>
      </c>
    </row>
    <row r="44" customFormat="false" ht="15" hidden="false" customHeight="true" outlineLevel="0" collapsed="false">
      <c r="A44" s="0" t="s">
        <v>3</v>
      </c>
      <c r="B44" s="0" t="s">
        <v>5</v>
      </c>
      <c r="C44" s="0" t="s">
        <v>153</v>
      </c>
      <c r="D44" s="0" t="s">
        <v>281</v>
      </c>
      <c r="E44" s="0" t="s">
        <v>284</v>
      </c>
      <c r="F44" s="0" t="s">
        <v>29</v>
      </c>
      <c r="G44" s="0" t="s">
        <v>30</v>
      </c>
      <c r="H44" s="0" t="s">
        <v>145</v>
      </c>
      <c r="I44" s="41" t="n">
        <v>0.95</v>
      </c>
      <c r="J44" s="0" t="s">
        <v>148</v>
      </c>
    </row>
    <row r="45" customFormat="false" ht="15" hidden="false" customHeight="true" outlineLevel="0" collapsed="false">
      <c r="A45" s="0" t="s">
        <v>3</v>
      </c>
      <c r="B45" s="0" t="s">
        <v>5</v>
      </c>
      <c r="C45" s="0" t="s">
        <v>153</v>
      </c>
      <c r="D45" s="0" t="s">
        <v>281</v>
      </c>
      <c r="E45" s="0" t="s">
        <v>285</v>
      </c>
      <c r="F45" s="0" t="s">
        <v>29</v>
      </c>
      <c r="G45" s="0" t="s">
        <v>30</v>
      </c>
      <c r="H45" s="0" t="s">
        <v>145</v>
      </c>
      <c r="I45" s="41" t="n">
        <v>0.95</v>
      </c>
      <c r="J45" s="0" t="s">
        <v>148</v>
      </c>
    </row>
    <row r="46" customFormat="false" ht="15" hidden="false" customHeight="false" outlineLevel="0" collapsed="false">
      <c r="A46" s="0" t="s">
        <v>3</v>
      </c>
      <c r="B46" s="0" t="s">
        <v>5</v>
      </c>
      <c r="C46" s="0" t="s">
        <v>153</v>
      </c>
      <c r="D46" s="0" t="s">
        <v>281</v>
      </c>
      <c r="E46" s="0" t="s">
        <v>282</v>
      </c>
      <c r="F46" s="0" t="s">
        <v>160</v>
      </c>
      <c r="G46" s="0" t="s">
        <v>161</v>
      </c>
      <c r="H46" s="0" t="s">
        <v>145</v>
      </c>
      <c r="I46" s="0" t="n">
        <v>40</v>
      </c>
      <c r="J46" s="43" t="s">
        <v>148</v>
      </c>
    </row>
    <row r="47" customFormat="false" ht="15" hidden="false" customHeight="true" outlineLevel="0" collapsed="false">
      <c r="A47" s="0" t="s">
        <v>1</v>
      </c>
      <c r="B47" s="0" t="s">
        <v>110</v>
      </c>
      <c r="C47" s="0" t="s">
        <v>152</v>
      </c>
      <c r="D47" s="0" t="s">
        <v>281</v>
      </c>
      <c r="E47" s="0" t="s">
        <v>284</v>
      </c>
      <c r="F47" s="0" t="s">
        <v>29</v>
      </c>
      <c r="G47" s="0" t="s">
        <v>30</v>
      </c>
      <c r="H47" s="0" t="s">
        <v>149</v>
      </c>
      <c r="I47" s="41" t="n">
        <v>0.95</v>
      </c>
      <c r="J47" s="0" t="s">
        <v>185</v>
      </c>
    </row>
    <row r="48" customFormat="false" ht="15" hidden="false" customHeight="true" outlineLevel="0" collapsed="false">
      <c r="A48" s="0" t="s">
        <v>1</v>
      </c>
      <c r="B48" s="0" t="s">
        <v>110</v>
      </c>
      <c r="C48" s="0" t="s">
        <v>152</v>
      </c>
      <c r="D48" s="0" t="s">
        <v>281</v>
      </c>
      <c r="E48" s="0" t="s">
        <v>285</v>
      </c>
      <c r="F48" s="0" t="s">
        <v>29</v>
      </c>
      <c r="G48" s="0" t="s">
        <v>30</v>
      </c>
      <c r="H48" s="0" t="s">
        <v>149</v>
      </c>
      <c r="I48" s="41" t="n">
        <v>0.95</v>
      </c>
      <c r="J48" s="0" t="s">
        <v>185</v>
      </c>
    </row>
    <row r="49" customFormat="false" ht="15" hidden="false" customHeight="false" outlineLevel="0" collapsed="false">
      <c r="A49" s="0" t="s">
        <v>1</v>
      </c>
      <c r="B49" s="0" t="s">
        <v>110</v>
      </c>
      <c r="C49" s="0" t="s">
        <v>152</v>
      </c>
      <c r="D49" s="0" t="s">
        <v>281</v>
      </c>
      <c r="E49" s="0" t="s">
        <v>282</v>
      </c>
      <c r="F49" s="0" t="s">
        <v>160</v>
      </c>
      <c r="G49" s="0" t="s">
        <v>161</v>
      </c>
      <c r="H49" s="0" t="s">
        <v>149</v>
      </c>
      <c r="I49" s="0" t="n">
        <v>1.69</v>
      </c>
      <c r="J49" s="43" t="s">
        <v>185</v>
      </c>
    </row>
    <row r="50" customFormat="false" ht="15" hidden="false" customHeight="true" outlineLevel="0" collapsed="false">
      <c r="A50" s="0" t="s">
        <v>3</v>
      </c>
      <c r="B50" s="0" t="s">
        <v>110</v>
      </c>
      <c r="C50" s="0" t="s">
        <v>152</v>
      </c>
      <c r="D50" s="0" t="s">
        <v>281</v>
      </c>
      <c r="E50" s="0" t="s">
        <v>284</v>
      </c>
      <c r="F50" s="0" t="s">
        <v>29</v>
      </c>
      <c r="G50" s="0" t="s">
        <v>30</v>
      </c>
      <c r="H50" s="0" t="s">
        <v>149</v>
      </c>
      <c r="I50" s="41" t="n">
        <v>0.95</v>
      </c>
      <c r="J50" s="0" t="s">
        <v>187</v>
      </c>
    </row>
    <row r="51" customFormat="false" ht="15" hidden="false" customHeight="true" outlineLevel="0" collapsed="false">
      <c r="A51" s="0" t="s">
        <v>3</v>
      </c>
      <c r="B51" s="0" t="s">
        <v>110</v>
      </c>
      <c r="C51" s="0" t="s">
        <v>152</v>
      </c>
      <c r="D51" s="0" t="s">
        <v>281</v>
      </c>
      <c r="E51" s="0" t="s">
        <v>285</v>
      </c>
      <c r="F51" s="0" t="s">
        <v>29</v>
      </c>
      <c r="G51" s="0" t="s">
        <v>30</v>
      </c>
      <c r="H51" s="0" t="s">
        <v>149</v>
      </c>
      <c r="I51" s="41" t="n">
        <v>0.95</v>
      </c>
      <c r="J51" s="0" t="s">
        <v>187</v>
      </c>
    </row>
    <row r="52" customFormat="false" ht="15" hidden="false" customHeight="false" outlineLevel="0" collapsed="false">
      <c r="A52" s="0" t="s">
        <v>3</v>
      </c>
      <c r="B52" s="0" t="s">
        <v>110</v>
      </c>
      <c r="C52" s="0" t="s">
        <v>152</v>
      </c>
      <c r="D52" s="0" t="s">
        <v>281</v>
      </c>
      <c r="E52" s="0" t="s">
        <v>282</v>
      </c>
      <c r="F52" s="0" t="s">
        <v>160</v>
      </c>
      <c r="G52" s="0" t="s">
        <v>161</v>
      </c>
      <c r="H52" s="0" t="s">
        <v>149</v>
      </c>
      <c r="I52" s="0" t="n">
        <v>1.69</v>
      </c>
      <c r="J52" s="43" t="s">
        <v>187</v>
      </c>
    </row>
  </sheetData>
  <dataValidations count="4">
    <dataValidation allowBlank="true" errorStyle="stop" operator="between" showDropDown="false" showErrorMessage="true" showInputMessage="true" sqref="A1:B1" type="none">
      <formula1>0</formula1>
      <formula2>0</formula2>
    </dataValidation>
    <dataValidation allowBlank="true" errorStyle="stop" operator="between" showDropDown="false" showErrorMessage="true" showInputMessage="true" sqref="A2:A1052" type="list">
      <formula1>"Nigeria,Ethiopia,India"</formula1>
      <formula2>0</formula2>
    </dataValidation>
    <dataValidation allowBlank="true" errorStyle="stop" operator="between" showDropDown="false" showErrorMessage="true" showInputMessage="true" sqref="C2:C1052" type="list">
      <formula1>"Iron,Folate"</formula1>
      <formula2>0</formula2>
    </dataValidation>
    <dataValidation allowBlank="true" errorStyle="stop" operator="between" showDropDown="false" showErrorMessage="true" showInputMessage="true" sqref="B2:B1052" type="list">
      <formula1>"Bouillon,Salt,Rice"</formula1>
      <formula2>0</formula2>
    </dataValidation>
  </dataValidations>
  <hyperlinks>
    <hyperlink ref="J20" r:id="rId1" display="15% Nigeria-specific NRV per 2.5 grams; https://www.wolframalpha.com/input?i=15%25+of+22mg+per+2.5+grams+in+mcg%2Fg"/>
    <hyperlink ref="J21" r:id="rId2" display="15% Codex (60mcg) per 2.5 grams; https://www.wolframalpha.com/input?i=15%25+of+400mcg+per+2.5+grams+in+mcg%2Fg"/>
    <hyperlink ref="H25" r:id="rId3" display="Andy Garcia email 7/26"/>
    <hyperlink ref="J25" r:id="rId4" display="100% Codex (400mcg) per 7.1 gram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83203125" defaultRowHeight="15" customHeight="false" zeroHeight="false" outlineLevelRow="0" outlineLevelCol="0"/>
  <cols>
    <col collapsed="false" customWidth="true" hidden="false" outlineLevel="0" max="2" min="2" style="0" width="40.5"/>
    <col collapsed="false" customWidth="true" hidden="false" outlineLevel="0" max="5" min="5" style="0" width="10.5"/>
    <col collapsed="false" customWidth="true" hidden="false" outlineLevel="0" max="6" min="6" style="0" width="14.17"/>
  </cols>
  <sheetData>
    <row r="1" customFormat="false" ht="15" hidden="false" customHeight="false" outlineLevel="0" collapsed="false">
      <c r="A1" s="4" t="s">
        <v>314</v>
      </c>
      <c r="B1" s="4" t="s">
        <v>315</v>
      </c>
      <c r="C1" s="4" t="s">
        <v>316</v>
      </c>
      <c r="D1" s="4" t="s">
        <v>317</v>
      </c>
      <c r="E1" s="4" t="s">
        <v>21</v>
      </c>
      <c r="F1" s="4" t="s">
        <v>318</v>
      </c>
    </row>
    <row r="2" customFormat="false" ht="43.5" hidden="false" customHeight="true" outlineLevel="0" collapsed="false">
      <c r="A2" s="0" t="s">
        <v>54</v>
      </c>
      <c r="B2" s="6" t="s">
        <v>319</v>
      </c>
      <c r="C2" s="7" t="s">
        <v>56</v>
      </c>
      <c r="D2" s="0" t="s">
        <v>320</v>
      </c>
      <c r="E2" s="0" t="n">
        <v>2021</v>
      </c>
    </row>
    <row r="3" customFormat="false" ht="15" hidden="false" customHeight="false" outlineLevel="0" collapsed="false">
      <c r="A3" s="0" t="s">
        <v>321</v>
      </c>
      <c r="B3" s="0" t="s">
        <v>322</v>
      </c>
    </row>
    <row r="4" customFormat="false" ht="15" hidden="false" customHeight="false" outlineLevel="0" collapsed="false">
      <c r="A4" s="0" t="s">
        <v>323</v>
      </c>
      <c r="B4" s="0" t="s">
        <v>324</v>
      </c>
      <c r="C4" s="7" t="s">
        <v>325</v>
      </c>
      <c r="D4" s="0" t="s">
        <v>326</v>
      </c>
      <c r="E4" s="45" t="s">
        <v>327</v>
      </c>
      <c r="F4" s="0" t="s">
        <v>328</v>
      </c>
    </row>
  </sheetData>
  <hyperlinks>
    <hyperlink ref="C2" r:id="rId1" display="https://www.unicef.org/nigeria/media/9271/file/%20National%20Food%20Consumption%20and%20Micronutrient%20Survey%20(2021).pdf"/>
    <hyperlink ref="C4" r:id="rId2" display="https://www.dhsprogram.com/pubs/pdf/DHSG4/Recode7_DHS_10Sep2018_DHSG4.pd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2024-07-16T18:29:07Z</dcterms:created>
  <dc:creator>openpyxl</dc:creator>
  <dc:description/>
  <dc:language>en-US</dc:language>
  <cp:lastModifiedBy>Nathaniel Blair-Stahn</cp:lastModifiedBy>
  <dcterms:modified xsi:type="dcterms:W3CDTF">2026-10-05T08:14:07Z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