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/>
      </c>
      <c r="C5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/>
      </c>
      <c r="D5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/>
      </c>
      <c r="E5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/>
      </c>
      <c r="F5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/>
      </c>
      <c r="G5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/>
      </c>
      <c r="C6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/>
      </c>
      <c r="D6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/>
      </c>
      <c r="E6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/>
      </c>
      <c r="F6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/>
      </c>
      <c r="G6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/>
      </c>
      <c r="C7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/>
      </c>
      <c r="D7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/>
      </c>
      <c r="E7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/>
      </c>
      <c r="F7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/>
      </c>
      <c r="G7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/>
      </c>
      <c r="C8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/>
      </c>
      <c r="D8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/>
      </c>
      <c r="E8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/>
      </c>
      <c r="F8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/>
      </c>
      <c r="G8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/>
      </c>
      <c r="C9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/>
      </c>
      <c r="D9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/>
      </c>
      <c r="E9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/>
      </c>
      <c r="F9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/>
      </c>
      <c r="G9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/>
      </c>
      <c r="H9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/>
      </c>
      <c r="I6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/>
      </c>
      <c r="I7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/>
      </c>
      <c r="O7" t="inlineStr">
        <is>
          <t>N/A</t>
        </is>
      </c>
      <c r="P7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/>
      </c>
      <c r="I8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/>
      </c>
      <c r="O8" t="inlineStr">
        <is>
          <t>N/A</t>
        </is>
      </c>
      <c r="P8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>
        <f>IF(COUNTIFS('Country Extraction'!$A$2:$A$980, B$1,  'Country Extraction'!$B$2:$B$980, "All",  'Country Extraction'!$C$2:$C$980, $A5) = 0, "Missing", "Complete")</f>
        <v/>
      </c>
      <c r="C5">
        <f>IF(COUNTIFS('Country Extraction'!$A$1:$A$995, D$1, 'Country Extraction'!$B$1:$B$995, "&lt;&gt;All", 'Country Extraction'!$C$1:$C$995, $A5, 'Country Extraction'!$H$1:$H$995, "&lt;&gt;") &lt; 5, "Missing", "Complete")</f>
        <v/>
      </c>
      <c r="D5">
        <f>IF(COUNTIFS('Country Extraction'!$A$2:$A$980, D$1,  'Country Extraction'!$B$2:$B$980, "All",  'Country Extraction'!$C$2:$C$980, $A5) = 0, "Missing", "Complete")</f>
        <v/>
      </c>
      <c r="E5">
        <f>IF(COUNTIFS('Country Extraction'!$A$1:$A$995, F$1, 'Country Extraction'!$B$1:$B$995, "&lt;&gt;All", 'Country Extraction'!$C$1:$C$995, $A5, 'Country Extraction'!$H$1:$H$995, "&lt;&gt;") &lt; 5, "Missing", "Complete")</f>
        <v/>
      </c>
      <c r="F5">
        <f>IF(COUNTIFS('Country Extraction'!$A$2:$A$980, F$1,  'Country Extraction'!$B$2:$B$980, "All",  'Country Extraction'!$C$2:$C$980, $A5) = 0, "Missing", "Complete")</f>
        <v/>
      </c>
      <c r="G5">
        <f>IF(COUNTIFS('Country Extraction'!$A$1:$A$995, H$1, 'Country Extraction'!$B$1:$B$995, "&lt;&gt;All", 'Country Extraction'!$C$1:$C$995, $A5, 'Country Extraction'!$H$1:$H$995, "&lt;&gt;") &lt; 5, "Missing", "Complete")</f>
        <v/>
      </c>
    </row>
    <row r="6">
      <c r="A6" t="inlineStr">
        <is>
          <t>RBC folate levels at baseline</t>
        </is>
      </c>
      <c r="B6">
        <f>IF(COUNTIFS('Country Extraction'!$A$2:$A$980, B$1,  'Country Extraction'!$B$2:$B$980, "All",  'Country Extraction'!$C$2:$C$980, $A6) = 0, "Missing", "Complete")</f>
        <v/>
      </c>
      <c r="C6">
        <f>IF(COUNTIFS('Country Extraction'!$A$1:$A$995, D$1, 'Country Extraction'!$B$1:$B$995, "&lt;&gt;All", 'Country Extraction'!$C$1:$C$995, $A6, 'Country Extraction'!$H$1:$H$995, "&lt;&gt;") &lt; 5, "Missing", "Complete")</f>
        <v/>
      </c>
      <c r="D6">
        <f>IF(COUNTIFS('Country Extraction'!$A$2:$A$980, D$1,  'Country Extraction'!$B$2:$B$980, "All",  'Country Extraction'!$C$2:$C$980, $A6) = 0, "Missing", "Complete")</f>
        <v/>
      </c>
      <c r="E6">
        <f>IF(COUNTIFS('Country Extraction'!$A$1:$A$995, F$1, 'Country Extraction'!$B$1:$B$995, "&lt;&gt;All", 'Country Extraction'!$C$1:$C$995, $A6, 'Country Extraction'!$H$1:$H$995, "&lt;&gt;") &lt; 5, "Missing", "Complete")</f>
        <v/>
      </c>
      <c r="F6">
        <f>IF(COUNTIFS('Country Extraction'!$A$2:$A$980, F$1,  'Country Extraction'!$B$2:$B$980, "All",  'Country Extraction'!$C$2:$C$980, $A6) = 0, "Missing", "Complete")</f>
        <v/>
      </c>
      <c r="G6">
        <f>IF(COUNTIFS('Country Extraction'!$A$1:$A$995, H$1, 'Country Extraction'!$B$1:$B$995, "&lt;&gt;All", 'Country Extraction'!$C$1:$C$995, $A6, 'Country Extraction'!$H$1:$H$995, "&lt;&gt;") &lt; 5, "Missing", "Complete")</f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>
        <f>IF(COUNTIFS('Country Extraction'!$A$1:$A$995, F$1, 'Country Extraction'!$B$1:$B$995, "&lt;&gt;All", 'Country Extraction'!$C$1:$C$995, $A10, 'Country Extraction'!$H$1:$H$995, "&lt;&gt;") &lt; 5, "Missing", "Complete")</f>
        <v/>
      </c>
      <c r="F10" t="inlineStr">
        <is>
          <t>GBD</t>
        </is>
      </c>
      <c r="G10">
        <f>IF(COUNTIFS('Country Extraction'!$A$1:$A$995, H$1, 'Country Extraction'!$B$1:$B$995, "&lt;&gt;All", 'Country Extraction'!$C$1:$C$995, $A10, 'Country Extraction'!$H$1:$H$995, "&lt;&gt;") &lt; 5, "Missing", "Complete")</f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>
        <f>IF(COUNTIFS('Country Extraction'!$A$1:$A$995, F$1, 'Country Extraction'!$B$1:$B$995, "&lt;&gt;All", 'Country Extraction'!$C$1:$C$995, $A11, 'Country Extraction'!$H$1:$H$995, "&lt;&gt;") &lt; 5, "Missing", "Complete")</f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>
        <f>IF(COUNTIFS('Country Extraction'!$A$1:$A$995, D$1, 'Country Extraction'!$B$1:$B$995, "&lt;&gt;All", 'Country Extraction'!$C$1:$C$995, $A15, 'Country Extraction'!$H$1:$H$995, "&lt;&gt;") &lt; 5, "Missing", "Complete")</f>
        <v/>
      </c>
      <c r="D15" t="inlineStr">
        <is>
          <t>GBD</t>
        </is>
      </c>
      <c r="E15">
        <f>IF(COUNTIFS('Country Extraction'!$A$1:$A$995, F$1, 'Country Extraction'!$B$1:$B$995, "&lt;&gt;All", 'Country Extraction'!$C$1:$C$995, $A15, 'Country Extraction'!$H$1:$H$995, "&lt;&gt;") &lt; 5, "Missing", "Complete")</f>
        <v/>
      </c>
      <c r="F15" t="inlineStr">
        <is>
          <t>GBD</t>
        </is>
      </c>
      <c r="G15">
        <f>IF(COUNTIFS('Country Extraction'!$A$1:$A$995, H$1, 'Country Extraction'!$B$1:$B$995, "&lt;&gt;All", 'Country Extraction'!$C$1:$C$995, $A15, 'Country Extraction'!$H$1:$H$995, "&lt;&gt;") &lt; 5, "Missing", "Complete")</f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>
        <f>IF(COUNTIFS('Vehicle Extraction'!$A$2:$A$904, C$1,  'Vehicle Extraction'!$B$2:$B$904, $A3) = 0, "Missing", "Complete")</f>
        <v/>
      </c>
      <c r="D3">
        <f>IF(COUNTIFS('Vehicle Extraction'!$A$2:$A$904, D$1,  'Vehicle Extraction'!$B$2:$B$904, $A3) = 0, "Missing", "Complete")</f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>
        <f>IF(COUNTIFS('Vehicle Extraction'!$A$2:$A$904, C$1,  'Vehicle Extraction'!$B$2:$B$904, $A4) = 0, "Missing", "Complete")</f>
        <v/>
      </c>
      <c r="D4">
        <f>IF(COUNTIFS('Vehicle Extraction'!$A$2:$A$904, D$1,  'Vehicle Extraction'!$B$2:$B$904, $A4) = 0, "Missing", "Complete")</f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/>
      </c>
      <c r="C6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/>
      </c>
      <c r="D6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/>
      </c>
      <c r="E6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/>
      </c>
      <c r="F6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/>
      </c>
      <c r="G6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/>
      </c>
      <c r="H6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/>
      </c>
      <c r="I6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/>
      </c>
    </row>
    <row r="7" ht="15" customHeight="1">
      <c r="A7" t="inlineStr">
        <is>
          <t>Intervention coverage % of fortifiable</t>
        </is>
      </c>
      <c r="B7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/>
      </c>
      <c r="C7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/>
      </c>
      <c r="D7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/>
      </c>
      <c r="E7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/>
      </c>
      <c r="F7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/>
      </c>
      <c r="G7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/>
      </c>
      <c r="H7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/>
      </c>
      <c r="I7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/>
      </c>
    </row>
    <row r="8" ht="15" customHeight="1">
      <c r="A8" t="inlineStr">
        <is>
          <t>Intervention effective % of fortified</t>
        </is>
      </c>
      <c r="B8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/>
      </c>
      <c r="C8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/>
      </c>
      <c r="D8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/>
      </c>
      <c r="E8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/>
      </c>
      <c r="F8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/>
      </c>
      <c r="G8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/>
      </c>
      <c r="H8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/>
      </c>
      <c r="I8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Jonathan Gorstein, 8/15</t>
        </is>
      </c>
      <c r="I10" s="7" t="n">
        <v>0.9</v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Jonathan Gorstein, 8/15</t>
        </is>
      </c>
      <c r="I11" s="7" t="n">
        <v>0.9</v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Jonathan Gorstein, 8/30</t>
        </is>
      </c>
      <c r="I12" s="7" t="n">
        <v>0.9</v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Jonathan Gorstein, 8/30</t>
        </is>
      </c>
      <c r="I13" s="7" t="n">
        <v>0.9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Jonathan Gorstein, 8/15</t>
        </is>
      </c>
      <c r="I14" s="7" t="n">
        <v>0.9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Jonathan Gorstein, 8/15</t>
        </is>
      </c>
      <c r="I15" s="7" t="n">
        <v>0.9</v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Andy Garcia email 7/26</t>
        </is>
      </c>
      <c r="I16" s="7" t="n">
        <v>0.8</v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Andy Garcia email 7/26</t>
        </is>
      </c>
      <c r="I17" s="7" t="n">
        <v>0.8</v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2026-08-28T21:36:54Z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