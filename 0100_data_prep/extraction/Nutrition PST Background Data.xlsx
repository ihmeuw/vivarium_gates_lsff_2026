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8.xml" ContentType="application/vnd.openxmlformats-officedocument.spreadsheetml.comments+xml"/>
  <Override PartName="/xl/theme/theme1.xml" ContentType="application/vnd.openxmlformats-officedocument.theme+xml"/>
  <Override PartName="/xl/comments6.xml" ContentType="application/vnd.openxmlformats-officedocument.spreadsheetml.comments+xml"/>
  <Override PartName="/xl/styles.xml" ContentType="application/vnd.openxmlformats-officedocument.spreadsheetml.styles+xml"/>
  <Override PartName="/xl/comments5.xml" ContentType="application/vnd.openxmlformats-officedocument.spreadsheetml.comments+xml"/>
  <Override PartName="/xl/comments13.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drawings/vmlDrawing12.vml" ContentType="application/vnd.openxmlformats-officedocument.vmlDrawing"/>
  <Override PartName="/xl/drawings/vmlDrawing13.vml" ContentType="application/vnd.openxmlformats-officedocument.vmlDrawing"/>
  <Override PartName="/xl/sharedStrings.xml" ContentType="application/vnd.openxmlformats-officedocument.spreadsheetml.sharedStrings+xml"/>
  <Override PartName="/xl/comments10.xml" ContentType="application/vnd.openxmlformats-officedocument.spreadsheetml.comments+xml"/>
  <Override PartName="/xl/workbook.xml" ContentType="application/vnd.openxmlformats-officedocument.spreadsheetml.sheet.main+xml"/>
  <Override PartName="/xl/comments7.xml" ContentType="application/vnd.openxmlformats-officedocument.spreadsheetml.comments+xml"/>
  <Override PartName="/xl/comments9.xml" ContentType="application/vnd.openxmlformats-officedocument.spreadsheetml.comments+xml"/>
  <Override PartName="/xl/worksheets/_rels/sheet1.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comments1.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2.xml" ContentType="application/vnd.openxmlformats-officedocument.spreadsheetml.comments+xml"/>
  <Override PartName="/xl/comments4.xml" ContentType="application/vnd.openxmlformats-officedocument.spreadsheetml.comments+xml"/>
  <Override PartName="/xl/comments1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Burden x Vehicle Matrix" sheetId="1" state="visible" r:id="rId3"/>
    <sheet name="Definitions" sheetId="2" state="visible" r:id="rId4"/>
    <sheet name="Sources" sheetId="3" state="visible" r:id="rId5"/>
    <sheet name="Ethiopia (stratified)" sheetId="4" state="visible" r:id="rId6"/>
    <sheet name="India (stratified)" sheetId="5" state="visible" r:id="rId7"/>
    <sheet name="Kenya (stratified)" sheetId="6" state="visible" r:id="rId8"/>
    <sheet name="Nigeria (stratified)" sheetId="7" state="visible" r:id="rId9"/>
    <sheet name="Bangladesh (stratified)" sheetId="8" state="visible" r:id="rId10"/>
    <sheet name="Indonesia (stratified)" sheetId="9" state="visible" r:id="rId11"/>
    <sheet name="Pakistan (stratified)" sheetId="10" state="visible" r:id="rId12"/>
    <sheet name="Tanzania (stratified)" sheetId="11" state="visible" r:id="rId13"/>
    <sheet name="Coverage Over Time" sheetId="12" state="visible" r:id="rId14"/>
    <sheet name="Reach over Time" sheetId="13" state="visible" r:id="rId15"/>
    <sheet name="DFS Bouillon Standards" sheetId="14" state="visible" r:id="rId1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G6" authorId="0">
      <text>
        <r>
          <rPr>
            <sz val="10"/>
            <rFont val="Arial"/>
            <family val="2"/>
          </rPr>
          <t xml:space="preserve">WFP-MIMI (HungerMap). Passarelli 2024: 27.4%</t>
        </r>
      </text>
    </comment>
    <comment ref="G7" authorId="0">
      <text>
        <r>
          <rPr>
            <sz val="10"/>
            <rFont val="Arial"/>
            <family val="2"/>
          </rPr>
          <t xml:space="preserve">WFP-MIMI (HungerMap). Passarelli 2024: 77.3%
The WFP-MIMI is from 2022-2023 data. We will be updating with 2023-2024 data from ISI once it arrives week of 9/28/26.</t>
        </r>
      </text>
    </comment>
    <comment ref="G8" authorId="0">
      <text>
        <r>
          <rPr>
            <sz val="10"/>
            <rFont val="Arial"/>
            <family val="2"/>
          </rPr>
          <t xml:space="preserve">Passarelli et al. 2024 (WFP-MIMI not available on HungerMap for this country)</t>
        </r>
      </text>
    </comment>
    <comment ref="G9" authorId="0">
      <text>
        <r>
          <rPr>
            <sz val="10"/>
            <rFont val="Arial"/>
            <family val="2"/>
          </rPr>
          <t xml:space="preserve">WFP-MIMI (HungerMap). Passarelli 2024: 0.2%</t>
        </r>
      </text>
    </comment>
    <comment ref="G11" authorId="0">
      <text>
        <r>
          <rPr>
            <sz val="10"/>
            <rFont val="Arial"/>
            <family val="2"/>
          </rPr>
          <t xml:space="preserve">WFP-MIMI (HungerMap). Passarelli 2024: 81.5%</t>
        </r>
      </text>
    </comment>
    <comment ref="G12" authorId="0">
      <text>
        <r>
          <rPr>
            <sz val="10"/>
            <rFont val="Arial"/>
            <family val="2"/>
          </rPr>
          <t xml:space="preserve">Passarelli et al. 2024 (WFP-MIMI not available on HungerMap for this country)</t>
        </r>
      </text>
    </comment>
    <comment ref="G13" authorId="0">
      <text>
        <r>
          <rPr>
            <sz val="10"/>
            <rFont val="Arial"/>
            <family val="2"/>
          </rPr>
          <t xml:space="preserve">Passarelli et al. 2024 (WFP-MIMI not available on HungerMap for this country)</t>
        </r>
      </text>
    </comment>
    <comment ref="G14" authorId="0">
      <text>
        <r>
          <rPr>
            <sz val="10"/>
            <rFont val="Arial"/>
            <family val="2"/>
          </rPr>
          <t xml:space="preserve">Jonathan Gorstein:
WFP-MIMI</t>
        </r>
      </text>
    </comment>
    <comment ref="H6" authorId="0">
      <text>
        <r>
          <rPr>
            <sz val="10"/>
            <rFont val="Arial"/>
            <family val="2"/>
          </rPr>
          <t xml:space="preserve">WFP-MIMI (HungerMap). Passarelli 2024: 2.2%</t>
        </r>
      </text>
    </comment>
    <comment ref="H7" authorId="0">
      <text>
        <r>
          <rPr>
            <sz val="10"/>
            <rFont val="Arial"/>
            <family val="2"/>
          </rPr>
          <t xml:space="preserve">ISI data from Dashboard - weighted national average</t>
        </r>
      </text>
    </comment>
    <comment ref="H8" authorId="0">
      <text>
        <r>
          <rPr>
            <sz val="10"/>
            <rFont val="Arial"/>
            <family val="2"/>
          </rPr>
          <t xml:space="preserve">Passarelli et al. 2024 (WFP-MIMI not available on HungerMap for this country)</t>
        </r>
      </text>
    </comment>
    <comment ref="H9" authorId="0">
      <text>
        <r>
          <rPr>
            <sz val="10"/>
            <rFont val="Arial"/>
            <family val="2"/>
          </rPr>
          <t xml:space="preserve">WFP-MIMI (HungerMap). Passarelli 2024: 77.7%</t>
        </r>
      </text>
    </comment>
    <comment ref="H11" authorId="0">
      <text>
        <r>
          <rPr>
            <sz val="10"/>
            <rFont val="Arial"/>
            <family val="2"/>
          </rPr>
          <t xml:space="preserve">WFP-MIMI (HungerMap). Passarelli 2024: 84.0%</t>
        </r>
      </text>
    </comment>
    <comment ref="H12" authorId="0">
      <text>
        <r>
          <rPr>
            <sz val="10"/>
            <rFont val="Arial"/>
            <family val="2"/>
          </rPr>
          <t xml:space="preserve">Passarelli et al. 2024 (WFP-MIMI not available on HungerMap for this country)</t>
        </r>
      </text>
    </comment>
    <comment ref="H13" authorId="0">
      <text>
        <r>
          <rPr>
            <sz val="10"/>
            <rFont val="Arial"/>
            <family val="2"/>
          </rPr>
          <t xml:space="preserve">Passarelli et al. 2024 (WFP-MIMI not available on HungerMap for this country)</t>
        </r>
      </text>
    </comment>
    <comment ref="H14" authorId="0">
      <text>
        <r>
          <rPr>
            <sz val="10"/>
            <rFont val="Arial"/>
            <family val="2"/>
          </rPr>
          <t xml:space="preserve">Jonathan Gorstein:
WFP-MIMI</t>
        </r>
      </text>
    </comment>
    <comment ref="I6" authorId="0">
      <text>
        <r>
          <rPr>
            <sz val="10"/>
            <rFont val="Arial"/>
            <family val="2"/>
          </rPr>
          <t xml:space="preserve">WFP-MIMI (HungerMap). Passarelli 2024: 42.7%</t>
        </r>
      </text>
    </comment>
    <comment ref="I7" authorId="0">
      <text>
        <r>
          <rPr>
            <sz val="10"/>
            <rFont val="Arial"/>
            <family val="2"/>
          </rPr>
          <t xml:space="preserve">Jonathan Gorstein:
ISI data from Dashboard - weighted national average</t>
        </r>
      </text>
    </comment>
    <comment ref="I8" authorId="0">
      <text>
        <r>
          <rPr>
            <sz val="10"/>
            <rFont val="Arial"/>
            <family val="2"/>
          </rPr>
          <t xml:space="preserve">Passarelli et al. 2024 (WFP-MIMI not available on HungerMap for this country)</t>
        </r>
      </text>
    </comment>
    <comment ref="I9" authorId="0">
      <text>
        <r>
          <rPr>
            <sz val="10"/>
            <rFont val="Arial"/>
            <family val="2"/>
          </rPr>
          <t xml:space="preserve">WFP-MIMI (HungerMap). Passarelli 2024: 11.3%</t>
        </r>
      </text>
    </comment>
    <comment ref="I11" authorId="0">
      <text>
        <r>
          <rPr>
            <sz val="10"/>
            <rFont val="Arial"/>
            <family val="2"/>
          </rPr>
          <t xml:space="preserve">WFP-MIMI (HungerMap). Passarelli 2024: 98.0%</t>
        </r>
      </text>
    </comment>
    <comment ref="I12" authorId="0">
      <text>
        <r>
          <rPr>
            <sz val="10"/>
            <rFont val="Arial"/>
            <family val="2"/>
          </rPr>
          <t xml:space="preserve">Passarelli et al. 2024 (WFP-MIMI not available on HungerMap for this country)</t>
        </r>
      </text>
    </comment>
    <comment ref="I13" authorId="0">
      <text>
        <r>
          <rPr>
            <sz val="10"/>
            <rFont val="Arial"/>
            <family val="2"/>
          </rPr>
          <t xml:space="preserve">Passarelli et al. 2024 (WFP-MIMI not available on HungerMap for this country)</t>
        </r>
      </text>
    </comment>
    <comment ref="I14" authorId="0">
      <text>
        <r>
          <rPr>
            <sz val="10"/>
            <rFont val="Arial"/>
            <family val="2"/>
          </rPr>
          <t xml:space="preserve">Jonathan Gorstein:
WFP-MIMI</t>
        </r>
      </text>
    </comment>
    <comment ref="J6" authorId="0">
      <text>
        <r>
          <rPr>
            <sz val="10"/>
            <rFont val="Arial"/>
            <family val="2"/>
          </rPr>
          <t xml:space="preserve">WFP-MIMI (HungerMap). Passarelli 2024: 13.8%</t>
        </r>
      </text>
    </comment>
    <comment ref="J7" authorId="0">
      <text>
        <r>
          <rPr>
            <sz val="10"/>
            <rFont val="Arial"/>
            <family val="2"/>
          </rPr>
          <t xml:space="preserve">ISI data from Dashboard - weighted national average</t>
        </r>
      </text>
    </comment>
    <comment ref="J8" authorId="0">
      <text>
        <r>
          <rPr>
            <sz val="10"/>
            <rFont val="Arial"/>
            <family val="2"/>
          </rPr>
          <t xml:space="preserve">2024 (WFP-MIMI not available on HungerMap for this country)</t>
        </r>
      </text>
    </comment>
    <comment ref="J9" authorId="0">
      <text>
        <r>
          <rPr>
            <sz val="10"/>
            <rFont val="Arial"/>
            <family val="2"/>
          </rPr>
          <t xml:space="preserve">WFP-MIMI (HungerMap). Passarelli 2024: 18.9%</t>
        </r>
      </text>
    </comment>
    <comment ref="J11" authorId="0">
      <text>
        <r>
          <rPr>
            <sz val="10"/>
            <rFont val="Arial"/>
            <family val="2"/>
          </rPr>
          <t xml:space="preserve">WFP-MIMI (HungerMap). Passarelli 2024: 42.7%</t>
        </r>
      </text>
    </comment>
    <comment ref="J12" authorId="0">
      <text>
        <r>
          <rPr>
            <sz val="10"/>
            <rFont val="Arial"/>
            <family val="2"/>
          </rPr>
          <t xml:space="preserve">Passarelli et al. 2024 (WFP-MIMI not available on HungerMap for this country)</t>
        </r>
      </text>
    </comment>
    <comment ref="J13" authorId="0">
      <text>
        <r>
          <rPr>
            <sz val="10"/>
            <rFont val="Arial"/>
            <family val="2"/>
          </rPr>
          <t xml:space="preserve">Passarelli et al. 2024 (WFP-MIMI not available on HungerMap for this country)</t>
        </r>
      </text>
    </comment>
    <comment ref="J14" authorId="0">
      <text>
        <r>
          <rPr>
            <sz val="10"/>
            <rFont val="Arial"/>
            <family val="2"/>
          </rPr>
          <t xml:space="preserve">Jonathan Gorstein:
WFP-MIMI</t>
        </r>
      </text>
    </comment>
    <comment ref="K6" authorId="0">
      <text>
        <r>
          <rPr>
            <sz val="10"/>
            <rFont val="Arial"/>
            <family val="2"/>
          </rPr>
          <t xml:space="preserve">Retinol / VAD
Group: Preschool-age children
Gender: All
Survey end year: 2022
Source: EPHI</t>
        </r>
      </text>
    </comment>
    <comment ref="K7" authorId="0">
      <text>
        <r>
          <rPr>
            <sz val="10"/>
            <rFont val="Arial"/>
            <family val="2"/>
          </rPr>
          <t xml:space="preserve">Retinol / VAD
Group: Preschool-age children
Gender: All
Survey end year: 2018
Source:CNNS</t>
        </r>
      </text>
    </comment>
    <comment ref="K8" authorId="0">
      <text>
        <r>
          <rPr>
            <sz val="10"/>
            <rFont val="Arial"/>
            <family val="2"/>
          </rPr>
          <t xml:space="preserve">Retinol / VAD
Group: Preschool-age children
Gender: All
Survey end year: 1999
Source: WHO VMNIS</t>
        </r>
      </text>
    </comment>
    <comment ref="K9" authorId="0">
      <text>
        <r>
          <rPr>
            <sz val="10"/>
            <rFont val="Arial"/>
            <family val="2"/>
          </rPr>
          <t xml:space="preserve">Retinol / VAD
Group: Preschool children 6-59 mo (VAD)
Source: Nigeria NFCMS 2021 (Project MAP), FMOHSW/IITA</t>
        </r>
      </text>
    </comment>
    <comment ref="K11" authorId="0">
      <text>
        <r>
          <rPr>
            <sz val="10"/>
            <rFont val="Arial"/>
            <family val="2"/>
          </rPr>
          <t xml:space="preserve">Retinol / VAD
Group: Preschool-age children
Gender: All
Survey end year: 2011
Source: WHO VMNIS</t>
        </r>
      </text>
    </comment>
    <comment ref="K12" authorId="0">
      <text>
        <r>
          <rPr>
            <sz val="10"/>
            <rFont val="Arial"/>
            <family val="2"/>
          </rPr>
          <t xml:space="preserve">Retinol / VAD
Group: Preschool-age children
Gender: All
Survey end year: 2023
Source: WHO VMNIS</t>
        </r>
      </text>
    </comment>
    <comment ref="K13" authorId="0">
      <text>
        <r>
          <rPr>
            <sz val="10"/>
            <rFont val="Arial"/>
            <family val="2"/>
          </rPr>
          <t xml:space="preserve">Retinol / VAD
Group: Preschool-age children
Gender: All
Survey end year: 2019
Source: WHO VMNIS</t>
        </r>
      </text>
    </comment>
    <comment ref="K14" authorId="0">
      <text>
        <r>
          <rPr>
            <sz val="10"/>
            <rFont val="Arial"/>
            <family val="2"/>
          </rPr>
          <t xml:space="preserve">TDHS 2022 - National Micronutrient Survey - TFNC preschool children</t>
        </r>
      </text>
    </comment>
    <comment ref="L6" authorId="0">
      <text>
        <r>
          <rPr>
            <sz val="10"/>
            <rFont val="Arial"/>
            <family val="2"/>
          </rPr>
          <t xml:space="preserve">Ferritin / iron def
Group: Women of reproductive age
Gender: Female
Survey end year: 2022
Source: EPHI</t>
        </r>
      </text>
    </comment>
    <comment ref="L7" authorId="0">
      <text>
        <r>
          <rPr>
            <sz val="10"/>
            <rFont val="Arial"/>
            <family val="2"/>
          </rPr>
          <t xml:space="preserve">Ferritin / iron def
Group: WRA
Survey end year: 2019
Source: Venkatesh et al.</t>
        </r>
      </text>
    </comment>
    <comment ref="L8" authorId="0">
      <text>
        <r>
          <rPr>
            <sz val="10"/>
            <rFont val="Arial"/>
            <family val="2"/>
          </rPr>
          <t xml:space="preserve">Ferritin / iron def
Group: Women of reproductive age
Gender: Female
Survey end year: 1999
Source: WHO VMNIS</t>
        </r>
      </text>
    </comment>
    <comment ref="L9" authorId="0">
      <text>
        <r>
          <rPr>
            <sz val="10"/>
            <rFont val="Arial"/>
            <family val="2"/>
          </rPr>
          <t xml:space="preserve">Ferritin / iron def
Group: Non-pregnant women 15-49 (iron deficiency)
Source: Nigeria NFCMS 2021 (Project MAP), FMOHSW/IITA</t>
        </r>
      </text>
    </comment>
    <comment ref="L11" authorId="0">
      <text>
        <r>
          <rPr>
            <sz val="10"/>
            <rFont val="Arial"/>
            <family val="2"/>
          </rPr>
          <t xml:space="preserve">Ferritin / iron def
Group: Non-pregnant, non-lactating women (NPNLW)
Gender: Female
Survey end year: 2020
Source: WHO VMNIS</t>
        </r>
      </text>
    </comment>
    <comment ref="L12" authorId="0">
      <text>
        <r>
          <rPr>
            <sz val="10"/>
            <rFont val="Arial"/>
            <family val="2"/>
          </rPr>
          <t xml:space="preserve">Ferritin / iron def
Group: Preschool-age children
Gender: All
Survey end year: 2011
Source: WHO VMNIS</t>
        </r>
      </text>
    </comment>
    <comment ref="L13" authorId="0">
      <text>
        <r>
          <rPr>
            <sz val="10"/>
            <rFont val="Arial"/>
            <family val="2"/>
          </rPr>
          <t xml:space="preserve">Ferritin / iron def
Group: Women of reproductive age
Gender: Female
Survey end year: 2019
Source: WHO VMNIS</t>
        </r>
      </text>
    </comment>
    <comment ref="L14" authorId="0">
      <text>
        <r>
          <rPr>
            <sz val="10"/>
            <rFont val="Arial"/>
            <family val="2"/>
          </rPr>
          <t xml:space="preserve">Jonathan Gorstein:
TDHS 2022 - National Micronutrient Survey - TFNC - Ferritin WRA</t>
        </r>
      </text>
    </comment>
    <comment ref="M6" authorId="0">
      <text>
        <r>
          <rPr>
            <sz val="10"/>
            <rFont val="Arial"/>
            <family val="2"/>
          </rPr>
          <t xml:space="preserve">RBC folate insufficiency, women 15-49, national. Confirmed 13 Sep 2026 as Figure 5.7 of the Ethiopia FNSBS 2021-2022 report (EPHI, Feb 2025): 'Prevalence of RBC folate insufficiency and deficiency among WRA by region and residence.' This is a three-category classification (Sufficiency/Insufficiency/Deficiency), distinct from the report's separate Table 5.7, which gives two NTD-risk-specific cutoffs (&lt;748 nmol/L = 58.5% national; &lt;906 nmol/L = 71.5% national). Original comment text (below) was ambiguous/self-contradictory on this point.
--- original comment ---
Serum folate insufficiency
Group: Women of reproductive age
Gender: Female
Indicator: RBC Folate
Survey end year: 2022
Source: EPHI
[13 Sep 2026: appended '(RBC)'/'(serum)' directly to the cell text per user request, so the biomarker method is visible without opening this comment. Previous cell text: '63.0 (2022)']</t>
        </r>
      </text>
    </comment>
    <comment ref="M7" authorId="0">
      <text>
        <r>
          <rPr>
            <sz val="10"/>
            <rFont val="Arial"/>
            <family val="2"/>
          </rPr>
          <t xml:space="preserve">Serum folate (not RBC), confirmed 13 Sep 2026. An exception to this column's general convention (row 21 legend: folate = RBC folate, WRA) — India does not have an RBC folate figure in current sources. Consistent with Venkatesh et al. 2021's serum folate estimate for adults (also ~41%, different survey year/citation, same biomarker type). Ethiopia and Nigeria's entries in this column are RBC folate.
[13 Sep 2026: appended '(RBC)'/'(serum)' directly to the cell text per user request, so the biomarker method is visible without opening this comment. Previous cell text: '41.0% (2019)']</t>
        </r>
      </text>
    </comment>
    <comment ref="M8" authorId="0">
      <text>
        <r>
          <rPr>
            <sz val="10"/>
            <rFont val="Arial"/>
            <family val="2"/>
          </rPr>
          <t xml:space="preserve">Serum folate def
Group: Non-pregnant women (NPW)
Gender: Female
Survey end year: 2011
Source: WHO VMNIS</t>
        </r>
      </text>
    </comment>
    <comment ref="M9" authorId="0">
      <text>
        <r>
          <rPr>
            <sz val="10"/>
            <rFont val="Arial"/>
            <family val="2"/>
          </rPr>
          <t xml:space="preserve">RBC folate &lt;748nmol/L 
Age group: Non-pregnant women 15-49 (Insufficiency 42.8%)
Source: Nigeria NFCMS 2021 (Project MAP Technical Note), FMOHSW/IITA
[13 Sep 2026: appended '(RBC)'/'(serum)' directly to the cell text per user request, so the biomarker method is visible without opening this comment. Previous cell text: '42.8% (2021)']</t>
        </r>
      </text>
    </comment>
    <comment ref="M11" authorId="0">
      <text>
        <r>
          <rPr>
            <sz val="10"/>
            <rFont val="Arial"/>
            <family val="2"/>
          </rPr>
          <t xml:space="preserve">Serum folate def
Group: Non-pregnant, non-lactating women (NPNLW)
Gender: Female
Survey end year: 2011
Source: WHO VMNIS</t>
        </r>
      </text>
    </comment>
    <comment ref="M13" authorId="0">
      <text>
        <r>
          <rPr>
            <sz val="10"/>
            <rFont val="Arial"/>
            <family val="2"/>
          </rPr>
          <t xml:space="preserve">Serum folate def
Group: Women of reproductive age
Gender: Female
Survey end year: 2019
Source: WHO VMNIS</t>
        </r>
      </text>
    </comment>
    <comment ref="M14" authorId="0">
      <text>
        <r>
          <rPr>
            <sz val="10"/>
            <rFont val="Arial"/>
            <family val="2"/>
          </rPr>
          <t xml:space="preserve">Jonathan Gorstein:
TDHS 2022 - National Micronutrient Survey - TFNC - RBC insufficiency</t>
        </r>
      </text>
    </comment>
    <comment ref="N6" authorId="0">
      <text>
        <r>
          <rPr>
            <sz val="10"/>
            <rFont val="Arial"/>
            <family val="2"/>
          </rPr>
          <t xml:space="preserve">Zinc def
Group: Preschool children
Gender: Both
Survey end year: 2022
Source: EPHI</t>
        </r>
      </text>
    </comment>
    <comment ref="N7" authorId="0">
      <text>
        <r>
          <rPr>
            <sz val="10"/>
            <rFont val="Arial"/>
            <family val="2"/>
          </rPr>
          <t xml:space="preserve">Zinc def
Group: Preschool-age children
Gender: All
Survey end year: 2018
Source: WHO VMNIS (data are from CNNS)</t>
        </r>
      </text>
    </comment>
    <comment ref="N8" authorId="0">
      <text>
        <r>
          <rPr>
            <sz val="10"/>
            <rFont val="Arial"/>
            <family val="2"/>
          </rPr>
          <t xml:space="preserve">Zinc def
Group: Women of reproductive age
Gender: Female
Survey end year: 1999
Source: WHO VMNIS</t>
        </r>
      </text>
    </comment>
    <comment ref="N9" authorId="0">
      <text>
        <r>
          <rPr>
            <sz val="10"/>
            <rFont val="Arial"/>
            <family val="2"/>
          </rPr>
          <t xml:space="preserve">Zinc def
Group: Preschool children
Source: Nigeria NFCMS 2021 (Project MAP), FMOHSW/IITA</t>
        </r>
      </text>
    </comment>
    <comment ref="N11" authorId="0">
      <text>
        <r>
          <rPr>
            <sz val="10"/>
            <rFont val="Arial"/>
            <family val="2"/>
          </rPr>
          <t xml:space="preserve">Zinc def
Group: Preschool-age children
Gender: All
Survey end year: 2011
Source: WHO VMNIS</t>
        </r>
      </text>
    </comment>
    <comment ref="N13" authorId="0">
      <text>
        <r>
          <rPr>
            <sz val="10"/>
            <rFont val="Arial"/>
            <family val="2"/>
          </rPr>
          <t xml:space="preserve">Zinc def
Group: Women of reproductive age
Gender: Female
Survey end year: 2019
Source: WHO VMNIS</t>
        </r>
      </text>
    </comment>
    <comment ref="O6" authorId="0">
      <text>
        <r>
          <rPr>
            <sz val="10"/>
            <rFont val="Arial"/>
            <family val="2"/>
          </rPr>
          <t xml:space="preserve">Aditya Jagati:
340 mills. Since all of them are fortifiable, my suggestion would be to consider this &gt;90%</t>
        </r>
      </text>
    </comment>
    <comment ref="O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Packaged= 5.25MT Total = 35MT We considering in a voluntary set-up only packaged wheat will likely be fortified
Reply:
    Perfect !!!Thank you for the update and for the note</t>
        </r>
      </text>
    </comment>
    <comment ref="O8" authorId="0">
      <text>
        <r>
          <rPr>
            <sz val="10"/>
            <rFont val="Arial"/>
            <family val="2"/>
          </rPr>
          <t xml:space="preserve">Consolidation from LSFF Vehicle Data from M4N (20260909).</t>
        </r>
      </text>
    </comment>
    <comment ref="O9" authorId="0">
      <text>
        <r>
          <rPr>
            <sz val="10"/>
            <rFont val="Arial"/>
            <family val="2"/>
          </rPr>
          <t xml:space="preserve">Consolidation from LSFF Vehicle Data from M4N (20260909).</t>
        </r>
      </text>
    </comment>
    <comment ref="O11" authorId="0">
      <text>
        <r>
          <rPr>
            <sz val="10"/>
            <rFont val="Arial"/>
            <family val="2"/>
          </rPr>
          <t xml:space="preserve">Consolidation from LSFF Vehicle Data from M4N (20260909).</t>
        </r>
      </text>
    </comment>
    <comment ref="O12" authorId="0">
      <text>
        <r>
          <rPr>
            <sz val="10"/>
            <rFont val="Arial"/>
            <family val="2"/>
          </rPr>
          <t xml:space="preserve">Consolidation from LSFF Vehicle Data from M4N (20260909).</t>
        </r>
      </text>
    </comment>
    <comment ref="O13" authorId="0">
      <text>
        <r>
          <rPr>
            <sz val="10"/>
            <rFont val="Arial"/>
            <family val="2"/>
          </rPr>
          <t xml:space="preserve">Consolidation from LSFF Vehicle Data from M4N (20260909).</t>
        </r>
      </text>
    </comment>
    <comment ref="O14" authorId="0">
      <text>
        <r>
          <rPr>
            <sz val="10"/>
            <rFont val="Arial"/>
            <family val="2"/>
          </rPr>
          <t xml:space="preserve">Consolidation from LSFF Vehicle Data from M4N (20260909).</t>
        </r>
      </text>
    </comment>
    <comment ref="P6" authorId="0">
      <text>
        <r>
          <rPr>
            <sz val="10"/>
            <rFont val="Arial"/>
            <family val="2"/>
          </rPr>
          <t xml:space="preserve">Jonathan Gorstein:
From Fred</t>
        </r>
      </text>
    </comment>
    <comment ref="P7" authorId="0">
      <text>
        <r>
          <rPr>
            <sz val="10"/>
            <rFont val="Arial"/>
            <family val="2"/>
          </rPr>
          <t xml:space="preserve">IHME Vehicles-WRA (20260416), national 2025. Cov=coverage(reach); Compl=baseline compliance; g/cap=per-capita g/day.</t>
        </r>
      </text>
    </comment>
    <comment ref="P8" authorId="0">
      <text>
        <r>
          <rPr>
            <sz val="10"/>
            <rFont val="Arial"/>
            <family val="2"/>
          </rPr>
          <t xml:space="preserve">IHME Vehicles-WRA (20260416), national 2025. Cov=coverage(reach); Compl=baseline compliance; g/cap=per-capita g/day.</t>
        </r>
      </text>
    </comment>
    <comment ref="P9" authorId="0">
      <text>
        <r>
          <rPr>
            <sz val="10"/>
            <rFont val="Arial"/>
            <family val="2"/>
          </rPr>
          <t xml:space="preserve">IHME Vehicles-WRA (20260416), national 2025. Cov=coverage(reach); Compl=baseline compliance; g/cap=per-capita g/day.</t>
        </r>
      </text>
    </comment>
    <comment ref="P11" authorId="0">
      <text>
        <r>
          <rPr>
            <sz val="10"/>
            <rFont val="Arial"/>
            <family val="2"/>
          </rPr>
          <t xml:space="preserve">IHME Vehicles-WRA (20260416), national 2025. Cov=coverage(reach); Compl=baseline compliance; g/cap=per-capita g/day.</t>
        </r>
      </text>
    </comment>
    <comment ref="P12" authorId="0">
      <text>
        <r>
          <rPr>
            <sz val="10"/>
            <rFont val="Arial"/>
            <family val="2"/>
          </rPr>
          <t xml:space="preserve">IHME Vehicles-WRA (20260416), national 2025. Cov=coverage(reach); Compl=baseline compliance; g/cap=per-capita g/day.</t>
        </r>
      </text>
    </comment>
    <comment ref="P13" authorId="0">
      <text>
        <r>
          <rPr>
            <sz val="10"/>
            <rFont val="Arial"/>
            <family val="2"/>
          </rPr>
          <t xml:space="preserve">- provided by GFDx and also cited by HarvestPlus</t>
        </r>
      </text>
    </comment>
    <comment ref="P14" authorId="0">
      <text>
        <r>
          <rPr>
            <sz val="10"/>
            <rFont val="Arial"/>
            <family val="2"/>
          </rPr>
          <t xml:space="preserve">IHME Vehicles-WRA (20260416), national 2025. Cov=coverage(reach); Compl=baseline compliance; g/cap=per-capita g/day.</t>
        </r>
      </text>
    </comment>
    <comment ref="Q7" authorId="0">
      <text>
        <r>
          <rPr>
            <sz val="10"/>
            <rFont val="Arial"/>
            <family val="2"/>
          </rPr>
          <t xml:space="preserve">HCES 2023-2024 (updated 9/28/26)</t>
        </r>
      </text>
    </comment>
    <comment ref="Q8" authorId="0">
      <text>
        <r>
          <rPr>
            <sz val="10"/>
            <rFont val="Arial"/>
            <family val="2"/>
          </rPr>
          <t xml:space="preserve">Per-capita consumption (g/day) from LSFF Vehicle Data from M4N (20260909).</t>
        </r>
      </text>
    </comment>
    <comment ref="Q11" authorId="0">
      <text>
        <r>
          <rPr>
            <sz val="10"/>
            <rFont val="Arial"/>
            <family val="2"/>
          </rPr>
          <t xml:space="preserve">Per-capita consumption (g/day) from LSFF Vehicle Data from M4N (20260909).</t>
        </r>
      </text>
    </comment>
    <comment ref="Q12" authorId="0">
      <text>
        <r>
          <rPr>
            <sz val="10"/>
            <rFont val="Arial"/>
            <family val="2"/>
          </rPr>
          <t xml:space="preserve">Per-capita consumption (g/day) from LSFF Vehicle Data from M4N (20260909).</t>
        </r>
      </text>
    </comment>
    <comment ref="Q13" authorId="0">
      <text>
        <r>
          <rPr>
            <sz val="10"/>
            <rFont val="Arial"/>
            <family val="2"/>
          </rPr>
          <t xml:space="preserve">Per-capita consumption (g/day) from LSFF Vehicle Data from M4N (20260909).</t>
        </r>
      </text>
    </comment>
    <comment ref="Q14" authorId="0">
      <text>
        <r>
          <rPr>
            <sz val="10"/>
            <rFont val="Arial"/>
            <family val="2"/>
          </rPr>
          <t xml:space="preserve">Per-capita consumption (g/day) from LSFF Vehicle Data from M4N (20260909).</t>
        </r>
      </text>
    </comment>
    <comment ref="R8" authorId="0">
      <text>
        <r>
          <rPr>
            <sz val="10"/>
            <rFont val="Arial"/>
            <family val="2"/>
          </rPr>
          <t xml:space="preserve">Compliance (2026) from LSFF Vehicle Data from M4N (20260909).</t>
        </r>
      </text>
    </comment>
    <comment ref="R9" authorId="0">
      <text>
        <r>
          <rPr>
            <sz val="10"/>
            <rFont val="Arial"/>
            <family val="2"/>
          </rPr>
          <t xml:space="preserve">Compliance (2026) from LSFF Vehicle Data from M4N (20260909).</t>
        </r>
      </text>
    </comment>
    <comment ref="R11" authorId="0">
      <text>
        <r>
          <rPr>
            <sz val="10"/>
            <rFont val="Arial"/>
            <family val="2"/>
          </rPr>
          <t xml:space="preserve">Compliance (2026) from LSFF Vehicle Data from M4N (20260909). Source shows “&lt;1%”; entered as 1%.</t>
        </r>
      </text>
    </comment>
    <comment ref="R12" authorId="0">
      <text>
        <r>
          <rPr>
            <sz val="10"/>
            <rFont val="Arial"/>
            <family val="2"/>
          </rPr>
          <t xml:space="preserve">Compliance (2026) from LSFF Vehicle Data from M4N (20260909).</t>
        </r>
      </text>
    </comment>
    <comment ref="R14" authorId="0">
      <text>
        <r>
          <rPr>
            <sz val="10"/>
            <rFont val="Arial"/>
            <family val="2"/>
          </rPr>
          <t xml:space="preserve">Compliance (2026) from LSFF Vehicle Data from M4N (20260909).</t>
        </r>
      </text>
    </comment>
    <comment ref="S6" authorId="0">
      <text>
        <r>
          <rPr>
            <sz val="10"/>
            <rFont val="Arial"/>
            <family val="2"/>
          </rPr>
          <t xml:space="preserve">Aditya Jagati:
34 mills, all fortifiable, but they account for 20% of the market since rest imported. Shall we use 100% or 20% is for Fred to determine</t>
        </r>
      </text>
    </comment>
    <comment ref="S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Original calculation was was   17.6MMT (total packaged) /28.4MMT (total)
Revised 9/28/26 to 74% based on reach of 1,092,307,692 divided by total population of India</t>
        </r>
      </text>
    </comment>
    <comment ref="S8" authorId="0">
      <text>
        <r>
          <rPr>
            <sz val="10"/>
            <rFont val="Arial"/>
            <family val="2"/>
          </rPr>
          <t xml:space="preserve">Consolidation from LSFF Vehicle Data from M4N (20260909).</t>
        </r>
      </text>
    </comment>
    <comment ref="S9" authorId="0">
      <text>
        <r>
          <rPr>
            <sz val="10"/>
            <rFont val="Arial"/>
            <family val="2"/>
          </rPr>
          <t xml:space="preserve">Consolidation from LSFF Vehicle Data from M4N (20260909).</t>
        </r>
      </text>
    </comment>
    <comment ref="S11" authorId="0">
      <text>
        <r>
          <rPr>
            <sz val="10"/>
            <rFont val="Arial"/>
            <family val="2"/>
          </rPr>
          <t xml:space="preserve">Consolidation from M4N (20260909), col C.</t>
        </r>
      </text>
    </comment>
    <comment ref="S12" authorId="0">
      <text>
        <r>
          <rPr>
            <sz val="10"/>
            <rFont val="Arial"/>
            <family val="2"/>
          </rPr>
          <t xml:space="preserve">Consolidation from M4N (20260909), col C.</t>
        </r>
      </text>
    </comment>
    <comment ref="S13" authorId="0">
      <text>
        <r>
          <rPr>
            <sz val="10"/>
            <rFont val="Arial"/>
            <family val="2"/>
          </rPr>
          <t xml:space="preserve">Consolidation from M4N (20260909), col C.</t>
        </r>
      </text>
    </comment>
    <comment ref="S14" authorId="0">
      <text>
        <r>
          <rPr>
            <sz val="10"/>
            <rFont val="Arial"/>
            <family val="2"/>
          </rPr>
          <t xml:space="preserve">Consolidation from LSFF Vehicle Data from M4N (20260909).</t>
        </r>
      </text>
    </comment>
    <comment ref="T6" authorId="0">
      <text>
        <r>
          <rPr>
            <sz val="10"/>
            <rFont val="Arial"/>
            <family val="2"/>
          </rPr>
          <t xml:space="preserve">IHME Vehicles-WRA (20260416), national 2025. Cov=coverage(reach); Compl=baseline compliance; g/cap=per-capita g/day.</t>
        </r>
      </text>
    </comment>
    <comment ref="T7" authorId="0">
      <text>
        <r>
          <rPr>
            <sz val="10"/>
            <rFont val="Arial"/>
            <family val="2"/>
          </rPr>
          <t xml:space="preserve">IHME Vehicles-WRA (20260416), national 2025. Cov=coverage(reach); Compl=baseline compliance; g/cap=per-capita g/day.</t>
        </r>
      </text>
    </comment>
    <comment ref="T8" authorId="0">
      <text>
        <r>
          <rPr>
            <sz val="10"/>
            <rFont val="Arial"/>
            <family val="2"/>
          </rPr>
          <t xml:space="preserve">IHME Vehicles-WRA (20260416), national 2025. Cov=coverage(reach); Compl=baseline compliance; g/cap=per-capita g/day.</t>
        </r>
      </text>
    </comment>
    <comment ref="T9" authorId="0">
      <text>
        <r>
          <rPr>
            <sz val="10"/>
            <rFont val="Arial"/>
            <family val="2"/>
          </rPr>
          <t xml:space="preserve">IHME Vehicles-WRA (20260416), national 2025. Cov=coverage(reach); Compl=baseline compliance; g/cap=per-capita g/day.</t>
        </r>
      </text>
    </comment>
    <comment ref="T11" authorId="0">
      <text>
        <r>
          <rPr>
            <sz val="10"/>
            <rFont val="Arial"/>
            <family val="2"/>
          </rPr>
          <t xml:space="preserve">IHME Vehicles-WRA (20260416), national 2025. Cov=coverage(reach); Compl=baseline compliance; g/cap=per-capita g/day.</t>
        </r>
      </text>
    </comment>
    <comment ref="T12" authorId="0">
      <text>
        <r>
          <rPr>
            <sz val="10"/>
            <rFont val="Arial"/>
            <family val="2"/>
          </rPr>
          <t xml:space="preserve">IHME Vehicles-WRA (20260416), national 2025. Cov=coverage(reach); Compl=baseline compliance; g/cap=per-capita g/day.</t>
        </r>
      </text>
    </comment>
    <comment ref="T13" authorId="0">
      <text>
        <r>
          <rPr>
            <sz val="10"/>
            <rFont val="Arial"/>
            <family val="2"/>
          </rPr>
          <t xml:space="preserve">IHME Vehicles-WRA (20260416), national 2025. Cov=coverage(reach); Compl=baseline compliance; g/cap=per-capita g/day.</t>
        </r>
      </text>
    </comment>
    <comment ref="T14" authorId="0">
      <text>
        <r>
          <rPr>
            <sz val="10"/>
            <rFont val="Arial"/>
            <family val="2"/>
          </rPr>
          <t xml:space="preserve">IHME Vehicles-WRA (20260416), national 2025. Cov=coverage(reach); Compl=baseline compliance; g/cap=per-capita g/day.</t>
        </r>
      </text>
    </comment>
    <comment ref="U7" authorId="0">
      <text>
        <r>
          <rPr>
            <sz val="10"/>
            <rFont val="Arial"/>
            <family val="2"/>
          </rPr>
          <t xml:space="preserve">Consumption (g/day) from M4N (20260909), col D.
9/28/26: changed from 28.5 ml to 30.3 ml based on ISI HCES 2023-24 data.</t>
        </r>
      </text>
    </comment>
    <comment ref="U8" authorId="0">
      <text>
        <r>
          <rPr>
            <sz val="10"/>
            <rFont val="Arial"/>
            <family val="2"/>
          </rPr>
          <t xml:space="preserve">Per-capita consumption (g/day) from LSFF Vehicle Data from M4N (20260909).</t>
        </r>
      </text>
    </comment>
    <comment ref="U9" authorId="0">
      <text>
        <r>
          <rPr>
            <sz val="10"/>
            <rFont val="Arial"/>
            <family val="2"/>
          </rPr>
          <t xml:space="preserve">Per-capita consumption (g/day) from LSFF Vehicle Data from M4N (20260909).</t>
        </r>
      </text>
    </comment>
    <comment ref="U11" authorId="0">
      <text>
        <r>
          <rPr>
            <sz val="10"/>
            <rFont val="Arial"/>
            <family val="2"/>
          </rPr>
          <t xml:space="preserve">Per-capita consumption (g/day) from LSFF Vehicle Data from M4N (20260909).</t>
        </r>
      </text>
    </comment>
    <comment ref="U12" authorId="0">
      <text>
        <r>
          <rPr>
            <sz val="10"/>
            <rFont val="Arial"/>
            <family val="2"/>
          </rPr>
          <t xml:space="preserve">Per-capita consumption (g/day) from LSFF Vehicle Data from M4N (20260909).</t>
        </r>
      </text>
    </comment>
    <comment ref="U13" authorId="0">
      <text>
        <r>
          <rPr>
            <sz val="10"/>
            <rFont val="Arial"/>
            <family val="2"/>
          </rPr>
          <t xml:space="preserve">Per-capita consumption (g/day) from LSFF Vehicle Data from M4N (20260909).</t>
        </r>
      </text>
    </comment>
    <comment ref="U14" authorId="0">
      <text>
        <r>
          <rPr>
            <sz val="10"/>
            <rFont val="Arial"/>
            <family val="2"/>
          </rPr>
          <t xml:space="preserve">Per-capita consumption (g/day) from LSFF Vehicle Data from M4N (20260909).</t>
        </r>
      </text>
    </comment>
    <comment ref="V6" authorId="0">
      <text>
        <r>
          <rPr>
            <sz val="10"/>
            <rFont val="Arial"/>
            <family val="2"/>
          </rPr>
          <t xml:space="preserve">Compliance (2026) from LSFF Vehicle Data from M4N (20260909).</t>
        </r>
      </text>
    </comment>
    <comment ref="V7" authorId="0">
      <text>
        <r>
          <rPr>
            <sz val="10"/>
            <rFont val="Arial"/>
            <family val="2"/>
          </rPr>
          <t xml:space="preserve">Compliance for Vitamin A- M4N and GAIN market survey from 2 states
Worth clarifying that it's 50% for VA and 19% for both VA+VD</t>
        </r>
      </text>
    </comment>
    <comment ref="V8" authorId="0">
      <text>
        <r>
          <rPr>
            <sz val="10"/>
            <rFont val="Arial"/>
            <family val="2"/>
          </rPr>
          <t xml:space="preserve">Compliance (2026) from LSFF Vehicle Data from M4N (20260909).</t>
        </r>
      </text>
    </comment>
    <comment ref="V9" authorId="0">
      <text>
        <r>
          <rPr>
            <sz val="10"/>
            <rFont val="Arial"/>
            <family val="2"/>
          </rPr>
          <t xml:space="preserve">Compliance (2026) from LSFF Vehicle Data from M4N (20260909).</t>
        </r>
      </text>
    </comment>
    <comment ref="V11" authorId="0">
      <text>
        <r>
          <rPr>
            <sz val="10"/>
            <rFont val="Arial"/>
            <family val="2"/>
          </rPr>
          <t xml:space="preserve">Aditya Jagati:
32% for overall (incl loose oil), 98% on packaged oil</t>
        </r>
      </text>
    </comment>
    <comment ref="V13" authorId="0">
      <text>
        <r>
          <rPr>
            <sz val="10"/>
            <rFont val="Arial"/>
            <family val="2"/>
          </rPr>
          <t xml:space="preserve">Compliance 2026 from M4N (20260909), col F.</t>
        </r>
      </text>
    </comment>
    <comment ref="V14" authorId="0">
      <text>
        <r>
          <rPr>
            <sz val="10"/>
            <rFont val="Arial"/>
            <family val="2"/>
          </rPr>
          <t xml:space="preserve">Compliance (2026) from LSFF Vehicle Data from M4N (20260909).</t>
        </r>
      </text>
    </comment>
    <comment ref="W7" authorId="0">
      <text>
        <r>
          <rPr>
            <sz val="10"/>
            <rFont val="Arial"/>
            <family val="2"/>
          </rPr>
          <t xml:space="preserve">Consolidation from M4N (20260909), col C.
9/28/26: changed to 50.0% based on reach/pop instead.</t>
        </r>
      </text>
    </comment>
    <comment ref="W8" authorId="0">
      <text>
        <r>
          <rPr>
            <sz val="10"/>
            <rFont val="Arial"/>
            <family val="2"/>
          </rPr>
          <t xml:space="preserve">Consolidation from LSFF Vehicle Data from M4N (20260909).</t>
        </r>
      </text>
    </comment>
    <comment ref="W11" authorId="0">
      <text>
        <r>
          <rPr>
            <sz val="10"/>
            <rFont val="Arial"/>
            <family val="2"/>
          </rPr>
          <t xml:space="preserve">Consolidation from M4N (20260909), col C.</t>
        </r>
      </text>
    </comment>
    <comment ref="W12" authorId="0">
      <text>
        <r>
          <rPr>
            <sz val="10"/>
            <rFont val="Arial"/>
            <family val="2"/>
          </rPr>
          <t xml:space="preserve">Consolidation from M4N (20260909), col C.</t>
        </r>
      </text>
    </comment>
    <comment ref="X7" authorId="0">
      <text>
        <r>
          <rPr>
            <sz val="10"/>
            <rFont val="Arial"/>
            <family val="2"/>
          </rPr>
          <t xml:space="preserve">IHME Vehicles-WRA (20260416), national 2025. Cov=coverage(reach); Compl=baseline compliance; g/cap=per-capita g/day.</t>
        </r>
      </text>
    </comment>
    <comment ref="X9" authorId="0">
      <text>
        <r>
          <rPr>
            <sz val="10"/>
            <rFont val="Arial"/>
            <family val="2"/>
          </rPr>
          <t xml:space="preserve">IHME Vehicles-WRA (20260416), national 2025. Cov=coverage(reach); Compl=baseline compliance; g/cap=per-capita g/day.</t>
        </r>
      </text>
    </comment>
    <comment ref="X11" authorId="0">
      <text>
        <r>
          <rPr>
            <sz val="10"/>
            <rFont val="Arial"/>
            <family val="2"/>
          </rPr>
          <t xml:space="preserve">IHME Vehicles-WRA (20260416), national 2025. Cov=coverage(reach); Compl=baseline compliance; g/cap=per-capita g/day.</t>
        </r>
      </text>
    </comment>
    <comment ref="X12" authorId="0">
      <text>
        <r>
          <rPr>
            <sz val="10"/>
            <rFont val="Arial"/>
            <family val="2"/>
          </rPr>
          <t xml:space="preserve">IHME Vehicles-WRA (20260416), national 2025. Cov=coverage(reach); Compl=baseline compliance; g/cap=per-capita g/day.</t>
        </r>
      </text>
    </comment>
    <comment ref="X13" authorId="0">
      <text>
        <r>
          <rPr>
            <sz val="10"/>
            <rFont val="Arial"/>
            <family val="2"/>
          </rPr>
          <t xml:space="preserve">IHME Vehicles-WRA (20260416), national 2025. Cov=coverage(reach); Compl=baseline compliance; g/cap=per-capita g/day.</t>
        </r>
      </text>
    </comment>
    <comment ref="X14" authorId="0">
      <text>
        <r>
          <rPr>
            <sz val="10"/>
            <rFont val="Arial"/>
            <family val="2"/>
          </rPr>
          <t xml:space="preserve">IHME Vehicles-WRA (20260416), national 2025. Cov=coverage(reach); Compl=baseline compliance; g/cap=per-capita g/day.</t>
        </r>
      </text>
    </comment>
    <comment ref="Y7" authorId="0">
      <text>
        <r>
          <rPr>
            <sz val="10"/>
            <rFont val="Arial"/>
            <family val="2"/>
          </rPr>
          <t xml:space="preserve">Consumption (g/day) from M4N (20260909), col D.
Changed on 9/28/26 to 155 based on ISI HCES 2023-24 analysis.</t>
        </r>
      </text>
    </comment>
    <comment ref="Y8" authorId="0">
      <text>
        <r>
          <rPr>
            <sz val="10"/>
            <rFont val="Arial"/>
            <family val="2"/>
          </rPr>
          <t xml:space="preserve">Per-capita consumption (g/day) from LSFF Vehicle Data from M4N (20260909).</t>
        </r>
      </text>
    </comment>
    <comment ref="Y9" authorId="0">
      <text>
        <r>
          <rPr>
            <sz val="10"/>
            <rFont val="Arial"/>
            <family val="2"/>
          </rPr>
          <t xml:space="preserve">Per-capita consumption (g/day) from LSFF Vehicle Data from M4N (20260909).</t>
        </r>
      </text>
    </comment>
    <comment ref="Y11" authorId="0">
      <text>
        <r>
          <rPr>
            <sz val="10"/>
            <rFont val="Arial"/>
            <family val="2"/>
          </rPr>
          <t xml:space="preserve">Per-capita consumption (g/day) from LSFF Vehicle Data from M4N (20260909).</t>
        </r>
      </text>
    </comment>
    <comment ref="Y12" authorId="0">
      <text>
        <r>
          <rPr>
            <sz val="10"/>
            <rFont val="Arial"/>
            <family val="2"/>
          </rPr>
          <t xml:space="preserve">Per-capita consumption (g/day) from LSFF Vehicle Data from M4N (20260909).</t>
        </r>
      </text>
    </comment>
    <comment ref="Y14" authorId="0">
      <text>
        <r>
          <rPr>
            <sz val="10"/>
            <rFont val="Arial"/>
            <family val="2"/>
          </rPr>
          <t xml:space="preserve">Per-capita consumption (g/day) from LSFF Vehicle Data from M4N (20260909).</t>
        </r>
      </text>
    </comment>
    <comment ref="Z7" authorId="0">
      <text>
        <r>
          <rPr>
            <sz val="10"/>
            <rFont val="Arial"/>
            <family val="2"/>
          </rPr>
          <t xml:space="preserve">Jonathan Gorstein:
NIFTEM with FSSAI from Ruchika
For open market this is &lt;1%</t>
        </r>
      </text>
    </comment>
    <comment ref="Z11" authorId="0">
      <text>
        <r>
          <rPr>
            <sz val="10"/>
            <rFont val="Arial"/>
            <family val="2"/>
          </rPr>
          <t xml:space="preserve">Aditya Jagati:
0.4MMT fortified out of 12MMT</t>
        </r>
      </text>
    </comment>
    <comment ref="Z12" authorId="0">
      <text>
        <r>
          <rPr>
            <sz val="10"/>
            <rFont val="Arial"/>
            <family val="2"/>
          </rPr>
          <t xml:space="preserve">Compliance (2026) from LSFF Vehicle Data from M4N (20260909).</t>
        </r>
      </text>
    </comment>
    <comment ref="AB8" authorId="0">
      <text>
        <r>
          <rPr>
            <sz val="10"/>
            <rFont val="Arial"/>
            <family val="2"/>
          </rPr>
          <t xml:space="preserve">IHME Vehicles-WRA (20260416), national 2025. Cov=coverage(reach); Compl=baseline compliance; g/cap=per-capita g/day.</t>
        </r>
      </text>
    </comment>
    <comment ref="AB9" authorId="0">
      <text>
        <r>
          <rPr>
            <sz val="10"/>
            <rFont val="Arial"/>
            <family val="2"/>
          </rPr>
          <t xml:space="preserve">IHME Vehicles-WRA (20260416), national 2025. Cov=coverage(reach); Compl=baseline compliance; g/cap=per-capita g/day.</t>
        </r>
      </text>
    </comment>
    <comment ref="AB11" authorId="0">
      <text>
        <r>
          <rPr>
            <sz val="10"/>
            <rFont val="Arial"/>
            <family val="2"/>
          </rPr>
          <t xml:space="preserve">IHME Vehicles-WRA (20260416), national 2025. Cov=coverage(reach); Compl=baseline compliance; g/cap=per-capita g/day.</t>
        </r>
      </text>
    </comment>
    <comment ref="AB12" authorId="0">
      <text>
        <r>
          <rPr>
            <sz val="10"/>
            <rFont val="Arial"/>
            <family val="2"/>
          </rPr>
          <t xml:space="preserve">IHME Vehicles-WRA (20260416), national 2025. Cov=coverage(reach); Compl=baseline compliance; g/cap=per-capita g/day.</t>
        </r>
      </text>
    </comment>
    <comment ref="AB13" authorId="0">
      <text>
        <r>
          <rPr>
            <sz val="10"/>
            <rFont val="Arial"/>
            <family val="2"/>
          </rPr>
          <t xml:space="preserve">IHME Vehicles-WRA (20260416), national 2025. Cov=coverage(reach); Compl=baseline compliance; g/cap=per-capita g/day.</t>
        </r>
      </text>
    </comment>
    <comment ref="AB14" authorId="0">
      <text>
        <r>
          <rPr>
            <sz val="10"/>
            <rFont val="Arial"/>
            <family val="2"/>
          </rPr>
          <t xml:space="preserve">IHME Vehicles-WRA (20260416), national 2025. Cov=coverage(reach); Compl=baseline compliance; g/cap=per-capita g/day.</t>
        </r>
      </text>
    </comment>
    <comment ref="AE4" authorId="0">
      <text>
        <r>
          <rPr>
            <sz val="10"/>
            <rFont val="Arial"/>
            <family val="2"/>
          </rPr>
          <t xml:space="preserve">Redefined 12 Sep 2026: this block still describes the salt vehicle overall in Cov and g/cap (coverage and per-capita consumption stay high, reflecting near-universal iodized salt use). Cons is redefined for this vehicle only: instead of general industrial consolidation, it's the fraction of that covered, consolidated iodized salt that is fortifiable specifically as double fortified salt (DFS), with folic acid in Ethiopia, Nigeria, and Tanzania, or iron in India. Compl is kept open (not solved): it's the genuine unresolved question of whether DFS meets the fortification standard, and no country has this data yet.</t>
        </r>
      </text>
    </comment>
    <comment ref="AE6" authorId="0">
      <text>
        <r>
          <rPr>
            <sz val="10"/>
            <rFont val="Arial"/>
            <family val="2"/>
          </rPr>
          <t xml:space="preserve">Jonathan Gorstein:
Estimated % of all salt that will be DFS-IoFA</t>
        </r>
      </text>
    </comment>
    <comment ref="AE7" authorId="0">
      <text>
        <r>
          <rPr>
            <sz val="10"/>
            <rFont val="Arial"/>
            <family val="2"/>
          </rPr>
          <t xml:space="preserve">Estimated % of all salt that will be DFS-IoFe
Calculated as ~51M users / (population 1,476,625,576 x coverage 0.999665) = 3.7%.</t>
        </r>
      </text>
    </comment>
    <comment ref="AF6" authorId="0">
      <text>
        <r>
          <rPr>
            <sz val="10"/>
            <rFont val="Arial"/>
            <family val="2"/>
          </rPr>
          <t xml:space="preserve">Vehicle-level coverage (all iodized salt), not DFS-specific. Expected to be very high, consistent with near-universal iodized salt use.</t>
        </r>
      </text>
    </comment>
    <comment ref="AF7" authorId="0">
      <text>
        <r>
          <rPr>
            <sz val="10"/>
            <rFont val="Arial"/>
            <family val="2"/>
          </rPr>
          <t xml:space="preserve">Vehicle-level coverage (all iodized salt), not DFS-specific. Expected to be very high, consistent with near-universal iodized salt use.</t>
        </r>
      </text>
    </comment>
    <comment ref="AF9" authorId="0">
      <text>
        <r>
          <rPr>
            <sz val="10"/>
            <rFont val="Arial"/>
            <family val="2"/>
          </rPr>
          <t xml:space="preserve">Vehicle-level coverage (all iodized salt), not DFS-specific. Expected to be very high, consistent with near-universal iodized salt use.</t>
        </r>
      </text>
    </comment>
    <comment ref="AG6" authorId="0">
      <text>
        <r>
          <rPr>
            <sz val="10"/>
            <rFont val="Arial"/>
            <family val="2"/>
          </rPr>
          <t xml:space="preserve">Vehicle-level per-capita consumption (all iodized salt), not DFS-specific.</t>
        </r>
      </text>
    </comment>
    <comment ref="AG7" authorId="0">
      <text>
        <r>
          <rPr>
            <sz val="10"/>
            <rFont val="Arial"/>
            <family val="2"/>
          </rPr>
          <t xml:space="preserve">Vehicle-level per-capita consumption (all iodized salt), not DFS-specific.
Note: increased per capita to 7 based on 2023-24 HCES analysis Sept 28, 2026</t>
        </r>
      </text>
    </comment>
    <comment ref="AG9" authorId="0">
      <text>
        <r>
          <rPr>
            <sz val="10"/>
            <rFont val="Arial"/>
            <family val="2"/>
          </rPr>
          <t xml:space="preserve">Vehicle-level per-capita consumption (all iodized salt), not DFS-specific.</t>
        </r>
      </text>
    </comment>
    <comment ref="AH6" authorId="0">
      <text>
        <r>
          <rPr>
            <sz val="10"/>
            <rFont val="Arial"/>
            <family val="2"/>
          </rPr>
          <t xml:space="preserve">Kept open, not solved. This is the real unresolved question: whether DFS actually meets the fortification standard. No country has DFS-specific compliance data yet.</t>
        </r>
      </text>
    </comment>
    <comment ref="AH7" authorId="0">
      <text>
        <r>
          <rPr>
            <sz val="10"/>
            <rFont val="Arial"/>
            <family val="2"/>
          </rPr>
          <t xml:space="preserve">Kept open, not solved. This is the real unresolved question: whether DFS actually meets the fortification standard. No country has DFS-specific compliance data yet.</t>
        </r>
      </text>
    </comment>
    <comment ref="AH9" authorId="0">
      <text>
        <r>
          <rPr>
            <sz val="10"/>
            <rFont val="Arial"/>
            <family val="2"/>
          </rPr>
          <t xml:space="preserve">Kept open, not solved. This is the real unresolved question: whether DFS actually meets the fortification standard. No country has DFS-specific compliance data yet.</t>
        </r>
      </text>
    </comment>
    <comment ref="AI6" authorId="0">
      <text>
        <r>
          <rPr>
            <sz val="10"/>
            <rFont val="Arial"/>
            <family val="2"/>
          </rPr>
          <t xml:space="preserve">IHME Vehicles-WRA (20260416), national 2025. Cov=coverage(reach); Compl=baseline compliance; g/cap=per-capita g/day.</t>
        </r>
      </text>
    </comment>
    <comment ref="AI7" authorId="0">
      <text>
        <r>
          <rPr>
            <sz val="10"/>
            <rFont val="Arial"/>
            <family val="2"/>
          </rPr>
          <t xml:space="preserve">IHME Vehicles-WRA (20260416), national 2025. Cov=coverage(reach); Compl=baseline compliance; g/cap=per-capita g/day.</t>
        </r>
      </text>
    </comment>
    <comment ref="AI8" authorId="0">
      <text>
        <r>
          <rPr>
            <sz val="10"/>
            <rFont val="Arial"/>
            <family val="2"/>
          </rPr>
          <t xml:space="preserve">IHME Vehicles-WRA (20260416), national 2025. Cov=coverage(reach); Compl=baseline compliance; g/cap=per-capita g/day.</t>
        </r>
      </text>
    </comment>
    <comment ref="AI9" authorId="0">
      <text>
        <r>
          <rPr>
            <sz val="10"/>
            <rFont val="Arial"/>
            <family val="2"/>
          </rPr>
          <t xml:space="preserve">Kept open, not solved. This is the real unresolved question: whether DFS actually meets the fortification standard. No country has DFS-specific compliance data yet.</t>
        </r>
      </text>
    </comment>
    <comment ref="AJ6" authorId="0">
      <text>
        <r>
          <rPr>
            <sz val="10"/>
            <rFont val="Arial"/>
            <family val="2"/>
          </rPr>
          <t xml:space="preserve">IHME Vehicles-WRA (20260416), national 2025. Cov=coverage(reach); Compl=baseline compliance; g/cap=per-capita g/day.</t>
        </r>
      </text>
    </comment>
    <comment ref="AJ7" authorId="0">
      <text>
        <r>
          <rPr>
            <sz val="10"/>
            <rFont val="Arial"/>
            <family val="2"/>
          </rPr>
          <t xml:space="preserve">IHME Vehicles-WRA (20260416), national 2025. Cov=coverage(reach); Compl=baseline compliance; g/cap=per-capita g/day.</t>
        </r>
      </text>
    </comment>
    <comment ref="AJ8" authorId="0">
      <text>
        <r>
          <rPr>
            <sz val="10"/>
            <rFont val="Arial"/>
            <family val="2"/>
          </rPr>
          <t xml:space="preserve">IHME Vehicles-WRA (20260416), national 2025. Cov=coverage(reach); Compl=baseline compliance; g/cap=per-capita g/day.</t>
        </r>
      </text>
    </comment>
    <comment ref="AJ9" authorId="0">
      <text>
        <r>
          <rPr>
            <sz val="10"/>
            <rFont val="Arial"/>
            <family val="2"/>
          </rPr>
          <t xml:space="preserve">IHME Vehicles-WRA (20260416), national 2025. Cov=coverage(reach); Compl=baseline compliance; g/cap=per-capita g/day.</t>
        </r>
      </text>
    </comment>
    <comment ref="AJ11" authorId="0">
      <text>
        <r>
          <rPr>
            <sz val="10"/>
            <rFont val="Arial"/>
            <family val="2"/>
          </rPr>
          <t xml:space="preserve">IHME Vehicles-WRA (20260416), national 2025. Cov=coverage(reach); Compl=baseline compliance; g/cap=per-capita g/day.</t>
        </r>
      </text>
    </comment>
    <comment ref="AJ12" authorId="0">
      <text>
        <r>
          <rPr>
            <sz val="10"/>
            <rFont val="Arial"/>
            <family val="2"/>
          </rPr>
          <t xml:space="preserve">IHME Vehicles-WRA (20260416), national 2025. Cov=coverage(reach); Compl=baseline compliance; g/cap=per-capita g/day.</t>
        </r>
      </text>
    </comment>
    <comment ref="AJ13" authorId="0">
      <text>
        <r>
          <rPr>
            <sz val="10"/>
            <rFont val="Arial"/>
            <family val="2"/>
          </rPr>
          <t xml:space="preserve">IHME Vehicles-WRA (20260416), national 2025. Cov=coverage(reach); Compl=baseline compliance; g/cap=per-capita g/day.</t>
        </r>
      </text>
    </comment>
    <comment ref="AJ14" authorId="0">
      <text>
        <r>
          <rPr>
            <sz val="10"/>
            <rFont val="Arial"/>
            <family val="2"/>
          </rPr>
          <t xml:space="preserve">IHME Vehicles-WRA (20260416), national 2025. Cov=coverage(reach); Compl=baseline compliance; g/cap=per-capita g/day.</t>
        </r>
      </text>
    </comment>
    <comment ref="AL9" authorId="0">
      <text>
        <r>
          <rPr>
            <sz val="10"/>
            <rFont val="Arial"/>
            <family val="2"/>
          </rPr>
          <t xml:space="preserve">Kept open, not solved. This is the real unresolved question: whether DFS actually meets the fortification standard. No country has DFS-specific compliance data yet.</t>
        </r>
      </text>
    </comment>
    <comment ref="AM6" authorId="0">
      <text>
        <r>
          <rPr>
            <sz val="10"/>
            <rFont val="Arial"/>
            <family val="2"/>
          </rPr>
          <t xml:space="preserve">SOFI 2026 (FAO/IFAD/UNICEF/WFP/WHO, published 21 Jul 2026), Annex Table A1.5/A1.6, 2025 data: 4.75 PPP$/day, 67.9% unable to afford. Supersedes the World Bank Food Prices for Nutrition v4.0 snapshot (2024 data) previously used here. (previous value in this cell: 4.78)</t>
        </r>
      </text>
    </comment>
    <comment ref="AM7" authorId="0">
      <text>
        <r>
          <rPr>
            <sz val="10"/>
            <rFont val="Arial"/>
            <family val="2"/>
          </rPr>
          <t xml:space="preserve">India MN Indicators deck (8 Sep 2026): PPP$4.11/person/day, 35.5% unable to afford, All population, 2026, source SOFI 2026. Supersedes the World Bank Food Prices for Nutrition v4.0 snapshot ($4.07/40.4%, 2024 data) previously used here, which was a slightly older vintage. (previous value in this cell: 4.07)</t>
        </r>
      </text>
    </comment>
    <comment ref="AM8" authorId="0">
      <text>
        <r>
          <rPr>
            <sz val="10"/>
            <rFont val="Arial"/>
            <family val="2"/>
          </rPr>
          <t xml:space="preserve">World Bank, Food Prices for Nutrition v4.0 (updated 30 Jul 2025); FAO, Cost and Affordability of a Healthy Diet (CoAHD) database (updated 28 Jul 2025). Cost of the least-expensive locally available foods meeting national dietary guidelines, PPP$ per person per day, 2024. Kenya: 4.26 PPP$/day; 77.0% of population unable to afford a healthy diet (same source/year).</t>
        </r>
      </text>
    </comment>
    <comment ref="AM9" authorId="0">
      <text>
        <r>
          <rPr>
            <sz val="10"/>
            <rFont val="Arial"/>
            <family val="2"/>
          </rPr>
          <t xml:space="preserve">SOFI 2026 (FAO/IFAD/UNICEF/WFP/WHO, published 21 Jul 2026), Annex Table A1.5/A1.6, 2025 data: 4.17 PPP$/day, 80.5% unable to afford. Supersedes the World Bank Food Prices for Nutrition v4.0 snapshot (2024 data) previously used here. (previous value in this cell: 4.72)</t>
        </r>
      </text>
    </comment>
    <comment ref="AM11" authorId="0">
      <text>
        <r>
          <rPr>
            <sz val="10"/>
            <rFont val="Arial"/>
            <family val="2"/>
          </rPr>
          <t xml:space="preserve">World Bank, Food Prices for Nutrition v4.0 (updated 30 Jul 2025); FAO, Cost and Affordability of a Healthy Diet (CoAHD) database (updated 28 Jul 2025). Cost of the least-expensive locally available foods meeting national dietary guidelines, PPP$ per person per day, 2024. Bangladesh: 4.49 PPP$/day; 44.4% of population unable to afford a healthy diet (same source/year).</t>
        </r>
      </text>
    </comment>
    <comment ref="AM12" authorId="0">
      <text>
        <r>
          <rPr>
            <sz val="10"/>
            <rFont val="Arial"/>
            <family val="2"/>
          </rPr>
          <t xml:space="preserve">World Bank, Food Prices for Nutrition v4.0 (updated 30 Jul 2025); FAO, Cost and Affordability of a Healthy Diet (CoAHD) database (updated 28 Jul 2025). Cost of the least-expensive locally available foods meeting national dietary guidelines, PPP$ per person per day, 2024. Indonesia: 4.75 PPP$/day; 43.5% of population unable to afford a healthy diet (same source/year).</t>
        </r>
      </text>
    </comment>
    <comment ref="AM13" authorId="0">
      <text>
        <r>
          <rPr>
            <sz val="10"/>
            <rFont val="Arial"/>
            <family val="2"/>
          </rPr>
          <t xml:space="preserve">World Bank, Food Prices for Nutrition v4.0 (updated 30 Jul 2025); FAO, Cost and Affordability of a Healthy Diet (CoAHD) database (updated 28 Jul 2025). Cost of the least-expensive locally available foods meeting national dietary guidelines, PPP$ per person per day, 2024. Pakistan: 3.95 PPP$/day; 60.3% of population unable to afford a healthy diet (same source/year).</t>
        </r>
      </text>
    </comment>
    <comment ref="AM14" authorId="0">
      <text>
        <r>
          <rPr>
            <sz val="10"/>
            <rFont val="Arial"/>
            <family val="2"/>
          </rPr>
          <t xml:space="preserve">World Bank, Food Prices for Nutrition v4.0 (updated 30 Jul 2025); FAO, Cost and Affordability of a Healthy Diet (CoAHD) database (updated 28 Jul 2025). Cost of the least-expensive locally available foods meeting national dietary guidelines, PPP$ per person per day, 2024. Tanzania: 3.37 PPP$/day; 73.8% of population unable to afford a healthy diet (same source/year).</t>
        </r>
      </text>
    </comment>
    <comment ref="AN6" authorId="0">
      <text>
        <r>
          <rPr>
            <sz val="10"/>
            <rFont val="Arial"/>
            <family val="2"/>
          </rPr>
          <t xml:space="preserve">SOFI 2026, Annex Table A1.6, 2025 data.</t>
        </r>
      </text>
    </comment>
    <comment ref="AN7" authorId="0">
      <text>
        <r>
          <rPr>
            <sz val="10"/>
            <rFont val="Arial"/>
            <family val="2"/>
          </rPr>
          <t xml:space="preserve">SOFI 2026, Annex Table A1.6, 2025 data.</t>
        </r>
      </text>
    </comment>
    <comment ref="AN8" authorId="0">
      <text>
        <r>
          <rPr>
            <sz val="10"/>
            <rFont val="Arial"/>
            <family val="2"/>
          </rPr>
          <t xml:space="preserve">World Bank Food Prices for Nutrition v4.0, 2024 data. Not yet confirmed against SOFI 2026.</t>
        </r>
      </text>
    </comment>
    <comment ref="AN9" authorId="0">
      <text>
        <r>
          <rPr>
            <sz val="10"/>
            <rFont val="Arial"/>
            <family val="2"/>
          </rPr>
          <t xml:space="preserve">SOFI 2026, Annex Table A1.6, 2025 data.</t>
        </r>
      </text>
    </comment>
    <comment ref="AN11" authorId="0">
      <text>
        <r>
          <rPr>
            <sz val="10"/>
            <rFont val="Arial"/>
            <family val="2"/>
          </rPr>
          <t xml:space="preserve">World Bank Food Prices for Nutrition v4.0, 2024 data. Not yet confirmed against SOFI 2026.</t>
        </r>
      </text>
    </comment>
    <comment ref="AN12" authorId="0">
      <text>
        <r>
          <rPr>
            <sz val="10"/>
            <rFont val="Arial"/>
            <family val="2"/>
          </rPr>
          <t xml:space="preserve">World Bank Food Prices for Nutrition v4.0, 2024 data. Not yet confirmed against SOFI 2026.</t>
        </r>
      </text>
    </comment>
    <comment ref="AN13" authorId="0">
      <text>
        <r>
          <rPr>
            <sz val="10"/>
            <rFont val="Arial"/>
            <family val="2"/>
          </rPr>
          <t xml:space="preserve">World Bank Food Prices for Nutrition v4.0, 2024 data. Not yet confirmed against SOFI 2026.</t>
        </r>
      </text>
    </comment>
    <comment ref="AN14" authorId="0">
      <text>
        <r>
          <rPr>
            <sz val="10"/>
            <rFont val="Arial"/>
            <family val="2"/>
          </rPr>
          <t xml:space="preserve">World Bank Food Prices for Nutrition v4.0, 2024 data. Not yet confirmed against SOFI 2026.</t>
        </r>
      </text>
    </comment>
    <comment ref="AO6" authorId="0">
      <text>
        <r>
          <rPr>
            <sz val="10"/>
            <rFont val="Arial"/>
            <family val="2"/>
          </rPr>
          <t xml:space="preserve">Women 15-49, 2022/23 national food consumption survey (per strategy deck slide 33). Confirmed directly in the Ethiopia FNSBS 2021-2022 report (EPHI, Feb 2025): 7% nationally, ranging 2% (Tigray, Afar) to 13% (Addis Ababa, SNNP).</t>
        </r>
      </text>
    </comment>
    <comment ref="AO7" authorId="0">
      <text>
        <r>
          <rPr>
            <sz val="10"/>
            <rFont val="Arial"/>
            <family val="2"/>
          </rPr>
          <t xml:space="preserve">Women 15-49; Global Diet Quality Project, 2025 (2024 data), 41%. Confirmed in India MN Indicators deck (8 Sep 2026).</t>
        </r>
      </text>
    </comment>
    <comment ref="AO8" authorId="0">
      <text>
        <r>
          <rPr>
            <sz val="10"/>
            <rFont val="Arial"/>
            <family val="2"/>
          </rPr>
          <t xml:space="preserve">MDD-W not yet available for this country. No single global database covers MDD-W the way CoHD/anemia are covered; it needs a country-specific DHS/MICS/national survey figure. Flagged 12 Sep 2026 for follow-up.</t>
        </r>
      </text>
    </comment>
    <comment ref="AO9" authorId="0">
      <text>
        <r>
          <rPr>
            <sz val="10"/>
            <rFont val="Arial"/>
            <family val="2"/>
          </rPr>
          <t xml:space="preserve">Women 15-49, NFCMS 2021 (per strategy deck slide 32).</t>
        </r>
      </text>
    </comment>
    <comment ref="AO11" authorId="0">
      <text>
        <r>
          <rPr>
            <sz val="10"/>
            <rFont val="Arial"/>
            <family val="2"/>
          </rPr>
          <t xml:space="preserve">MDD-W not yet available for this country. No single global database covers MDD-W the way CoHD/anemia are covered; it needs a country-specific DHS/MICS/national survey figure. Flagged 12 Sep 2026 for follow-up.</t>
        </r>
      </text>
    </comment>
    <comment ref="AO12" authorId="0">
      <text>
        <r>
          <rPr>
            <sz val="10"/>
            <rFont val="Arial"/>
            <family val="2"/>
          </rPr>
          <t xml:space="preserve">MDD-W not yet available for this country. No single global database covers MDD-W the way CoHD/anemia are covered; it needs a country-specific DHS/MICS/national survey figure. Flagged 12 Sep 2026 for follow-up.</t>
        </r>
      </text>
    </comment>
    <comment ref="AO13" authorId="0">
      <text>
        <r>
          <rPr>
            <sz val="10"/>
            <rFont val="Arial"/>
            <family val="2"/>
          </rPr>
          <t xml:space="preserve">MDD-W not yet available for this country. No single global database covers MDD-W the way CoHD/anemia are covered; it needs a country-specific DHS/MICS/national survey figure. Flagged 12 Sep 2026 for follow-up.</t>
        </r>
      </text>
    </comment>
    <comment ref="AO14" authorId="0">
      <text>
        <r>
          <rPr>
            <sz val="10"/>
            <rFont val="Arial"/>
            <family val="2"/>
          </rPr>
          <t xml:space="preserve">MDD-W not yet available for this country. No single global database covers MDD-W the way CoHD/anemia are covered; it needs a country-specific DHS/MICS/national survey figure. Flagged 12 Sep 2026 for follow-up.</t>
        </r>
      </text>
    </comment>
    <comment ref="AP6" authorId="0">
      <text>
        <r>
          <rPr>
            <sz val="10"/>
            <rFont val="Arial"/>
            <family val="2"/>
          </rPr>
          <t xml:space="preserve">Ethiopia Food and Nutrition Strategy Baseline Survey (FNSBS) 2021-2022, EPHI, published Feb 2025. Direct national survey (not modeled), all WRA 15-49, standard WHO haemoglobin cutoffs (any anaemia, not severe-only). Regional range: 12% (Addis Ababa, Gambela) to 46% (Somali). Supersedes the WHO GHO modeled estimate (23.1%, 2023) previously used here. (previous value in this cell: 23.1)</t>
        </r>
      </text>
    </comment>
    <comment ref="AP7" authorId="0">
      <text>
        <r>
          <rPr>
            <sz val="10"/>
            <rFont val="Arial"/>
            <family val="2"/>
          </rPr>
          <t xml:space="preserve">NFHS-5, 2021. Women 15-49, WHO haemoglobin cutoffs (any anaemia, not severe-only): &lt;12 g/dL non-pregnant, &lt;11 g/dL pregnant. Confirmed in India MN Indicators deck (8 Sep 2026). Supersedes the WHO GHO modeled estimate (53.7%, 2023) previously used here. (previous value in this cell: 53.7)</t>
        </r>
      </text>
    </comment>
    <comment ref="AP8" authorId="0">
      <text>
        <r>
          <rPr>
            <sz val="10"/>
            <rFont val="Arial"/>
            <family val="2"/>
          </rPr>
          <t xml:space="preserve">WHO Global Health Observatory / World Health Statistics, via World Bank World Development Indicators, indicator SH.ANM.ALLW.ZS, 2023. Combined prevalence of non-pregnant women with haemoglobin &lt;12 g/dL and pregnant women with haemoglobin &lt;11 g/dL (i.e. any anaemia, not severe-only), women aged 15-49, adjusted for altitude and smoking.</t>
        </r>
      </text>
    </comment>
    <comment ref="AP9" authorId="0">
      <text>
        <r>
          <rPr>
            <sz val="10"/>
            <rFont val="Arial"/>
            <family val="2"/>
          </rPr>
          <t xml:space="preserve">NFCMS 2021 (National Food Consumption and Micronutrient Survey), Women 15-49, per Oct 2026 strategy deck slide 32. This is Nigeria's own direct national survey figure; replacing the WHO GHO modeled estimate (37.9%, 2023) that was used here in error, since a better direct source was already available in the strategy deck. (previous value in this cell: 37.9)</t>
        </r>
      </text>
    </comment>
    <comment ref="AP11" authorId="0">
      <text>
        <r>
          <rPr>
            <sz val="10"/>
            <rFont val="Arial"/>
            <family val="2"/>
          </rPr>
          <t xml:space="preserve">WHO Global Health Observatory / World Health Statistics, via World Bank World Development Indicators, indicator SH.ANM.ALLW.ZS, 2023. Combined prevalence of non-pregnant women with haemoglobin &lt;12 g/dL and pregnant women with haemoglobin &lt;11 g/dL (i.e. any anaemia, not severe-only), women aged 15-49, adjusted for altitude and smoking.</t>
        </r>
      </text>
    </comment>
    <comment ref="AP12" authorId="0">
      <text>
        <r>
          <rPr>
            <sz val="10"/>
            <rFont val="Arial"/>
            <family val="2"/>
          </rPr>
          <t xml:space="preserve">WHO Global Health Observatory / World Health Statistics, via World Bank World Development Indicators, indicator SH.ANM.ALLW.ZS, 2023. Combined prevalence of non-pregnant women with haemoglobin &lt;12 g/dL and pregnant women with haemoglobin &lt;11 g/dL (i.e. any anaemia, not severe-only), women aged 15-49, adjusted for altitude and smoking.</t>
        </r>
      </text>
    </comment>
    <comment ref="AP13" authorId="0">
      <text>
        <r>
          <rPr>
            <sz val="10"/>
            <rFont val="Arial"/>
            <family val="2"/>
          </rPr>
          <t xml:space="preserve">WHO Global Health Observatory / World Health Statistics, via World Bank World Development Indicators, indicator SH.ANM.ALLW.ZS, 2023. Combined prevalence of non-pregnant women with haemoglobin &lt;12 g/dL and pregnant women with haemoglobin &lt;11 g/dL (i.e. any anaemia, not severe-only), women aged 15-49, adjusted for altitude and smoking.</t>
        </r>
      </text>
    </comment>
    <comment ref="AP14" authorId="0">
      <text>
        <r>
          <rPr>
            <sz val="10"/>
            <rFont val="Arial"/>
            <family val="2"/>
          </rPr>
          <t xml:space="preserve">TDHS 2022 - National Micronutrient Survey - TFNC</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@Jonathan Gorstein @Kathy Banke added this tab with definitions in case helpful, or at least for posterity. Please feel free to use differently, keep or delete. Thanks.
Reply:
    Love it !!!!</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O5" authorId="0">
      <text>
        <r>
          <rPr>
            <sz val="10"/>
            <rFont val="Arial"/>
            <family val="2"/>
          </rPr>
          <t xml:space="preserve">SOFI 2026 (FAO/IFAD/UNICEF/WFP/WHO, published 21 Jul 2026), Annex Table A1.5/A1.6, 2025 data: 4.75 PPP$/day, 67.9% unable to afford. Supersedes the World Bank Food Prices for Nutrition v4.0 snapshot (2024 data) previously used here. (previous value in this cell: 4.78)</t>
        </r>
      </text>
    </comment>
    <comment ref="AP5" authorId="0">
      <text>
        <r>
          <rPr>
            <sz val="10"/>
            <rFont val="Arial"/>
            <family val="2"/>
          </rPr>
          <t xml:space="preserve">SOFI 2026, Annex Table A1.6, 2025 data.</t>
        </r>
      </text>
    </comment>
    <comment ref="AQ5" authorId="0">
      <text>
        <r>
          <rPr>
            <sz val="10"/>
            <rFont val="Arial"/>
            <family val="2"/>
          </rPr>
          <t xml:space="preserve">Women 15-49, 2022/23 national food consumption survey (per strategy deck slide 33). Confirmed directly in the Ethiopia FNSBS 2021-2022 report (EPHI, Feb 2025): 7% nationally, ranging 2% (Tigray, Afar) to 13% (Addis Ababa, SNNP).</t>
        </r>
      </text>
    </comment>
    <comment ref="AR5" authorId="0">
      <text>
        <r>
          <rPr>
            <sz val="10"/>
            <rFont val="Arial"/>
            <family val="2"/>
          </rPr>
          <t xml:space="preserve">Ethiopia Food and Nutrition Strategy Baseline Survey (FNSBS) 2021-2022, EPHI, published Feb 2025. Direct national survey (not modeled), all WRA 15-49, standard WHO haemoglobin cutoffs (any anaemia, not severe-only). Regional range: 12% (Addis Ababa, Gambela) to 46% (Somali). Supersedes the WHO GHO modeled estimate (23.1%, 2023) previously used here. (previous value in this cell: 23.1)</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M5" authorId="0">
      <text>
        <r>
          <rPr>
            <sz val="10"/>
            <rFont val="Arial"/>
            <family val="2"/>
          </rPr>
          <t xml:space="preserve">India MN Indicators deck (8 Sep 2026): PPP$4.11/person/day, 35.5% unable to afford, All population, 2026, source SOFI 2026. Supersedes the World Bank Food Prices for Nutrition v4.0 snapshot ($4.07/40.4%, 2024 data) previously used here, which was a slightly older vintage. (previous value in this cell: 4.07)</t>
        </r>
      </text>
    </comment>
    <comment ref="AN5" authorId="0">
      <text>
        <r>
          <rPr>
            <sz val="10"/>
            <rFont val="Arial"/>
            <family val="2"/>
          </rPr>
          <t xml:space="preserve">SOFI 2026, Annex Table A1.6, 2025 data.</t>
        </r>
      </text>
    </comment>
    <comment ref="AO5" authorId="0">
      <text>
        <r>
          <rPr>
            <sz val="10"/>
            <rFont val="Arial"/>
            <family val="2"/>
          </rPr>
          <t xml:space="preserve">Women 15-49; Global Diet Quality Project, 2025 (2024 data), 41%. Confirmed in India MN Indicators deck (8 Sep 2026).</t>
        </r>
      </text>
    </comment>
    <comment ref="AP5" authorId="0">
      <text>
        <r>
          <rPr>
            <sz val="10"/>
            <rFont val="Arial"/>
            <family val="2"/>
          </rPr>
          <t xml:space="preserve">NFHS-5, 2021. Women 15-49, WHO haemoglobin cutoffs (any anaemia, not severe-only): &lt;12 g/dL non-pregnant, &lt;11 g/dL pregnant. Confirmed in India MN Indicators deck (8 Sep 2026). Supersedes the WHO GHO modeled estimate (53.7%, 2023) previously used here. (previous value in this cell: 53.7)</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M5" authorId="0">
      <text>
        <r>
          <rPr>
            <sz val="10"/>
            <rFont val="Arial"/>
            <family val="2"/>
          </rPr>
          <t xml:space="preserve">World Bank, Food Prices for Nutrition v4.0 (updated 30 Jul 2025); FAO, Cost and Affordability of a Healthy Diet (CoAHD) database (updated 28 Jul 2025). Cost of the least-expensive locally available foods meeting national dietary guidelines, PPP$ per person per day, 2024. Kenya: 4.26 PPP$/day; 77.0% of population unable to afford a healthy diet (same source/year).</t>
        </r>
      </text>
    </comment>
    <comment ref="AN5" authorId="0">
      <text>
        <r>
          <rPr>
            <sz val="10"/>
            <rFont val="Arial"/>
            <family val="2"/>
          </rPr>
          <t xml:space="preserve">World Bank Food Prices for Nutrition v4.0, 2024 data. Not yet confirmed against SOFI 2026.</t>
        </r>
      </text>
    </comment>
    <comment ref="AO5" authorId="0">
      <text>
        <r>
          <rPr>
            <sz val="10"/>
            <rFont val="Arial"/>
            <family val="2"/>
          </rPr>
          <t xml:space="preserve">MDD-W not yet available for this country. No single global database covers MDD-W the way CoHD/anemia are covered; it needs a country-specific DHS/MICS/national survey figure. Flagged 12 Sep 2026 for follow-up.</t>
        </r>
      </text>
    </comment>
    <comment ref="AP5" authorId="0">
      <text>
        <r>
          <rPr>
            <sz val="10"/>
            <rFont val="Arial"/>
            <family val="2"/>
          </rPr>
          <t xml:space="preserve">WHO Global Health Observatory / World Health Statistics, via World Bank World Development Indicators, indicator SH.ANM.ALLW.ZS, 2023. Combined prevalence of non-pregnant women with haemoglobin &lt;12 g/dL and pregnant women with haemoglobin &lt;11 g/dL (i.e. any anaemia, not severe-only), women aged 15-49, adjusted for altitude and smoking.</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M5" authorId="0">
      <text>
        <r>
          <rPr>
            <sz val="10"/>
            <rFont val="Arial"/>
            <family val="2"/>
          </rPr>
          <t xml:space="preserve">SOFI 2026 (FAO/IFAD/UNICEF/WFP/WHO, published 21 Jul 2026), Annex Table A1.5, 2025 data: 4.17 PPP$/day. Fixing a copy error from 13 Sep 2026: this cell had been left at the old 4.72 value while the corrected 4.17 was mistakenly written into the Anemia WRA cell instead.</t>
        </r>
      </text>
    </comment>
    <comment ref="AN5" authorId="0">
      <text>
        <r>
          <rPr>
            <sz val="10"/>
            <rFont val="Arial"/>
            <family val="2"/>
          </rPr>
          <t xml:space="preserve">SOFI 2026, Annex Table A1.6, 2025 data.</t>
        </r>
      </text>
    </comment>
    <comment ref="AO5" authorId="0">
      <text>
        <r>
          <rPr>
            <sz val="10"/>
            <rFont val="Arial"/>
            <family val="2"/>
          </rPr>
          <t xml:space="preserve">Women 15-49, NFCMS 2021 (per strategy deck slide 32).</t>
        </r>
      </text>
    </comment>
    <comment ref="AP5" authorId="0">
      <text>
        <r>
          <rPr>
            <sz val="10"/>
            <rFont val="Arial"/>
            <family val="2"/>
          </rPr>
          <t xml:space="preserve">WHO Global Health Observatory-modeled estimate superseded; Nigeria's own NFCMS 2021 direct survey figures used instead (25.4% non-pregnant / 32.8% pregnant), per the Oct 2026 strategy deck. Restoring this value 13 Sep 2026 after it was mistakenly overwritten with a CoHD figure during the SOFI 2026 update.</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M5" authorId="0">
      <text>
        <r>
          <rPr>
            <sz val="10"/>
            <rFont val="Arial"/>
            <family val="2"/>
          </rPr>
          <t xml:space="preserve">World Bank, Food Prices for Nutrition v4.0 (updated 30 Jul 2025); FAO, Cost and Affordability of a Healthy Diet (CoAHD) database (updated 28 Jul 2025). Cost of the least-expensive locally available foods meeting national dietary guidelines, PPP$ per person per day, 2024. Bangladesh: 4.49 PPP$/day; 44.4% of population unable to afford a healthy diet (same source/year).</t>
        </r>
      </text>
    </comment>
    <comment ref="AN5" authorId="0">
      <text>
        <r>
          <rPr>
            <sz val="10"/>
            <rFont val="Arial"/>
            <family val="2"/>
          </rPr>
          <t xml:space="preserve">World Bank Food Prices for Nutrition v4.0, 2024 data. Not yet confirmed against SOFI 2026.</t>
        </r>
      </text>
    </comment>
    <comment ref="AO5" authorId="0">
      <text>
        <r>
          <rPr>
            <sz val="10"/>
            <rFont val="Arial"/>
            <family val="2"/>
          </rPr>
          <t xml:space="preserve">MDD-W not yet available for this country. No single global database covers MDD-W the way CoHD/anemia are covered; it needs a country-specific DHS/MICS/national survey figure. Flagged 12 Sep 2026 for follow-up.</t>
        </r>
      </text>
    </comment>
    <comment ref="AP5" authorId="0">
      <text>
        <r>
          <rPr>
            <sz val="10"/>
            <rFont val="Arial"/>
            <family val="2"/>
          </rPr>
          <t xml:space="preserve">WHO Global Health Observatory / World Health Statistics, via World Bank World Development Indicators, indicator SH.ANM.ALLW.ZS, 2023. Combined prevalence of non-pregnant women with haemoglobin &lt;12 g/dL and pregnant women with haemoglobin &lt;11 g/dL (i.e. any anaemia, not severe-only), women aged 15-49, adjusted for altitude and smoking.</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M5" authorId="0">
      <text>
        <r>
          <rPr>
            <sz val="10"/>
            <rFont val="Arial"/>
            <family val="2"/>
          </rPr>
          <t xml:space="preserve">World Bank, Food Prices for Nutrition v4.0 (updated 30 Jul 2025); FAO, Cost and Affordability of a Healthy Diet (CoAHD) database (updated 28 Jul 2025). Cost of the least-expensive locally available foods meeting national dietary guidelines, PPP$ per person per day, 2024. Indonesia: 4.75 PPP$/day; 43.5% of population unable to afford a healthy diet (same source/year).</t>
        </r>
      </text>
    </comment>
    <comment ref="AN5" authorId="0">
      <text>
        <r>
          <rPr>
            <sz val="10"/>
            <rFont val="Arial"/>
            <family val="2"/>
          </rPr>
          <t xml:space="preserve">World Bank Food Prices for Nutrition v4.0, 2024 data. Not yet confirmed against SOFI 2026.</t>
        </r>
      </text>
    </comment>
    <comment ref="AO5" authorId="0">
      <text>
        <r>
          <rPr>
            <sz val="10"/>
            <rFont val="Arial"/>
            <family val="2"/>
          </rPr>
          <t xml:space="preserve">MDD-W not yet available for this country. No single global database covers MDD-W the way CoHD/anemia are covered; it needs a country-specific DHS/MICS/national survey figure. Flagged 12 Sep 2026 for follow-up.</t>
        </r>
      </text>
    </comment>
    <comment ref="AP5" authorId="0">
      <text>
        <r>
          <rPr>
            <sz val="10"/>
            <rFont val="Arial"/>
            <family val="2"/>
          </rPr>
          <t xml:space="preserve">WHO Global Health Observatory / World Health Statistics, via World Bank World Development Indicators, indicator SH.ANM.ALLW.ZS, 2023. Combined prevalence of non-pregnant women with haemoglobin &lt;12 g/dL and pregnant women with haemoglobin &lt;11 g/dL (i.e. any anaemia, not severe-only), women aged 15-49, adjusted for altitude and smoking.</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M5" authorId="0">
      <text>
        <r>
          <rPr>
            <sz val="10"/>
            <rFont val="Arial"/>
            <family val="2"/>
          </rPr>
          <t xml:space="preserve">World Bank, Food Prices for Nutrition v4.0 (updated 30 Jul 2025); FAO, Cost and Affordability of a Healthy Diet (CoAHD) database (updated 28 Jul 2025). Cost of the least-expensive locally available foods meeting national dietary guidelines, PPP$ per person per day, 2024. Pakistan: 3.95 PPP$/day; 60.3% of population unable to afford a healthy diet (same source/year).</t>
        </r>
      </text>
    </comment>
    <comment ref="AN5" authorId="0">
      <text>
        <r>
          <rPr>
            <sz val="10"/>
            <rFont val="Arial"/>
            <family val="2"/>
          </rPr>
          <t xml:space="preserve">World Bank Food Prices for Nutrition v4.0, 2024 data. Not yet confirmed against SOFI 2026.</t>
        </r>
      </text>
    </comment>
    <comment ref="AO5" authorId="0">
      <text>
        <r>
          <rPr>
            <sz val="10"/>
            <rFont val="Arial"/>
            <family val="2"/>
          </rPr>
          <t xml:space="preserve">MDD-W not yet available for this country. No single global database covers MDD-W the way CoHD/anemia are covered; it needs a country-specific DHS/MICS/national survey figure. Flagged 12 Sep 2026 for follow-up.</t>
        </r>
      </text>
    </comment>
    <comment ref="AP5" authorId="0">
      <text>
        <r>
          <rPr>
            <sz val="10"/>
            <rFont val="Arial"/>
            <family val="2"/>
          </rPr>
          <t xml:space="preserve">WHO Global Health Observatory / World Health Statistics, via World Bank World Development Indicators, indicator SH.ANM.ALLW.ZS, 2023. Combined prevalence of non-pregnant women with haemoglobin &lt;12 g/dL and pregnant women with haemoglobin &lt;11 g/dL (i.e. any anaemia, not severe-only), women aged 15-49, adjusted for altitude and smoking.</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M5" authorId="0">
      <text>
        <r>
          <rPr>
            <sz val="10"/>
            <rFont val="Arial"/>
            <family val="2"/>
          </rPr>
          <t xml:space="preserve">World Bank, Food Prices for Nutrition v4.0 (updated 30 Jul 2025); FAO, Cost and Affordability of a Healthy Diet (CoAHD) database (updated 28 Jul 2025). Cost of the least-expensive locally available foods meeting national dietary guidelines, PPP$ per person per day, 2024. Tanzania: 3.37 PPP$/day; 73.8% of population unable to afford a healthy diet (same source/year).</t>
        </r>
      </text>
    </comment>
    <comment ref="AN5" authorId="0">
      <text>
        <r>
          <rPr>
            <sz val="10"/>
            <rFont val="Arial"/>
            <family val="2"/>
          </rPr>
          <t xml:space="preserve">World Bank Food Prices for Nutrition v4.0, 2024 data. Not yet confirmed against SOFI 2026.</t>
        </r>
      </text>
    </comment>
    <comment ref="AO5" authorId="0">
      <text>
        <r>
          <rPr>
            <sz val="10"/>
            <rFont val="Arial"/>
            <family val="2"/>
          </rPr>
          <t xml:space="preserve">MDD-W not yet available for this country. No single global database covers MDD-W the way CoHD/anemia are covered; it needs a country-specific DHS/MICS/national survey figure. Flagged 12 Sep 2026 for follow-up.</t>
        </r>
      </text>
    </comment>
    <comment ref="AP5" authorId="0">
      <text>
        <r>
          <rPr>
            <sz val="10"/>
            <rFont val="Arial"/>
            <family val="2"/>
          </rPr>
          <t xml:space="preserve">WHO Global Health Observatory / World Health Statistics, via World Bank World Development Indicators, indicator SH.ANM.ALLW.ZS, 2023. Combined prevalence of non-pregnant women with haemoglobin &lt;12 g/dL and pregnant women with haemoglobin &lt;11 g/dL (i.e. any anaemia, not severe-only), women aged 15-49, adjusted for altitude and smoking.</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H22" authorId="0">
      <text>
        <r>
          <rPr>
            <sz val="10"/>
            <rFont val="Arial"/>
            <family val="2"/>
          </rPr>
          <t xml:space="preserve">India 'Rice' blends two source rows from the Sept 25 vehicle-data file: 'Rice w/o PDS' (Consolidation 2031=0.2145, 2035=0.3516) and 'Rice w/ PDS' (Consolidation 2031=0.5792, 2035=0.6279). Coverage (0.988) and Compliance (0.75/0.85) are identical for both channels, so only Consolidation needed blending, using each channel's Reach (M) as the weight: 2031 -&gt; 0.4807, 2035 -&gt; 0.5286. If the team wants the PDS/non-PDS split preserved rather than blended, this row should be split into two, matching the LSFF DALYs 'Input - workbook' tab, which keeps them separate. — Added by Claude, 30 Sep 2026.</t>
        </r>
      </text>
    </comment>
    <comment ref="J36" authorId="0">
      <text>
        <r>
          <rPr>
            <sz val="10"/>
            <rFont val="Arial"/>
            <family val="2"/>
          </rPr>
          <t xml:space="preserve">Source (Sept 25 vehicle-data file) leaves Compliance blank for this country's DFS row and instead gives Effective Coverage directly (2031=0.76, 2035=0.85); Coverage x Consolidation alone would only reach 0.980 (2031) and 0.980 (2035), confirming Compliance isn't simply back-solvable from these two numbers. Effective Coverage is entered here as a literal value (not the usual live formula) to preserve the source's number; Compliance is left blank/n/a, matching the LSFF DALYs 'Input - workbook' tab's identical treatment of this same ambiguity (see its Method sheet). — Added by Claude, 30 Sep 2026.</t>
        </r>
      </text>
    </comment>
    <comment ref="J48" authorId="0">
      <text>
        <r>
          <rPr>
            <sz val="10"/>
            <rFont val="Arial"/>
            <family val="2"/>
          </rPr>
          <t xml:space="preserve">Source (Sept 25 vehicle-data file) leaves Compliance blank for this country's DFS row and instead gives Effective Coverage directly (2031=0.796, 2035=0.85); Coverage x Consolidation alone would only reach 0.245 (2031) and 0.245 (2035), confirming Compliance isn't simply back-solvable from these two numbers. Effective Coverage is entered here as a literal value (not the usual live formula) to preserve the source's number; Compliance is left blank/n/a, matching the LSFF DALYs 'Input - workbook' tab's identical treatment of this same ambiguity (see its Method sheet). — Added by Claude, 30 Sep 2026.</t>
        </r>
      </text>
    </comment>
    <comment ref="J54" authorId="0">
      <text>
        <r>
          <rPr>
            <sz val="10"/>
            <rFont val="Arial"/>
            <family val="2"/>
          </rPr>
          <t xml:space="preserve">Source (Sept 25 vehicle-data file) leaves Compliance blank for this country's DFS row and instead gives Effective Coverage directly (2031=0.61, 2035=0.7); Coverage x Consolidation alone would only reach 0.735 (2031) and 0.735 (2035), confirming Compliance isn't simply back-solvable from these two numbers. Effective Coverage is entered here as a literal value (not the usual live formula) to preserve the source's number; Compliance is left blank/n/a, matching the LSFF DALYs 'Input - workbook' tab's identical treatment of this same ambiguity (see its Method sheet). — Added by Claude, 30 Sep 2026.</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R36" authorId="0">
      <text>
        <r>
          <rPr>
            <sz val="10"/>
            <rFont val="Arial"/>
            <family val="2"/>
          </rPr>
          <t xml:space="preserve">Overridden to use Effective Coverage (O36) directly rather than Coverage x Consolidation x Compliance, because Compliance is left blank for Bangladesh DFS in the Coverage Over Time tab (the source vehicle-data file gives Effective Coverage directly for this row without a separable compliance figure). Using N/V here would wrongly return 0. — Added by Claude, 30 Sep 2026.</t>
        </r>
      </text>
    </comment>
    <comment ref="R48" authorId="0">
      <text>
        <r>
          <rPr>
            <sz val="10"/>
            <rFont val="Arial"/>
            <family val="2"/>
          </rPr>
          <t xml:space="preserve">Overridden to use Effective Coverage (O48) directly rather than Coverage x Consolidation x Compliance, because Compliance is left blank for Pakistan DFS in the Coverage Over Time tab (the source vehicle-data file gives Effective Coverage directly for this row without a separable compliance figure). Using N/V here would wrongly return 0. — Added by Claude, 30 Sep 2026.</t>
        </r>
      </text>
    </comment>
    <comment ref="R54" authorId="0">
      <text>
        <r>
          <rPr>
            <sz val="10"/>
            <rFont val="Arial"/>
            <family val="2"/>
          </rPr>
          <t xml:space="preserve">Overridden to use Effective Coverage (O54) directly rather than Coverage x Consolidation x Compliance, because Compliance is left blank for Tanzania DFS in the Coverage Over Time tab (the source vehicle-data file gives Effective Coverage directly for this row without a separable compliance figure). Using N/V here would wrongly return 0. — Added by Claude, 30 Sep 2026.</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E18" authorId="0">
      <text>
        <r>
          <rPr>
            <sz val="10"/>
            <rFont val="Arial"/>
            <family val="2"/>
          </rPr>
          <t xml:space="preserve">Per-capita consumption 3.9 g/day. Nigeria NFCMS 2021, Table 167 (salt), non-pregnant women. Daily quantity per AFE = this x Dose (30 µg/g folate).</t>
        </r>
      </text>
    </comment>
    <comment ref="E20" authorId="0">
      <text>
        <r>
          <rPr>
            <sz val="10"/>
            <rFont val="Arial"/>
            <family val="2"/>
          </rPr>
          <t xml:space="preserve">Per-capita consumption 6.3 g/day. Nigeria NFCMS 2021, Table 170 (bouillon), non-pregnant women. Daily quantity per AFE = this x Dose (24 µg/g folate).</t>
        </r>
      </text>
    </comment>
    <comment ref="E22" authorId="0">
      <text>
        <r>
          <rPr>
            <sz val="10"/>
            <rFont val="Arial"/>
            <family val="2"/>
          </rPr>
          <t xml:space="preserve">Per-capita consumption 6.3 g/day. Nigeria NFCMS 2021, Table 170 (bouillon), non-pregnant women. Daily quantity per AFE = this x Dose (1.32 mg/g iron).</t>
        </r>
      </text>
    </comment>
    <comment ref="F18" authorId="0">
      <text>
        <r>
          <rPr>
            <sz val="10"/>
            <rFont val="Arial"/>
            <family val="2"/>
          </rPr>
          <t xml:space="preserve">Per-capita consumption 3.5 g/day. Nigeria NFCMS 2021, Table 167 (salt), non-pregnant women. Daily quantity per AFE = this x Dose (30 µg/g folate).</t>
        </r>
      </text>
    </comment>
    <comment ref="F20" authorId="0">
      <text>
        <r>
          <rPr>
            <sz val="10"/>
            <rFont val="Arial"/>
            <family val="2"/>
          </rPr>
          <t xml:space="preserve">Per-capita consumption 5.3 g/day. Nigeria NFCMS 2021, Table 170 (bouillon), non-pregnant women. Daily quantity per AFE = this x Dose (24 µg/g folate).</t>
        </r>
      </text>
    </comment>
    <comment ref="F22" authorId="0">
      <text>
        <r>
          <rPr>
            <sz val="10"/>
            <rFont val="Arial"/>
            <family val="2"/>
          </rPr>
          <t xml:space="preserve">Per-capita consumption 5.3 g/day. Nigeria NFCMS 2021, Table 170 (bouillon), non-pregnant women. Daily quantity per AFE = this x Dose (1.32 mg/g iron).</t>
        </r>
      </text>
    </comment>
    <comment ref="G18" authorId="0">
      <text>
        <r>
          <rPr>
            <sz val="10"/>
            <rFont val="Arial"/>
            <family val="2"/>
          </rPr>
          <t xml:space="preserve">Per-capita consumption 4.2 g/day. Nigeria NFCMS 2021, Table 167 (salt), non-pregnant women. Daily quantity per AFE = this x Dose (30 µg/g folate).</t>
        </r>
      </text>
    </comment>
    <comment ref="G20" authorId="0">
      <text>
        <r>
          <rPr>
            <sz val="10"/>
            <rFont val="Arial"/>
            <family val="2"/>
          </rPr>
          <t xml:space="preserve">Per-capita consumption 7.1 g/day. Nigeria NFCMS 2021, Table 170 (bouillon), non-pregnant women. Daily quantity per AFE = this x Dose (24 µg/g folate).</t>
        </r>
      </text>
    </comment>
    <comment ref="G22" authorId="0">
      <text>
        <r>
          <rPr>
            <sz val="10"/>
            <rFont val="Arial"/>
            <family val="2"/>
          </rPr>
          <t xml:space="preserve">Per-capita consumption 7.1 g/day. Nigeria NFCMS 2021, Table 170 (bouillon), non-pregnant women. Daily quantity per AFE = this x Dose (1.32 mg/g iron).</t>
        </r>
      </text>
    </comment>
    <comment ref="H18" authorId="0">
      <text>
        <r>
          <rPr>
            <sz val="10"/>
            <rFont val="Arial"/>
            <family val="2"/>
          </rPr>
          <t xml:space="preserve">Per-capita consumption 3.8 g/day. Nigeria NFCMS 2021, Table 167 (salt), non-pregnant women. Daily quantity per AFE = this x Dose (30 µg/g folate).</t>
        </r>
      </text>
    </comment>
    <comment ref="H20" authorId="0">
      <text>
        <r>
          <rPr>
            <sz val="10"/>
            <rFont val="Arial"/>
            <family val="2"/>
          </rPr>
          <t xml:space="preserve">Per-capita consumption 4.6 g/day. Nigeria NFCMS 2021, Table 170 (bouillon), non-pregnant women. Daily quantity per AFE = this x Dose (24 µg/g folate).</t>
        </r>
      </text>
    </comment>
    <comment ref="H22" authorId="0">
      <text>
        <r>
          <rPr>
            <sz val="10"/>
            <rFont val="Arial"/>
            <family val="2"/>
          </rPr>
          <t xml:space="preserve">Per-capita consumption 4.6 g/day. Nigeria NFCMS 2021, Table 170 (bouillon), non-pregnant women. Daily quantity per AFE = this x Dose (1.32 mg/g iron).</t>
        </r>
      </text>
    </comment>
    <comment ref="I18" authorId="0">
      <text>
        <r>
          <rPr>
            <sz val="10"/>
            <rFont val="Arial"/>
            <family val="2"/>
          </rPr>
          <t xml:space="preserve">Per-capita consumption 4.0 g/day. Nigeria NFCMS 2021, Table 167 (salt), non-pregnant women. Daily quantity per AFE = this x Dose (30 µg/g folate).</t>
        </r>
      </text>
    </comment>
    <comment ref="I20" authorId="0">
      <text>
        <r>
          <rPr>
            <sz val="10"/>
            <rFont val="Arial"/>
            <family val="2"/>
          </rPr>
          <t xml:space="preserve">Per-capita consumption 8.0 g/day. Nigeria NFCMS 2021, Table 170 (bouillon), non-pregnant women. Daily quantity per AFE = this x Dose (24 µg/g folate).</t>
        </r>
      </text>
    </comment>
    <comment ref="I22" authorId="0">
      <text>
        <r>
          <rPr>
            <sz val="10"/>
            <rFont val="Arial"/>
            <family val="2"/>
          </rPr>
          <t xml:space="preserve">Per-capita consumption 8.0 g/day. Nigeria NFCMS 2021, Table 170 (bouillon), non-pregnant women. Daily quantity per AFE = this x Dose (1.32 mg/g iron).</t>
        </r>
      </text>
    </comment>
    <comment ref="J18" authorId="0">
      <text>
        <r>
          <rPr>
            <sz val="10"/>
            <rFont val="Arial"/>
            <family val="2"/>
          </rPr>
          <t xml:space="preserve">Per-capita consumption 3.8 g/day. Nigeria NFCMS 2021, Table 167 (salt), non-pregnant women. Daily quantity per AFE = this x Dose (30 µg/g folate).</t>
        </r>
      </text>
    </comment>
    <comment ref="J20" authorId="0">
      <text>
        <r>
          <rPr>
            <sz val="10"/>
            <rFont val="Arial"/>
            <family val="2"/>
          </rPr>
          <t xml:space="preserve">Per-capita consumption 5.9 g/day. Nigeria NFCMS 2021, Table 170 (bouillon), non-pregnant women. Daily quantity per AFE = this x Dose (24 µg/g folate).</t>
        </r>
      </text>
    </comment>
    <comment ref="J22" authorId="0">
      <text>
        <r>
          <rPr>
            <sz val="10"/>
            <rFont val="Arial"/>
            <family val="2"/>
          </rPr>
          <t xml:space="preserve">Per-capita consumption 5.9 g/day. Nigeria NFCMS 2021, Table 170 (bouillon), non-pregnant women. Daily quantity per AFE = this x Dose (1.32 mg/g iron).</t>
        </r>
      </text>
    </comment>
    <comment ref="K18" authorId="0">
      <text>
        <r>
          <rPr>
            <sz val="10"/>
            <rFont val="Arial"/>
            <family val="2"/>
          </rPr>
          <t xml:space="preserve">Per-capita consumption 3.7 g/day. Nigeria NFCMS 2021, Table 167 (salt), non-pregnant women. Daily quantity per AFE = this x Dose (30 µg/g folate).</t>
        </r>
      </text>
    </comment>
    <comment ref="K20" authorId="0">
      <text>
        <r>
          <rPr>
            <sz val="10"/>
            <rFont val="Arial"/>
            <family val="2"/>
          </rPr>
          <t xml:space="preserve">Per-capita consumption 4.9 g/day. Nigeria NFCMS 2021, Table 170 (bouillon), non-pregnant women. Daily quantity per AFE = this x Dose (24 µg/g folate).</t>
        </r>
      </text>
    </comment>
    <comment ref="K22" authorId="0">
      <text>
        <r>
          <rPr>
            <sz val="10"/>
            <rFont val="Arial"/>
            <family val="2"/>
          </rPr>
          <t xml:space="preserve">Per-capita consumption 4.9 g/day. Nigeria NFCMS 2021, Table 170 (bouillon), non-pregnant women. Daily quantity per AFE = this x Dose (1.32 mg/g iron).</t>
        </r>
      </text>
    </comment>
    <comment ref="L18" authorId="0">
      <text>
        <r>
          <rPr>
            <sz val="10"/>
            <rFont val="Arial"/>
            <family val="2"/>
          </rPr>
          <t xml:space="preserve">Per-capita consumption 4.2 g/day. Nigeria NFCMS 2021, Table 167 (salt), non-pregnant women. Daily quantity per AFE = this x Dose (30 µg/g folate).</t>
        </r>
      </text>
    </comment>
    <comment ref="L20" authorId="0">
      <text>
        <r>
          <rPr>
            <sz val="10"/>
            <rFont val="Arial"/>
            <family val="2"/>
          </rPr>
          <t xml:space="preserve">Per-capita consumption 8.4 g/day. Nigeria NFCMS 2021, Table 170 (bouillon), non-pregnant women. Daily quantity per AFE = this x Dose (24 µg/g folate).</t>
        </r>
      </text>
    </comment>
    <comment ref="L22" authorId="0">
      <text>
        <r>
          <rPr>
            <sz val="10"/>
            <rFont val="Arial"/>
            <family val="2"/>
          </rPr>
          <t xml:space="preserve">Per-capita consumption 8.4 g/day. Nigeria NFCMS 2021, Table 170 (bouillon), non-pregnant women. Daily quantity per AFE = this x Dose (1.32 mg/g iron).</t>
        </r>
      </text>
    </comment>
  </commentList>
</comments>
</file>

<file path=xl/sharedStrings.xml><?xml version="1.0" encoding="utf-8"?>
<sst xmlns="http://schemas.openxmlformats.org/spreadsheetml/2006/main" count="1148" uniqueCount="314">
  <si>
    <t xml:space="preserve">Burden × Vehicle Matrix  —  8 countries; VA, Iron, Folate (+ Zinc for status)</t>
  </si>
  <si>
    <t xml:space="preserve">LAST UPDATED: 16 September 2026</t>
  </si>
  <si>
    <t xml:space="preserve">Burden shown three ways (DALYs, % inadequate intake, biomarker deficiency). Vehicle columns (consolidation, coverage, per-capita g/day, compliance) </t>
  </si>
  <si>
    <t xml:space="preserve">Burden — DALYs (all ages)</t>
  </si>
  <si>
    <t xml:space="preserve">% inadequate intake </t>
  </si>
  <si>
    <t xml:space="preserve">MN Biomarker data </t>
  </si>
  <si>
    <t xml:space="preserve">Wheat flour</t>
  </si>
  <si>
    <t xml:space="preserve">Edible oil</t>
  </si>
  <si>
    <t xml:space="preserve">Rice</t>
  </si>
  <si>
    <t xml:space="preserve">Maize flour</t>
  </si>
  <si>
    <t xml:space="preserve">Salt (DFS)</t>
  </si>
  <si>
    <t xml:space="preserve">Bouillon</t>
  </si>
  <si>
    <t xml:space="preserve">Additional </t>
  </si>
  <si>
    <t xml:space="preserve">Country</t>
  </si>
  <si>
    <t xml:space="preserve">Tier</t>
  </si>
  <si>
    <t xml:space="preserve">VA</t>
  </si>
  <si>
    <t xml:space="preserve">Iron</t>
  </si>
  <si>
    <t xml:space="preserve">Folate</t>
  </si>
  <si>
    <t xml:space="preserve">Total</t>
  </si>
  <si>
    <t xml:space="preserve">Zinc</t>
  </si>
  <si>
    <t xml:space="preserve">VA deficiency</t>
  </si>
  <si>
    <t xml:space="preserve">Iron deficiency</t>
  </si>
  <si>
    <t xml:space="preserve">Folate deficiency/ insufficiency</t>
  </si>
  <si>
    <t xml:space="preserve">Zinc deficiency</t>
  </si>
  <si>
    <t xml:space="preserve">Cons</t>
  </si>
  <si>
    <t xml:space="preserve">Cov</t>
  </si>
  <si>
    <t xml:space="preserve">g/cap</t>
  </si>
  <si>
    <t xml:space="preserve">Compl</t>
  </si>
  <si>
    <t xml:space="preserve">CoHD (PPP$/day)</t>
  </si>
  <si>
    <t xml:space="preserve">% unable to afford</t>
  </si>
  <si>
    <t xml:space="preserve">MDD-W (%)</t>
  </si>
  <si>
    <t xml:space="preserve">Anemia WRA (%)</t>
  </si>
  <si>
    <t xml:space="preserve">Ethiopia</t>
  </si>
  <si>
    <t xml:space="preserve">Core</t>
  </si>
  <si>
    <t xml:space="preserve">32.0 (2022)</t>
  </si>
  <si>
    <t xml:space="preserve">8.0 (2022)</t>
  </si>
  <si>
    <t xml:space="preserve">63.0% (2022, RBC)</t>
  </si>
  <si>
    <t xml:space="preserve">50.0% (2022)</t>
  </si>
  <si>
    <t xml:space="preserve">n/a</t>
  </si>
  <si>
    <t xml:space="preserve">India</t>
  </si>
  <si>
    <t xml:space="preserve">17.6% (2018)</t>
  </si>
  <si>
    <t xml:space="preserve">54.0% (2019)</t>
  </si>
  <si>
    <t xml:space="preserve">41.0% (2019, serum)</t>
  </si>
  <si>
    <t xml:space="preserve">18.9% (2018)</t>
  </si>
  <si>
    <t xml:space="preserve">57.2% non-preg; 52.2% preg</t>
  </si>
  <si>
    <t xml:space="preserve">Kenya</t>
  </si>
  <si>
    <t xml:space="preserve">84.4% (1999)</t>
  </si>
  <si>
    <t xml:space="preserve">28.6% (1999)</t>
  </si>
  <si>
    <t xml:space="preserve">30.9% (2011)</t>
  </si>
  <si>
    <t xml:space="preserve">52.2% (1999)</t>
  </si>
  <si>
    <t xml:space="preserve">Nigeria</t>
  </si>
  <si>
    <t xml:space="preserve">32.0% (2021)</t>
  </si>
  <si>
    <t xml:space="preserve">10.4% (2021)</t>
  </si>
  <si>
    <t xml:space="preserve">42.8% (2021, RBC)</t>
  </si>
  <si>
    <t xml:space="preserve">20.4% (2021)</t>
  </si>
  <si>
    <t xml:space="preserve">27.7 non-preg; 28.8 preg</t>
  </si>
  <si>
    <t xml:space="preserve">25.4% non-preg; 32.8% preg</t>
  </si>
  <si>
    <t xml:space="preserve">Core subtotal</t>
  </si>
  <si>
    <t xml:space="preserve">Bangladesh</t>
  </si>
  <si>
    <t xml:space="preserve">Moderate</t>
  </si>
  <si>
    <t xml:space="preserve">20.5% (2011)</t>
  </si>
  <si>
    <t xml:space="preserve">14.1% (2020)</t>
  </si>
  <si>
    <t xml:space="preserve">9.1% (2011, serum)</t>
  </si>
  <si>
    <t xml:space="preserve">44.6% (2011)</t>
  </si>
  <si>
    <t xml:space="preserve">Indonesia</t>
  </si>
  <si>
    <t xml:space="preserve">9.8% (2023)</t>
  </si>
  <si>
    <t xml:space="preserve">10.3% (2011)</t>
  </si>
  <si>
    <t xml:space="preserve">Pakistan</t>
  </si>
  <si>
    <t xml:space="preserve">51.5% (2019)</t>
  </si>
  <si>
    <t xml:space="preserve">34.3% (2019)</t>
  </si>
  <si>
    <t xml:space="preserve">45.2% (2019, serum)</t>
  </si>
  <si>
    <t xml:space="preserve">22.1% (2019)</t>
  </si>
  <si>
    <t xml:space="preserve">&lt;1%</t>
  </si>
  <si>
    <t xml:space="preserve">Tanzania</t>
  </si>
  <si>
    <t xml:space="preserve">Moderate subtotal</t>
  </si>
  <si>
    <t xml:space="preserve">All 8 countries</t>
  </si>
  <si>
    <t xml:space="preserve">Notes &amp; sources</t>
  </si>
  <si>
    <t xml:space="preserve">•  DALYs = all ages, GBD/IHME </t>
  </si>
  <si>
    <t xml:space="preserve">•  % inadequate intake: BLACK = WFP-MIMI (HungerMap, HCES-based) for Ethiopia, Nigeria, India (VA), Bangladesh. PURPLE = ISI - India (Iron, Folate, Zinc) BLUE italic = Passarelli et al. 2024</t>
  </si>
  <si>
    <t xml:space="preserve">•  Biomarker deficiency = most recent NATIONAL survey in WHO VMNIS. Cell shows prevalence (survey year); hover for population group. VA = serum retinol (preschool children); iron = ferritin (WRA); folate = RBC folate (WRA), EXCEPT India = serum folate (labeled in-cell as 'serum'; see cell comment for detail); zinc = serum/plasma zinc (preschool children).</t>
  </si>
  <si>
    <t xml:space="preserve">•  Nigeria = NFCMS 2021 / Project MAP national survey</t>
  </si>
  <si>
    <t xml:space="preserve">•  Ethiopia = National Nutrition Survey 2021/22</t>
  </si>
  <si>
    <t xml:space="preserve">Definitions</t>
  </si>
  <si>
    <t xml:space="preserve">Coverage: use of a vehicle, whether fortifiable, or not.</t>
  </si>
  <si>
    <t xml:space="preserve">Consolidation: the share of that vehicle produced by industrial-scale facilities and therefore deemed fortifiable. In the case of DFS, this variable is used to indicate the % of the iodized salt industry that is amenable to DFS with iron or folic acid in addition to iodine.</t>
  </si>
  <si>
    <t xml:space="preserve">Compliance: the share of fortifiable product that is actually fortified and meets standard. For now, we assume 100% of all fortifiable foods are being fortified, but may want to refine with that nuance later.</t>
  </si>
  <si>
    <t xml:space="preserve">Effective Coverage: Coverage x Consolidation x Compliance.</t>
  </si>
  <si>
    <t xml:space="preserve">Reach: the population figure at each stage of that cascade, i.e. reach of coverage, reach of fortifiable (coverage x consolidation), and effective reach (the number of people consuming a fortifiable vehicle that has actually been fortified to standard).</t>
  </si>
  <si>
    <t xml:space="preserve">LSFF background data — sources &amp; document management</t>
  </si>
  <si>
    <t xml:space="preserve">This workbook is the single live file for LSFF background data (current state). Source files below are dated, read-only INPUTS — not living parallel documents. When a source issues a new release, re-run the same alignment into this file, note what changed, and re-archive the source with its date. One update path, one live file.</t>
  </si>
  <si>
    <t xml:space="preserve">Source</t>
  </si>
  <si>
    <t xml:space="preserve">Date / version</t>
  </si>
  <si>
    <t xml:space="preserve">Status</t>
  </si>
  <si>
    <t xml:space="preserve">What it feeds</t>
  </si>
  <si>
    <t xml:space="preserve">Columns / indicators used</t>
  </si>
  <si>
    <t xml:space="preserve">Notes</t>
  </si>
  <si>
    <t xml:space="preserve">M4N (Millers for Nutrition)</t>
  </si>
  <si>
    <t xml:space="preserve">20260909</t>
  </si>
  <si>
    <t xml:space="preserve">Input — archived</t>
  </si>
  <si>
    <t xml:space="preserve">Current-state vehicle data (wheat, oil, rice)</t>
  </si>
  <si>
    <t xml:space="preserve">Col C = consolidation; Col D = consumption; Col F = 2026 compliance</t>
  </si>
  <si>
    <t xml:space="preserve">Reach &amp; effective coverage (other cols) are downstream/out of scope and NOT used. Not a live companion file; current-state only (no forward-looking pathways).</t>
  </si>
  <si>
    <t xml:space="preserve">IHME — Input data to models</t>
  </si>
  <si>
    <t xml:space="preserve">20260416</t>
  </si>
  <si>
    <t xml:space="preserve">Stratified vehicle sheets; national coverage &amp; consumption</t>
  </si>
  <si>
    <t xml:space="preserve">Per-capita consumption &amp; coverage by stratum (zone/region, wealth quintile, urban/rural), WRA</t>
  </si>
  <si>
    <t xml:space="preserve">Projections (2030/2035) intentionally excluded from this file. National values reconciled to the cover sheet.</t>
  </si>
  <si>
    <t xml:space="preserve">WFP-MIMI (HungerMap, HCES-based)</t>
  </si>
  <si>
    <t xml:space="preserve">2024–25</t>
  </si>
  <si>
    <t xml:space="preserve">Input</t>
  </si>
  <si>
    <t xml:space="preserve">% inadequate intake</t>
  </si>
  <si>
    <t xml:space="preserve">VA, iron, folate, zinc (Ethiopia, Nigeria, India VA, Bangladesh)</t>
  </si>
  <si>
    <t xml:space="preserve">Method differs from Passarelli; treated distinctly (see cover-sheet note).</t>
  </si>
  <si>
    <t xml:space="preserve">ISI — India</t>
  </si>
  <si>
    <t xml:space="preserve">2023–24</t>
  </si>
  <si>
    <t xml:space="preserve">% inadequate intake (India)</t>
  </si>
  <si>
    <t xml:space="preserve">India iron, folate, zinc</t>
  </si>
  <si>
    <t xml:space="preserve">India zinc added (was 85.3% → 72.2%).</t>
  </si>
  <si>
    <t xml:space="preserve">Passarelli et al. 2024 (Lancet GH)</t>
  </si>
  <si>
    <t xml:space="preserve">2024</t>
  </si>
  <si>
    <t xml:space="preserve">% inadequate intake (diet-only, upper-bound)</t>
  </si>
  <si>
    <t xml:space="preserve">Kenya, Indonesia, Pakistan, Tanzania where MIMI not shown</t>
  </si>
  <si>
    <t xml:space="preserve">Diet-only, upper-bound; shown where MIMI unavailable.</t>
  </si>
  <si>
    <t xml:space="preserve">GBD 2023</t>
  </si>
  <si>
    <t xml:space="preserve">2023</t>
  </si>
  <si>
    <t xml:space="preserve">Burden (DALYs) by nutrient</t>
  </si>
  <si>
    <t xml:space="preserve">VA, iron, folate DALYs</t>
  </si>
  <si>
    <t xml:space="preserve">Anchored to GAIN GBD 2023 series.</t>
  </si>
  <si>
    <t xml:space="preserve">Ethiopia National Nutrition Survey</t>
  </si>
  <si>
    <t xml:space="preserve">2021-22</t>
  </si>
  <si>
    <t xml:space="preserve">MN biomarkers</t>
  </si>
  <si>
    <t xml:space="preserve">Ethiopian Public Health Institute (EPHI). 2025. Ethiopia Food and Nutrition Strategy Baseline</t>
  </si>
  <si>
    <t xml:space="preserve">Nigeria NFCMS</t>
  </si>
  <si>
    <t xml:space="preserve">2021</t>
  </si>
  <si>
    <t xml:space="preserve">MN biomarkers and Per-capita consumption by wealth quintile / residence</t>
  </si>
  <si>
    <t xml:space="preserve">FMOHSW, IITA, Gates Foundation, NSN, GroundWork. Nigeria Micronutrient Biomarkers Analysis: National Level Infographic. Abuja, Nigeria; 2026</t>
  </si>
  <si>
    <t xml:space="preserve">UPDATE LOG  (add a row every time this file changes; bump the LAST UPDATED date on the cover sheet)</t>
  </si>
  <si>
    <t xml:space="preserve">Date</t>
  </si>
  <si>
    <t xml:space="preserve">What changed</t>
  </si>
  <si>
    <t xml:space="preserve">By</t>
  </si>
  <si>
    <t xml:space="preserve">11 Sep 2026</t>
  </si>
  <si>
    <t xml:space="preserve">Established single LSFF background data file: national cover sheet + 5 stratified country sheets; aligned wheat/oil/rice consolidation, consumption and 2026 compliance to M4N (cols C/D/F); India zinc inadequacy updated to 72.2% (ISI); added Sources tab and scope note.</t>
  </si>
  <si>
    <t xml:space="preserve">JG</t>
  </si>
  <si>
    <t xml:space="preserve">Linked each country sheet National row to the cover sheet (live formulas). Cover sheet is the single edit point for national values; National rows on country sheets now mirror it automatically.</t>
  </si>
  <si>
    <t xml:space="preserve">Country tabs rebuilt as full mirrors of the cover: added IHME stratified biomarker &amp; % inadequate (iron/VA/folate) alongside vehicle strata; created tabs for all 8 countries; National row links to cover (cover overrules, IHME national not used); empty IHME strata dropped. Strata not yet reconciled to cover national (to clean up).</t>
  </si>
  <si>
    <t xml:space="preserve">Ethiopia tab rebuilt from the 2022 Ethiopia National Nutrition Survey (FNS baseline upload): stratified biomarker (incl. zinc, B12, vit D) and wheat/oil/salt intake &amp; coverage by region, urban/rural, wealth quintile. National still links to cover.</t>
  </si>
  <si>
    <t xml:space="preserve"> 12 Sept 2026</t>
  </si>
  <si>
    <t xml:space="preserve">Created a new sheet titled 'reach' which calculates the reach of fortification based on coverage (number of people using the vehicle), consolidated coverage (number of people using the industrially produced 'fortifiable' vehicle) and 'effective reach' (number of people using the fortifiable vehicle which has been fortified to standard).  This sheet is linked to the first sheet on this file (columns O-AL) so those cells all need to be completed.  For DFS, I suggest that we do not refer to salt, but only that segment of the population with access DFS. </t>
  </si>
  <si>
    <t xml:space="preserve">12 Sep 2026</t>
  </si>
  <si>
    <t xml:space="preserve">Added three new 'Additional (survey)' columns to the Burden x Vehicle Matrix tab and each of the 8 country stratified tabs: Cost of a Healthy Diet (CoHD, PPP$/day + % unable to afford, World Bank Food Prices for Nutrition v4.0 / FAO CoAHD, 2024, all 8 countries), Minimum Dietary Diversity for Women (MDD-W, women 15-49; only Ethiopia, India, and Nigeria populated from the Oct 2026 strategy deck; Kenya, Bangladesh, Indonesia, Pakistan, Tanzania left n/a pending country-specific DHS/MICS/survey sourcing), and Anemia prevalence in women of reproductive age (WHO Global Health Observatory / WDI indicator SH.ANM.ALLW.ZS, 2023, all 8 countries, any anaemia not severe-only). Every populated cell carries a comment with its exact source and definition.</t>
  </si>
  <si>
    <t xml:space="preserve">13 Sep 2026</t>
  </si>
  <si>
    <t xml:space="preserve">Upgraded Anemia WRA and CoHD/MDD-W citations using newly uploaded primary sources: Ethiopia's anemia figure replaced with the direct national FNSBS 2021-2022 survey result (20%, was the WHO GHO modeled 23.1%); India's CoHD updated to the current SOFI 2026 figure ($4.11/35.5%, was an older $4.07/40.4% snapshot) and anemia/MDD-W citations tightened (NFHS-5 2021; Global Diet Quality Project 2025) per the 8 Sep 2026 India MN Indicators deck; Nigeria's anemia figure replaced with its own NFCMS 2021 survey result (25.4% non-preg/32.8% preg, was the WHO GHO modeled 37.9%), since a better direct source was already available and should have been used the first time. Kenya, Bangladesh, Indonesia, Pakistan, Tanzania anemia figures remain WHO GHO modeled estimates pending equivalent direct national sources.</t>
  </si>
  <si>
    <t xml:space="preserve">Updated Ethiopia and Nigeria CoHD to genuine SOFI 2026 figures (Annex Table A1.5/A1.6, 2025 data), now sourced from the actual SOFI 2026 PDF rather than the 2024-vintage World Bank Food Prices for Nutrition snapshot used previously. Ethiopia: $4.75/day, 67.9% unable to afford (was $4.78/54.2%). Nigeria: $4.17/day, 80.5% unable to afford (was $4.72/79.3%). India's existing SOFI 2026 figures ($4.11/35.5%) independently confirmed against the same annex tables, unchanged. All 8 countries' CoHD figures are now consistent in intent (SOFI 2026 where confirmed), though Kenya, Bangladesh, Indonesia, Pakistan, Tanzania still reflect the 2024 World Bank vintage pending the same confirmation.</t>
  </si>
  <si>
    <t xml:space="preserve">Added a source comment to India's Folate insufficiency cell (Burden x Vehicle Matrix, row 7 col M) confirming it is serum folate, not RBC folate as the column's general legend states — a documented exception. Ethiopia's Folate insufficiency (63.0%, EPHI 2022) confirmed as the value to use going forward over the alternate 58.5% figure pulled directly from FNSBS Table 5.7's &lt;748 nmol/L cutoff; no change to the cell itself since 63.0% was already there, only downstream materials updated to match.</t>
  </si>
  <si>
    <t xml:space="preserve">Confirmed and tightened the citation on Ethiopia's Folate insufficiency cell (63.0%): sourced to Figure 5.7 specifically in the Ethiopia FNSBS 2021-2022 report (EPHI, Feb 2025), a three-category Sufficiency/Insufficiency/Deficiency classification, distinct from the report's Table 5.7 NTD-risk cutoffs (&lt;748/&lt;906 nmol/L) used earlier in error. No value changed, only the source documentation.</t>
  </si>
  <si>
    <t xml:space="preserve">Added a new '% unable to afford' column immediately after CoHD (PPP$/day) in the Burden x Vehicle Matrix tab and all 8 country stratified tabs, populated for all 8 countries. Restyled the entire 'Additional (survey)' block (CoHD, % unable to afford, MDD-W, Anemia WRA) to match the sheet's existing convention: amber header fill/white bold Arial 8pt for headers, light green fill/Arial 8pt/thin gray border for data cells, matching the pre-existing B12/Vit D columns exactly. Converted purely-numeric MDD-W and Anemia WRA cells from raw numbers to fractions with 0.0% number format, consistent with how percentages are stored elsewhere in this sheet (compound pregnant/non-pregnant text cells left as text). Enabled text wrap and increased row height on all affected rows so multi-part values (e.g., 'X% non-preg; Y% preg') display on two lines instead of overflowing. Also fixed a copy error introduced during the 13 Sep SOFI 2026 update: Nigeria's stratified tab had its Anemia WRA cell overwritten with a CoHD value due to a hardcoded column index that didn't account for Nigeria's column layout; both cells are now correct and match the main tab.</t>
  </si>
  <si>
    <t xml:space="preserve">Made the Folate insufficiency biomarker method visible in-cell rather than only in comments: Ethiopia and Nigeria now read '...RBC)', India now reads '...serum)'. Updated the sheet's own legend (row 21) to document India as an explicit exception to the general 'folate = RBC folate' rule, so this is discoverable by reading the legend, not only by hovering on India's specific cell. No underlying values changed, only visible labeling.</t>
  </si>
  <si>
    <t xml:space="preserve">Updated Burden x Vehicle Matrix worksheet for Nigeria: Changed edible oil coverage to 90.3% and consolidation to 23.9%, based on email conversation between Jonathan and Alem on 9/15/26.</t>
  </si>
  <si>
    <t xml:space="preserve">KB</t>
  </si>
  <si>
    <t xml:space="preserve">India data updated by Kathy &amp; Ruchika. Several modifications to the Burden x Vehicle sheet and Coverage over Time sheet. Changed per capita consumption for wheat, edible oil, rice, salt.
Changed consolidation figures for oil, rice. 
In Coverage Over Time sheet, changed consolidation (2031 and 2035) for salt, rice, oil, wheat flour and changed compliance for rice (2031 and 2035) and oil. CHanged current wheat flour compliance from 5% to 50%.</t>
  </si>
  <si>
    <t xml:space="preserve">Ethiopia — national (linked to cover) + stratified detail</t>
  </si>
  <si>
    <t xml:space="preserve">Burden — DALYs</t>
  </si>
  <si>
    <t xml:space="preserve">MN Biomarker</t>
  </si>
  <si>
    <t xml:space="preserve">Salt</t>
  </si>
  <si>
    <t xml:space="preserve">Additional (survey)</t>
  </si>
  <si>
    <t xml:space="preserve">Stratum</t>
  </si>
  <si>
    <t xml:space="preserve">Folate insufficiency</t>
  </si>
  <si>
    <t xml:space="preserve">B12 def</t>
  </si>
  <si>
    <t xml:space="preserve">Vit D def</t>
  </si>
  <si>
    <t xml:space="preserve">National</t>
  </si>
  <si>
    <t xml:space="preserve">Region</t>
  </si>
  <si>
    <t xml:space="preserve">Addis</t>
  </si>
  <si>
    <t xml:space="preserve">Afar</t>
  </si>
  <si>
    <t xml:space="preserve">Amhara</t>
  </si>
  <si>
    <t xml:space="preserve">Benishangul-Gumuz</t>
  </si>
  <si>
    <t xml:space="preserve">Dire Dawa</t>
  </si>
  <si>
    <t xml:space="preserve">Gambela</t>
  </si>
  <si>
    <t xml:space="preserve">Harari</t>
  </si>
  <si>
    <t xml:space="preserve">Oromia</t>
  </si>
  <si>
    <t xml:space="preserve">Sidama</t>
  </si>
  <si>
    <t xml:space="preserve">SNNP</t>
  </si>
  <si>
    <t xml:space="preserve">Somalia</t>
  </si>
  <si>
    <t xml:space="preserve">Tigray</t>
  </si>
  <si>
    <t xml:space="preserve">Location</t>
  </si>
  <si>
    <t xml:space="preserve">Urban</t>
  </si>
  <si>
    <t xml:space="preserve">Rural</t>
  </si>
  <si>
    <t xml:space="preserve">Wealth quintile</t>
  </si>
  <si>
    <t xml:space="preserve">Lowest</t>
  </si>
  <si>
    <t xml:space="preserve">2nd</t>
  </si>
  <si>
    <t xml:space="preserve">3rd</t>
  </si>
  <si>
    <t xml:space="preserve">4th</t>
  </si>
  <si>
    <t xml:space="preserve">Wealthiest</t>
  </si>
  <si>
    <t xml:space="preserve">India — national (linked to cover) + stratified detail</t>
  </si>
  <si>
    <t xml:space="preserve">Folate deficiency</t>
  </si>
  <si>
    <t xml:space="preserve">Subnational</t>
  </si>
  <si>
    <t xml:space="preserve">Delhi</t>
  </si>
  <si>
    <t xml:space="preserve">Haryana</t>
  </si>
  <si>
    <t xml:space="preserve">Himachal Pradesh</t>
  </si>
  <si>
    <t xml:space="preserve">Jammu &amp; Kashmir</t>
  </si>
  <si>
    <t xml:space="preserve">Punjab</t>
  </si>
  <si>
    <t xml:space="preserve">Rajasthan</t>
  </si>
  <si>
    <t xml:space="preserve">Uttarakhand</t>
  </si>
  <si>
    <t xml:space="preserve">Chhattisgarh</t>
  </si>
  <si>
    <t xml:space="preserve">Madhya Pradesh</t>
  </si>
  <si>
    <t xml:space="preserve">Uttar Pradesh</t>
  </si>
  <si>
    <t xml:space="preserve">Bihar</t>
  </si>
  <si>
    <t xml:space="preserve">Jharkhand</t>
  </si>
  <si>
    <t xml:space="preserve">Odisha</t>
  </si>
  <si>
    <t xml:space="preserve">West Bengal</t>
  </si>
  <si>
    <t xml:space="preserve">Arunachal Pradesh</t>
  </si>
  <si>
    <t xml:space="preserve">Assam</t>
  </si>
  <si>
    <t xml:space="preserve">Manipur</t>
  </si>
  <si>
    <t xml:space="preserve">Meghalaya</t>
  </si>
  <si>
    <t xml:space="preserve">Mizoram</t>
  </si>
  <si>
    <t xml:space="preserve">Nagaland</t>
  </si>
  <si>
    <t xml:space="preserve">Sikkim</t>
  </si>
  <si>
    <t xml:space="preserve">Tripura</t>
  </si>
  <si>
    <t xml:space="preserve">Goa</t>
  </si>
  <si>
    <t xml:space="preserve">Gujarat</t>
  </si>
  <si>
    <t xml:space="preserve">Maharashtra</t>
  </si>
  <si>
    <t xml:space="preserve">Andhra Pradesh</t>
  </si>
  <si>
    <t xml:space="preserve">Karnataka</t>
  </si>
  <si>
    <t xml:space="preserve">Kerala</t>
  </si>
  <si>
    <t xml:space="preserve">Tamil Nadu</t>
  </si>
  <si>
    <t xml:space="preserve">Telangana</t>
  </si>
  <si>
    <t xml:space="preserve">Kenya — national (linked to cover) + stratified detail</t>
  </si>
  <si>
    <t xml:space="preserve">Residence</t>
  </si>
  <si>
    <t xml:space="preserve">Nigeria — national (linked to cover) + stratified detail</t>
  </si>
  <si>
    <t xml:space="preserve">Zone</t>
  </si>
  <si>
    <t xml:space="preserve">North Central</t>
  </si>
  <si>
    <t xml:space="preserve">North East</t>
  </si>
  <si>
    <t xml:space="preserve">North West</t>
  </si>
  <si>
    <t xml:space="preserve">South East</t>
  </si>
  <si>
    <t xml:space="preserve">South South</t>
  </si>
  <si>
    <t xml:space="preserve">South West</t>
  </si>
  <si>
    <t xml:space="preserve">Poorest</t>
  </si>
  <si>
    <t xml:space="preserve">Second</t>
  </si>
  <si>
    <t xml:space="preserve">Third</t>
  </si>
  <si>
    <t xml:space="preserve">Fourth</t>
  </si>
  <si>
    <t xml:space="preserve">Bangladesh — national (linked to cover) + stratified detail</t>
  </si>
  <si>
    <t xml:space="preserve">Division</t>
  </si>
  <si>
    <t xml:space="preserve">Dhaka</t>
  </si>
  <si>
    <t xml:space="preserve">Chattogram</t>
  </si>
  <si>
    <t xml:space="preserve">Rajshahi</t>
  </si>
  <si>
    <t xml:space="preserve">Khulna</t>
  </si>
  <si>
    <t xml:space="preserve">Barishal</t>
  </si>
  <si>
    <t xml:space="preserve">Rangpur</t>
  </si>
  <si>
    <t xml:space="preserve">Mymensingh</t>
  </si>
  <si>
    <t xml:space="preserve">Sylhet</t>
  </si>
  <si>
    <t xml:space="preserve">Indonesia — national (linked to cover) + stratified detail</t>
  </si>
  <si>
    <t xml:space="preserve">(no stratified data available in IHME source; national only)</t>
  </si>
  <si>
    <t xml:space="preserve">Pakistan — national (linked to cover) + stratified detail</t>
  </si>
  <si>
    <t xml:space="preserve">Will add stratified data when available</t>
  </si>
  <si>
    <t xml:space="preserve">Tanzania — national (linked to cover) + stratified detail</t>
  </si>
  <si>
    <t xml:space="preserve">Effective Coverage Over Time — 8 Core LSFF Countries</t>
  </si>
  <si>
    <t xml:space="preserve">Updated 30 Sep 2026 using the Sept 25 vehicle-data revision (Ethiopia/India/Nigeria full vehicle set; Tanzania/Pakistan/Bangladesh DFS only). Kenya and Indonesia not yet covered by this source — still pending.</t>
  </si>
  <si>
    <t xml:space="preserve">LAST UPDATED: 30 September 2026</t>
  </si>
  <si>
    <t xml:space="preserve">Edit the trend data for 2028 and 2031 on this sheet - all values used to calculate 'effective coverage' and 'reach' on the next Tab</t>
  </si>
  <si>
    <t xml:space="preserve">Effective coverage = Coverage x Consolidation x Compliance. 'Current' Coverage, Consolidation and Compliance are LIVE formulas linked to the 'Burden x Vehicle Matrix' tab in this same workbook, so they update automatically whenever that tab changes; these cells are locked to prevent accidental overwrites. The 2028 and 2031 columns are unlocked placeholders: enter Coverage, Consolidation and Compliance as new data becomes available, and Effective Coverage recalculates automatically. Vehicles marked n/a are not fortified / not applicable in that country as of the current data. Pakistan wheat flour compliance is reported as '&lt;1%' in the matrix tab and will show as n/a here until a numeric value is entered.</t>
  </si>
  <si>
    <t xml:space="preserve">Vehicle</t>
  </si>
  <si>
    <t xml:space="preserve">Current
Coverage</t>
  </si>
  <si>
    <t xml:space="preserve">Current
Consolidation</t>
  </si>
  <si>
    <t xml:space="preserve">Current
Compliance</t>
  </si>
  <si>
    <t xml:space="preserve">Current
Effective Coverage</t>
  </si>
  <si>
    <t xml:space="preserve">2031
Coverage</t>
  </si>
  <si>
    <t xml:space="preserve">2031
Consolidation</t>
  </si>
  <si>
    <t xml:space="preserve">2031
Compliance</t>
  </si>
  <si>
    <t xml:space="preserve">2031
Effective Coverage</t>
  </si>
  <si>
    <t xml:space="preserve">2035
Coverage</t>
  </si>
  <si>
    <t xml:space="preserve">2035
Consolidation</t>
  </si>
  <si>
    <t xml:space="preserve">2035
Compliance</t>
  </si>
  <si>
    <t xml:space="preserve">2035
Effective Coverage</t>
  </si>
  <si>
    <t xml:space="preserve">Reach </t>
  </si>
  <si>
    <t xml:space="preserve">FIXED 30 Sep 2026: rows for Nigeria/Ethiopia/India (and Tanzania/Pakistan/Bangladesh DFS) were partly hardcoded instead of linked; 2031/2035 Coverage/Consolidation/Compliance/Effective Coverage now pull live from 'Coverage Over Time'. Cells whose value changed as a result are in red font.</t>
  </si>
  <si>
    <t xml:space="preserve">Do not edit this sheet - all values from 'Coverage over Time' </t>
  </si>
  <si>
    <t xml:space="preserve">Reach vehicle = Population x coverage of vehicle; Reach concoslidated = Population x coverage x consolidated; 'Effective Reach = Population x coverage x consilidatoion x compliance </t>
  </si>
  <si>
    <t xml:space="preserve">Current (2026-28)</t>
  </si>
  <si>
    <t xml:space="preserve">Population</t>
  </si>
  <si>
    <t xml:space="preserve">Reach - vehicle (M)</t>
  </si>
  <si>
    <t xml:space="preserve">Reach -  consolidated (M)</t>
  </si>
  <si>
    <t xml:space="preserve"> 'Effective' Reach (M)</t>
  </si>
  <si>
    <t xml:space="preserve">Salt/DFS</t>
  </si>
  <si>
    <t xml:space="preserve">Population data: 2026 mid-year estimates, rather than census counts. Source: Worldometer, Countries by Population 2026, based on UN Population Division estimates.</t>
  </si>
  <si>
    <t xml:space="preserve">WFP-MIMI  —  change in nutrient inadequacy from fortification</t>
  </si>
  <si>
    <t xml:space="preserve">What we are asking WFP to model</t>
  </si>
  <si>
    <t xml:space="preserve">For each country and nutrient, estimate the prevalence of inadequate intake without fortification and with current fortification. The difference is the incremental contribution of current large-scale food fortification.</t>
  </si>
  <si>
    <t xml:space="preserve">Scope: five countries — Ethiopia, India, Nigeria, Bangladesh, and Tanzania.</t>
  </si>
  <si>
    <t xml:space="preserve">Nutrients: folate, vitamin A, and iron.</t>
  </si>
  <si>
    <t xml:space="preserve">Vehicles: the pertinent vehicles for each nutrient and country are specified in the table below, drawn from the background data. Please model the change in inadequacy across those vehicles, and where feasible report the contribution of each vehicle separately.</t>
  </si>
  <si>
    <t xml:space="preserve">Estimates at national level, with subnational estimates where readily available. Equity (a priority output): where feasible, also disaggregate inadequacy and the reduction by wealth quintile and by urban/rural residence. We expect the largest reductions among the poorest and rural groups, i.e. a pro-poor, gap-narrowing effect, and this distributional result is one of the outputs we most want to surface (see the equity example in the illustrative deck).</t>
  </si>
  <si>
    <t xml:space="preserve">Nutrient</t>
  </si>
  <si>
    <t xml:space="preserve">Dose</t>
  </si>
  <si>
    <t xml:space="preserve">Daily intake and quantity (mcg/mg) per AFE to model </t>
  </si>
  <si>
    <t xml:space="preserve">Rural </t>
  </si>
  <si>
    <t xml:space="preserve">Highest Quintile</t>
  </si>
  <si>
    <t xml:space="preserve">Second Quintile</t>
  </si>
  <si>
    <t xml:space="preserve">Middle Quintile</t>
  </si>
  <si>
    <t xml:space="preserve">Fourth Quintile</t>
  </si>
  <si>
    <t xml:space="preserve">Lowest Quintile</t>
  </si>
  <si>
    <t xml:space="preserve">Ethiopia 1</t>
  </si>
  <si>
    <t xml:space="preserve">DFS</t>
  </si>
  <si>
    <t xml:space="preserve">45 µg</t>
  </si>
  <si>
    <t xml:space="preserve">India 2</t>
  </si>
  <si>
    <t xml:space="preserve">0.975 mg 5</t>
  </si>
  <si>
    <t xml:space="preserve">Nigeria 3</t>
  </si>
  <si>
    <t xml:space="preserve">30 µg</t>
  </si>
  <si>
    <t xml:space="preserve">24 µg</t>
  </si>
  <si>
    <t xml:space="preserve">1.32 mg </t>
  </si>
  <si>
    <t xml:space="preserve">Tanzania 4</t>
  </si>
  <si>
    <t xml:space="preserve">1 Ethiopia estimated at approximately 7.8 g/person/day, informed by salt-intake studies in Oromia alongside the DFS trial (Agbemafle et al., 2025; Nane et al., 2026</t>
  </si>
  <si>
    <t xml:space="preserve">2 India based on Mathur P, Kulothungan V, Nath A, Vinay Urs KS, Ramakrishnan L. Awareness, behavior, and determinants of dietary salt intake in adults: results from the National NCD Monitoring Survey (NNMS 2017–18), India. Scientific Reports 2023;13:15890.</t>
  </si>
  <si>
    <t xml:space="preserve">3 Nigeria from the NFCMS survey report 2021</t>
  </si>
  <si>
    <t xml:space="preserve">4 Tanzania estimated based on ~7 g/day based on regional sub-Saharan urinary-sodium data from Malawi: Ware et al., Am J Clin Nutr 201 with urban/rual differences</t>
  </si>
  <si>
    <t xml:space="preserve">5 Midpoint of current standard for Fe in DFS (850 to 1,100 mg Fe per kg of salt)</t>
  </si>
</sst>
</file>

<file path=xl/styles.xml><?xml version="1.0" encoding="utf-8"?>
<styleSheet xmlns="http://schemas.openxmlformats.org/spreadsheetml/2006/main">
  <numFmts count="9">
    <numFmt numFmtId="164" formatCode="General"/>
    <numFmt numFmtId="165" formatCode="#,##0"/>
    <numFmt numFmtId="166" formatCode="0.0%"/>
    <numFmt numFmtId="167" formatCode="0.0"/>
    <numFmt numFmtId="168" formatCode="\$0.00"/>
    <numFmt numFmtId="169" formatCode="0%"/>
    <numFmt numFmtId="170" formatCode="m/d/yyyy"/>
    <numFmt numFmtId="171" formatCode="d\-mmm\-yy"/>
    <numFmt numFmtId="172" formatCode="#,##0.0,,\M"/>
  </numFmts>
  <fonts count="42">
    <font>
      <sz val="11"/>
      <color theme="1"/>
      <name val="Calibri"/>
      <family val="0"/>
      <charset val="1"/>
    </font>
    <font>
      <sz val="10"/>
      <name val="Arial"/>
      <family val="0"/>
    </font>
    <font>
      <sz val="10"/>
      <name val="Arial"/>
      <family val="0"/>
    </font>
    <font>
      <sz val="10"/>
      <name val="Arial"/>
      <family val="0"/>
    </font>
    <font>
      <b val="true"/>
      <sz val="8"/>
      <color rgb="FF1F3864"/>
      <name val="Arial"/>
      <family val="0"/>
      <charset val="1"/>
    </font>
    <font>
      <sz val="8"/>
      <color theme="1"/>
      <name val="Arial"/>
      <family val="0"/>
      <charset val="1"/>
    </font>
    <font>
      <b val="true"/>
      <sz val="8"/>
      <color rgb="FF7030A0"/>
      <name val="Arial"/>
      <family val="0"/>
      <charset val="1"/>
    </font>
    <font>
      <i val="true"/>
      <sz val="8"/>
      <color rgb="FF595959"/>
      <name val="Arial"/>
      <family val="0"/>
      <charset val="1"/>
    </font>
    <font>
      <sz val="8"/>
      <name val="Arial"/>
      <family val="0"/>
      <charset val="1"/>
    </font>
    <font>
      <b val="true"/>
      <sz val="8"/>
      <color rgb="FFFFFFFF"/>
      <name val="Arial"/>
      <family val="0"/>
      <charset val="1"/>
    </font>
    <font>
      <b val="true"/>
      <sz val="8"/>
      <name val="Arial"/>
      <family val="0"/>
      <charset val="1"/>
    </font>
    <font>
      <sz val="8"/>
      <color rgb="FF000000"/>
      <name val="Arial"/>
      <family val="0"/>
      <charset val="1"/>
    </font>
    <font>
      <sz val="8"/>
      <color rgb="FF7030A0"/>
      <name val="Arial"/>
      <family val="0"/>
      <charset val="1"/>
    </font>
    <font>
      <sz val="8"/>
      <color theme="1"/>
      <name val="Calibri"/>
      <family val="0"/>
      <charset val="1"/>
    </font>
    <font>
      <sz val="8"/>
      <color rgb="FFFF0000"/>
      <name val="Arial"/>
      <family val="0"/>
      <charset val="1"/>
    </font>
    <font>
      <sz val="8"/>
      <color rgb="FF333333"/>
      <name val="Arial"/>
      <family val="0"/>
      <charset val="1"/>
    </font>
    <font>
      <sz val="8"/>
      <color rgb="FFC00000"/>
      <name val="Arial"/>
      <family val="0"/>
      <charset val="1"/>
    </font>
    <font>
      <sz val="10"/>
      <name val="Arial"/>
      <family val="2"/>
    </font>
    <font>
      <b val="true"/>
      <sz val="11"/>
      <color theme="1"/>
      <name val="Calibri"/>
      <family val="0"/>
      <charset val="1"/>
    </font>
    <font>
      <b val="true"/>
      <sz val="12"/>
      <color theme="1"/>
      <name val="Aptos"/>
      <family val="0"/>
      <charset val="1"/>
    </font>
    <font>
      <sz val="12"/>
      <color theme="1"/>
      <name val="Aptos"/>
      <family val="0"/>
      <charset val="1"/>
    </font>
    <font>
      <b val="true"/>
      <i val="true"/>
      <sz val="8"/>
      <color rgb="FF1F3864"/>
      <name val="Arial"/>
      <family val="0"/>
      <charset val="1"/>
    </font>
    <font>
      <i val="true"/>
      <sz val="8"/>
      <color rgb="FF808080"/>
      <name val="Arial"/>
      <family val="0"/>
      <charset val="1"/>
    </font>
    <font>
      <i val="true"/>
      <sz val="8"/>
      <color theme="1"/>
      <name val="Calibri"/>
      <family val="0"/>
      <charset val="1"/>
    </font>
    <font>
      <sz val="11"/>
      <color theme="1"/>
      <name val="Arial"/>
      <family val="0"/>
      <charset val="1"/>
    </font>
    <font>
      <b val="true"/>
      <sz val="11"/>
      <color theme="1"/>
      <name val="Arial"/>
      <family val="0"/>
      <charset val="1"/>
    </font>
    <font>
      <b val="true"/>
      <sz val="12"/>
      <name val="Arial"/>
      <family val="0"/>
      <charset val="1"/>
    </font>
    <font>
      <sz val="11"/>
      <color rgb="FFFF0000"/>
      <name val="Arial"/>
      <family val="0"/>
      <charset val="1"/>
    </font>
    <font>
      <b val="true"/>
      <sz val="12"/>
      <color rgb="FFFF0000"/>
      <name val="Arial"/>
      <family val="0"/>
      <charset val="1"/>
    </font>
    <font>
      <i val="true"/>
      <sz val="8"/>
      <name val="Arial"/>
      <family val="0"/>
      <charset val="1"/>
    </font>
    <font>
      <b val="true"/>
      <sz val="8"/>
      <color rgb="FFFF0000"/>
      <name val="Arial"/>
      <family val="0"/>
      <charset val="1"/>
    </font>
    <font>
      <sz val="11"/>
      <color theme="10"/>
      <name val="Arial"/>
      <family val="0"/>
      <charset val="1"/>
    </font>
    <font>
      <b val="true"/>
      <sz val="13"/>
      <color rgb="FF1F3864"/>
      <name val="Arial"/>
      <family val="0"/>
      <charset val="1"/>
    </font>
    <font>
      <b val="true"/>
      <sz val="12"/>
      <color rgb="FF1F3864"/>
      <name val="Arial"/>
      <family val="0"/>
      <charset val="1"/>
    </font>
    <font>
      <sz val="10"/>
      <color rgb="FF000000"/>
      <name val="Arial"/>
      <family val="0"/>
      <charset val="1"/>
    </font>
    <font>
      <b val="true"/>
      <sz val="10"/>
      <color rgb="FF000000"/>
      <name val="Arial"/>
      <family val="0"/>
      <charset val="1"/>
    </font>
    <font>
      <b val="true"/>
      <sz val="8"/>
      <color rgb="FFFFFFFF"/>
      <name val="Aptos"/>
      <family val="0"/>
      <charset val="1"/>
    </font>
    <font>
      <sz val="8"/>
      <color theme="1"/>
      <name val="Aptos"/>
      <family val="0"/>
      <charset val="1"/>
    </font>
    <font>
      <b val="true"/>
      <sz val="8"/>
      <name val="Aptos"/>
      <family val="0"/>
      <charset val="1"/>
    </font>
    <font>
      <sz val="8"/>
      <name val="Aptos"/>
      <family val="0"/>
      <charset val="1"/>
    </font>
    <font>
      <b val="true"/>
      <sz val="10"/>
      <name val="Arial"/>
      <family val="0"/>
      <charset val="1"/>
    </font>
    <font>
      <sz val="9"/>
      <name val="Arial"/>
      <family val="0"/>
      <charset val="1"/>
    </font>
  </fonts>
  <fills count="19">
    <fill>
      <patternFill patternType="none"/>
    </fill>
    <fill>
      <patternFill patternType="gray125"/>
    </fill>
    <fill>
      <patternFill patternType="solid">
        <fgColor rgb="FF2E4B6E"/>
        <bgColor rgb="FF1F3864"/>
      </patternFill>
    </fill>
    <fill>
      <patternFill patternType="solid">
        <fgColor rgb="FF1F3864"/>
        <bgColor rgb="FF2E4B6E"/>
      </patternFill>
    </fill>
    <fill>
      <patternFill patternType="solid">
        <fgColor rgb="FF1C7293"/>
        <bgColor rgb="FF008080"/>
      </patternFill>
    </fill>
    <fill>
      <patternFill patternType="solid">
        <fgColor rgb="FF5B4A7A"/>
        <bgColor rgb="FF595959"/>
      </patternFill>
    </fill>
    <fill>
      <patternFill patternType="solid">
        <fgColor rgb="FFBF8F00"/>
        <bgColor rgb="FF808000"/>
      </patternFill>
    </fill>
    <fill>
      <patternFill patternType="solid">
        <fgColor theme="7" tint="0.7998"/>
        <bgColor rgb="FFD9DEEA"/>
      </patternFill>
    </fill>
    <fill>
      <patternFill patternType="solid">
        <fgColor theme="0"/>
        <bgColor rgb="FFEBF1DE"/>
      </patternFill>
    </fill>
    <fill>
      <patternFill patternType="solid">
        <fgColor rgb="FFD9DEEA"/>
        <bgColor rgb="FFD9E1F2"/>
      </patternFill>
    </fill>
    <fill>
      <patternFill patternType="solid">
        <fgColor theme="6" tint="0.7998"/>
        <bgColor rgb="FFE2EFDA"/>
      </patternFill>
    </fill>
    <fill>
      <patternFill patternType="solid">
        <fgColor rgb="FFE2EFDA"/>
        <bgColor rgb="FFEBF1DE"/>
      </patternFill>
    </fill>
    <fill>
      <patternFill patternType="solid">
        <fgColor rgb="FFD9E1F2"/>
        <bgColor rgb="FFD9DEEA"/>
      </patternFill>
    </fill>
    <fill>
      <patternFill patternType="solid">
        <fgColor rgb="FFFFFF00"/>
        <bgColor rgb="FFFFFF00"/>
      </patternFill>
    </fill>
    <fill>
      <patternFill patternType="solid">
        <fgColor rgb="FF1F5C3A"/>
        <bgColor rgb="FF2E4B6E"/>
      </patternFill>
    </fill>
    <fill>
      <patternFill patternType="solid">
        <fgColor rgb="FFFFF3CD"/>
        <bgColor rgb="FFFDE9D9"/>
      </patternFill>
    </fill>
    <fill>
      <patternFill patternType="solid">
        <fgColor rgb="FFFDE9D9"/>
        <bgColor rgb="FFFFF3CD"/>
      </patternFill>
    </fill>
    <fill>
      <patternFill patternType="solid">
        <fgColor theme="5"/>
        <bgColor rgb="FF993300"/>
      </patternFill>
    </fill>
    <fill>
      <patternFill patternType="solid">
        <fgColor theme="5" tint="0.7998"/>
        <bgColor rgb="FFE6E0EC"/>
      </patternFill>
    </fill>
  </fills>
  <borders count="12">
    <border diagonalUp="false" diagonalDown="false">
      <left/>
      <right/>
      <top/>
      <bottom/>
      <diagonal/>
    </border>
    <border diagonalUp="false" diagonalDown="false">
      <left style="thin">
        <color rgb="FFC4C4C4"/>
      </left>
      <right style="thin">
        <color rgb="FFC4C4C4"/>
      </right>
      <top style="thin">
        <color rgb="FFC4C4C4"/>
      </top>
      <bottom style="thin">
        <color rgb="FFC4C4C4"/>
      </bottom>
      <diagonal/>
    </border>
    <border diagonalUp="false" diagonalDown="false">
      <left style="thin">
        <color rgb="FFC4C4C4"/>
      </left>
      <right/>
      <top style="thin">
        <color rgb="FFC4C4C4"/>
      </top>
      <bottom style="thin">
        <color rgb="FFC4C4C4"/>
      </bottom>
      <diagonal/>
    </border>
    <border diagonalUp="false" diagonalDown="false">
      <left style="thin">
        <color rgb="FFD0D0D0"/>
      </left>
      <right style="thin">
        <color rgb="FFD0D0D0"/>
      </right>
      <top style="thin">
        <color rgb="FFD0D0D0"/>
      </top>
      <bottom style="thin">
        <color rgb="FFD0D0D0"/>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top style="thin"/>
      <bottom style="thin"/>
      <diagonal/>
    </border>
    <border diagonalUp="false" diagonalDown="false">
      <left/>
      <right/>
      <top style="thin">
        <color rgb="FFC4C4C4"/>
      </top>
      <bottom style="thin">
        <color rgb="FFC4C4C4"/>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style="thin">
        <color rgb="FFCCCCCC"/>
      </right>
      <top/>
      <bottom/>
      <diagonal/>
    </border>
    <border diagonalUp="false" diagonalDown="false">
      <left style="thin">
        <color rgb="FFC4C4C4"/>
      </left>
      <right style="thin">
        <color rgb="FFC4C4C4"/>
      </right>
      <top style="thin">
        <color rgb="FFC4C4C4"/>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4" fontId="9" fillId="5" borderId="2" xfId="0" applyFont="true" applyBorder="true" applyAlignment="true" applyProtection="false">
      <alignment horizontal="center" vertical="center" textRotation="0" wrapText="tru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9" fillId="6" borderId="2" xfId="0" applyFont="true" applyBorder="tru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bottom" textRotation="0" wrapText="true" indent="0" shrinkToFit="false"/>
      <protection locked="true" hidden="false"/>
    </xf>
    <xf numFmtId="164" fontId="10" fillId="7" borderId="1" xfId="0" applyFont="true" applyBorder="true" applyAlignment="true" applyProtection="false">
      <alignment horizontal="left"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5" fontId="8" fillId="7" borderId="1" xfId="0" applyFont="true" applyBorder="true" applyAlignment="true" applyProtection="false">
      <alignment horizontal="center" vertical="center" textRotation="0" wrapText="false" indent="0" shrinkToFit="false"/>
      <protection locked="true" hidden="false"/>
    </xf>
    <xf numFmtId="165" fontId="10" fillId="7" borderId="1" xfId="0" applyFont="true" applyBorder="true" applyAlignment="true" applyProtection="false">
      <alignment horizontal="center" vertical="center" textRotation="0" wrapText="false" indent="0" shrinkToFit="false"/>
      <protection locked="true" hidden="false"/>
    </xf>
    <xf numFmtId="166" fontId="11" fillId="7"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6" fontId="5" fillId="7" borderId="1" xfId="0" applyFont="true" applyBorder="true" applyAlignment="true" applyProtection="false">
      <alignment horizontal="center" vertical="center" textRotation="0" wrapText="false" indent="0" shrinkToFit="false"/>
      <protection locked="true" hidden="false"/>
    </xf>
    <xf numFmtId="167" fontId="5" fillId="7" borderId="1" xfId="0" applyFont="true" applyBorder="true" applyAlignment="true" applyProtection="false">
      <alignment horizontal="center" vertical="center" textRotation="0" wrapText="false" indent="0" shrinkToFit="false"/>
      <protection locked="true" hidden="false"/>
    </xf>
    <xf numFmtId="166" fontId="12" fillId="7" borderId="1" xfId="0" applyFont="true" applyBorder="tru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center" vertical="center" textRotation="0" wrapText="false" indent="0" shrinkToFit="false"/>
      <protection locked="true" hidden="false"/>
    </xf>
    <xf numFmtId="168" fontId="8" fillId="7" borderId="3" xfId="0" applyFont="true" applyBorder="true" applyAlignment="true" applyProtection="false">
      <alignment horizontal="center" vertical="center" textRotation="0" wrapText="true" indent="0" shrinkToFit="false"/>
      <protection locked="true" hidden="false"/>
    </xf>
    <xf numFmtId="166" fontId="8" fillId="7" borderId="3"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6" fontId="14" fillId="7" borderId="1" xfId="0" applyFont="true" applyBorder="true" applyAlignment="true" applyProtection="false">
      <alignment horizontal="center" vertical="center" textRotation="0" wrapText="false" indent="0" shrinkToFit="false"/>
      <protection locked="true" hidden="false"/>
    </xf>
    <xf numFmtId="167" fontId="14" fillId="7" borderId="1" xfId="0" applyFont="true" applyBorder="true" applyAlignment="true" applyProtection="false">
      <alignment horizontal="center" vertical="center" textRotation="0" wrapText="false" indent="0" shrinkToFit="false"/>
      <protection locked="true" hidden="false"/>
    </xf>
    <xf numFmtId="166" fontId="5" fillId="8" borderId="1" xfId="0" applyFont="true" applyBorder="true" applyAlignment="true" applyProtection="false">
      <alignment horizontal="center" vertical="center" textRotation="0" wrapText="false" indent="0" shrinkToFit="false"/>
      <protection locked="true" hidden="false"/>
    </xf>
    <xf numFmtId="164" fontId="8" fillId="7" borderId="3" xfId="0" applyFont="true" applyBorder="true" applyAlignment="true" applyProtection="false">
      <alignment horizontal="center" vertical="center" textRotation="0" wrapText="true" indent="0" shrinkToFit="false"/>
      <protection locked="true" hidden="false"/>
    </xf>
    <xf numFmtId="164" fontId="5" fillId="7"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left" vertical="center" textRotation="0" wrapText="fals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5" fontId="10" fillId="9" borderId="1" xfId="0" applyFont="true" applyBorder="true" applyAlignment="true" applyProtection="false">
      <alignment horizontal="center" vertical="center" textRotation="0" wrapText="false" indent="0" shrinkToFit="false"/>
      <protection locked="true" hidden="false"/>
    </xf>
    <xf numFmtId="166" fontId="5" fillId="9" borderId="1" xfId="0" applyFont="true" applyBorder="true" applyAlignment="true" applyProtection="false">
      <alignment horizontal="center" vertical="center" textRotation="0" wrapText="false" indent="0" shrinkToFit="false"/>
      <protection locked="true" hidden="false"/>
    </xf>
    <xf numFmtId="164" fontId="5" fillId="9" borderId="1" xfId="0" applyFont="true" applyBorder="true" applyAlignment="true" applyProtection="false">
      <alignment horizontal="center" vertical="center" textRotation="0" wrapText="false" indent="0" shrinkToFit="false"/>
      <protection locked="true" hidden="false"/>
    </xf>
    <xf numFmtId="164" fontId="10" fillId="10" borderId="1" xfId="0" applyFont="true" applyBorder="true" applyAlignment="true" applyProtection="false">
      <alignment horizontal="left" vertical="center" textRotation="0" wrapText="false" indent="0" shrinkToFit="false"/>
      <protection locked="true" hidden="false"/>
    </xf>
    <xf numFmtId="164" fontId="8" fillId="10" borderId="1" xfId="0" applyFont="true" applyBorder="true" applyAlignment="true" applyProtection="false">
      <alignment horizontal="center" vertical="center" textRotation="0" wrapText="false" indent="0" shrinkToFit="false"/>
      <protection locked="true" hidden="false"/>
    </xf>
    <xf numFmtId="165" fontId="8" fillId="10" borderId="1" xfId="0" applyFont="true" applyBorder="true" applyAlignment="true" applyProtection="false">
      <alignment horizontal="center" vertical="center" textRotation="0" wrapText="false" indent="0" shrinkToFit="false"/>
      <protection locked="true" hidden="false"/>
    </xf>
    <xf numFmtId="165" fontId="10" fillId="10" borderId="1" xfId="0" applyFont="true" applyBorder="true" applyAlignment="true" applyProtection="false">
      <alignment horizontal="center" vertical="center" textRotation="0" wrapText="false" indent="0" shrinkToFit="false"/>
      <protection locked="true" hidden="false"/>
    </xf>
    <xf numFmtId="166" fontId="5" fillId="10" borderId="1" xfId="0" applyFont="true" applyBorder="true" applyAlignment="true" applyProtection="false">
      <alignment horizontal="center" vertical="center" textRotation="0" wrapText="false" indent="0" shrinkToFit="false"/>
      <protection locked="true" hidden="false"/>
    </xf>
    <xf numFmtId="164" fontId="5" fillId="10" borderId="1" xfId="0" applyFont="true" applyBorder="true" applyAlignment="true" applyProtection="false">
      <alignment horizontal="center" vertical="center" textRotation="0" wrapText="false" indent="0" shrinkToFit="false"/>
      <protection locked="true" hidden="false"/>
    </xf>
    <xf numFmtId="164" fontId="5" fillId="10" borderId="1" xfId="0" applyFont="true" applyBorder="true" applyAlignment="true" applyProtection="false">
      <alignment horizontal="center" vertical="center" textRotation="0" wrapText="true" indent="0" shrinkToFit="false"/>
      <protection locked="true" hidden="false"/>
    </xf>
    <xf numFmtId="167" fontId="5" fillId="10" borderId="1" xfId="0" applyFont="true" applyBorder="true" applyAlignment="true" applyProtection="false">
      <alignment horizontal="center" vertical="center" textRotation="0" wrapText="false" indent="0" shrinkToFit="false"/>
      <protection locked="true" hidden="false"/>
    </xf>
    <xf numFmtId="168" fontId="8" fillId="10" borderId="3" xfId="0" applyFont="true" applyBorder="true" applyAlignment="true" applyProtection="false">
      <alignment horizontal="center" vertical="center" textRotation="0" wrapText="true" indent="0" shrinkToFit="false"/>
      <protection locked="true" hidden="false"/>
    </xf>
    <xf numFmtId="166" fontId="8" fillId="10" borderId="3" xfId="0" applyFont="true" applyBorder="true" applyAlignment="true" applyProtection="false">
      <alignment horizontal="center" vertical="center" textRotation="0" wrapText="true" indent="0" shrinkToFit="false"/>
      <protection locked="true" hidden="false"/>
    </xf>
    <xf numFmtId="164" fontId="8" fillId="10" borderId="3" xfId="0" applyFont="true" applyBorder="true" applyAlignment="true" applyProtection="false">
      <alignment horizontal="center" vertical="center" textRotation="0" wrapText="true" indent="0" shrinkToFit="false"/>
      <protection locked="true" hidden="false"/>
    </xf>
    <xf numFmtId="166" fontId="14" fillId="10" borderId="1" xfId="0" applyFont="true" applyBorder="true" applyAlignment="true" applyProtection="false">
      <alignment horizontal="center" vertical="center" textRotation="0" wrapText="false" indent="0" shrinkToFit="false"/>
      <protection locked="true" hidden="false"/>
    </xf>
    <xf numFmtId="166" fontId="14" fillId="10" borderId="3"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general" vertical="center"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9" fillId="3" borderId="0" xfId="0" applyFont="true" applyBorder="false" applyAlignment="true" applyProtection="false">
      <alignment horizontal="left" vertical="bottom" textRotation="0" wrapText="true" indent="0" shrinkToFit="false"/>
      <protection locked="true" hidden="false"/>
    </xf>
    <xf numFmtId="164" fontId="8" fillId="0" borderId="4"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left" vertical="bottom" textRotation="0" wrapText="false" indent="0" shrinkToFit="false"/>
      <protection locked="true" hidden="false"/>
    </xf>
    <xf numFmtId="164" fontId="8" fillId="0" borderId="5" xfId="0" applyFont="true" applyBorder="true" applyAlignment="true" applyProtection="false">
      <alignment horizontal="general" vertical="top" textRotation="0" wrapText="true" indent="0" shrinkToFit="false"/>
      <protection locked="true" hidden="false"/>
    </xf>
    <xf numFmtId="170" fontId="8" fillId="0" borderId="5" xfId="0" applyFont="true" applyBorder="true" applyAlignment="true" applyProtection="false">
      <alignment horizontal="general" vertical="top" textRotation="0" wrapText="true" indent="0" shrinkToFit="false"/>
      <protection locked="true" hidden="false"/>
    </xf>
    <xf numFmtId="164" fontId="5" fillId="0" borderId="5" xfId="0" applyFont="true" applyBorder="true" applyAlignment="true" applyProtection="false">
      <alignment horizontal="general" vertical="bottom" textRotation="0" wrapText="true" indent="0" shrinkToFit="false"/>
      <protection locked="true" hidden="false"/>
    </xf>
    <xf numFmtId="171" fontId="5" fillId="0" borderId="6" xfId="0" applyFont="true" applyBorder="true" applyAlignment="true" applyProtection="false">
      <alignment horizontal="general" vertical="bottom" textRotation="0" wrapText="true" indent="0" shrinkToFit="false"/>
      <protection locked="true" hidden="false"/>
    </xf>
    <xf numFmtId="164" fontId="8" fillId="0" borderId="6" xfId="0" applyFont="true" applyBorder="true" applyAlignment="true" applyProtection="false">
      <alignment horizontal="general" vertical="top" textRotation="0" wrapText="true" indent="0" shrinkToFit="false"/>
      <protection locked="true" hidden="false"/>
    </xf>
    <xf numFmtId="171" fontId="0" fillId="0" borderId="5" xfId="0" applyFont="false" applyBorder="true" applyAlignment="true" applyProtection="false">
      <alignment horizontal="general" vertical="bottom" textRotation="0" wrapText="false" indent="0" shrinkToFit="false"/>
      <protection locked="true" hidden="false"/>
    </xf>
    <xf numFmtId="164" fontId="5" fillId="0" borderId="7" xfId="0" applyFont="true" applyBorder="true" applyAlignment="true" applyProtection="false">
      <alignment horizontal="general" vertical="bottom" textRotation="0" wrapText="true" indent="0" shrinkToFit="false"/>
      <protection locked="true" hidden="false"/>
    </xf>
    <xf numFmtId="164" fontId="0" fillId="0" borderId="5" xfId="0" applyFont="true" applyBorder="true" applyAlignment="true" applyProtection="false">
      <alignment horizontal="general" vertical="bottom" textRotation="0" wrapText="false" indent="0" shrinkToFit="false"/>
      <protection locked="true" hidden="false"/>
    </xf>
    <xf numFmtId="164" fontId="9" fillId="6" borderId="0" xfId="0" applyFont="true" applyBorder="true" applyAlignment="true" applyProtection="false">
      <alignment horizontal="center" vertical="bottom" textRotation="0" wrapText="false" indent="0" shrinkToFit="false"/>
      <protection locked="true" hidden="false"/>
    </xf>
    <xf numFmtId="164" fontId="9" fillId="6" borderId="8" xfId="0" applyFont="true" applyBorder="true" applyAlignment="true" applyProtection="false">
      <alignment horizontal="center" vertical="bottom" textRotation="0" wrapText="true" indent="0" shrinkToFit="false"/>
      <protection locked="true" hidden="false"/>
    </xf>
    <xf numFmtId="164" fontId="9" fillId="6" borderId="0" xfId="0" applyFont="true" applyBorder="false" applyAlignment="true" applyProtection="false">
      <alignment horizontal="center" vertical="bottom" textRotation="0" wrapText="false" indent="0" shrinkToFit="false"/>
      <protection locked="true" hidden="false"/>
    </xf>
    <xf numFmtId="164" fontId="10" fillId="11" borderId="3" xfId="0" applyFont="true" applyBorder="true" applyAlignment="tru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xf numFmtId="165" fontId="5" fillId="11" borderId="3" xfId="0" applyFont="true" applyBorder="true" applyAlignment="true" applyProtection="false">
      <alignment horizontal="center" vertical="bottom" textRotation="0" wrapText="false" indent="0" shrinkToFit="false"/>
      <protection locked="true" hidden="false"/>
    </xf>
    <xf numFmtId="166" fontId="5" fillId="11" borderId="3" xfId="0" applyFont="true" applyBorder="true" applyAlignment="true" applyProtection="false">
      <alignment horizontal="center" vertical="bottom" textRotation="0" wrapText="false" indent="0" shrinkToFit="false"/>
      <protection locked="true" hidden="false"/>
    </xf>
    <xf numFmtId="167" fontId="5" fillId="11" borderId="3" xfId="0" applyFont="true" applyBorder="true" applyAlignment="true" applyProtection="false">
      <alignment horizontal="center" vertical="bottom" textRotation="0" wrapText="false" indent="0" shrinkToFit="false"/>
      <protection locked="true" hidden="false"/>
    </xf>
    <xf numFmtId="168" fontId="8" fillId="11" borderId="3" xfId="0" applyFont="true" applyBorder="true" applyAlignment="true" applyProtection="false">
      <alignment horizontal="center" vertical="center" textRotation="0" wrapText="true" indent="0" shrinkToFit="false"/>
      <protection locked="true" hidden="false"/>
    </xf>
    <xf numFmtId="166" fontId="8" fillId="11" borderId="3" xfId="0" applyFont="true" applyBorder="true" applyAlignment="true" applyProtection="false">
      <alignment horizontal="center" vertical="center" textRotation="0" wrapText="true" indent="0" shrinkToFit="false"/>
      <protection locked="true" hidden="false"/>
    </xf>
    <xf numFmtId="164" fontId="21" fillId="12" borderId="0" xfId="0" applyFont="true" applyBorder="false" applyAlignment="true" applyProtection="false">
      <alignment horizontal="general" vertical="bottom" textRotation="0" wrapText="false" indent="0" shrinkToFit="false"/>
      <protection locked="true" hidden="false"/>
    </xf>
    <xf numFmtId="164" fontId="5" fillId="12" borderId="0" xfId="0" applyFont="true" applyBorder="false" applyAlignment="true" applyProtection="false">
      <alignment horizontal="general" vertical="bottom" textRotation="0" wrapText="false" indent="0" shrinkToFit="false"/>
      <protection locked="true" hidden="false"/>
    </xf>
    <xf numFmtId="165" fontId="5" fillId="12" borderId="0" xfId="0" applyFont="true" applyBorder="false" applyAlignment="true" applyProtection="false">
      <alignment horizontal="general" vertical="bottom" textRotation="0" wrapText="false" indent="0" shrinkToFit="false"/>
      <protection locked="true" hidden="false"/>
    </xf>
    <xf numFmtId="165" fontId="5" fillId="0" borderId="3" xfId="0" applyFont="true" applyBorder="true" applyAlignment="true" applyProtection="false">
      <alignment horizontal="center" vertical="bottom" textRotation="0" wrapText="fals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6" fontId="5" fillId="0" borderId="3" xfId="0" applyFont="true" applyBorder="true" applyAlignment="true" applyProtection="false">
      <alignment horizontal="center" vertical="bottom" textRotation="0" wrapText="false" indent="0" shrinkToFit="false"/>
      <protection locked="true" hidden="false"/>
    </xf>
    <xf numFmtId="167" fontId="5" fillId="0" borderId="3" xfId="0" applyFont="true" applyBorder="true" applyAlignment="true" applyProtection="false">
      <alignment horizontal="center" vertical="bottom" textRotation="0" wrapText="false" indent="0" shrinkToFit="false"/>
      <protection locked="true" hidden="false"/>
    </xf>
    <xf numFmtId="166" fontId="5" fillId="11" borderId="3" xfId="0" applyFont="true" applyBorder="true" applyAlignment="true" applyProtection="false">
      <alignment horizontal="center" vertical="bottom" textRotation="0" wrapText="true" indent="0" shrinkToFit="false"/>
      <protection locked="true" hidden="false"/>
    </xf>
    <xf numFmtId="164" fontId="8" fillId="11" borderId="3"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7" fillId="13" borderId="0" xfId="0" applyFont="true" applyBorder="false" applyAlignment="true" applyProtection="false">
      <alignment horizontal="general" vertical="bottom" textRotation="0" wrapText="false" indent="0" shrinkToFit="false"/>
      <protection locked="true" hidden="false"/>
    </xf>
    <xf numFmtId="164" fontId="24" fillId="13"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true" applyAlignment="true" applyProtection="false">
      <alignment horizontal="general" vertical="top" textRotation="0" wrapText="true" indent="0" shrinkToFit="false"/>
      <protection locked="true" hidden="false"/>
    </xf>
    <xf numFmtId="166" fontId="25" fillId="0" borderId="0" xfId="0" applyFont="true" applyBorder="false" applyAlignment="true" applyProtection="false">
      <alignment horizontal="general" vertical="bottom" textRotation="0" wrapText="false" indent="0" shrinkToFit="false"/>
      <protection locked="true" hidden="false"/>
    </xf>
    <xf numFmtId="164" fontId="9" fillId="14" borderId="9"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12" fillId="10" borderId="9" xfId="0" applyFont="true" applyBorder="true" applyAlignment="true" applyProtection="false">
      <alignment horizontal="center" vertical="bottom" textRotation="0" wrapText="false" indent="0" shrinkToFit="false"/>
      <protection locked="true" hidden="false"/>
    </xf>
    <xf numFmtId="166" fontId="6" fillId="10" borderId="9" xfId="0" applyFont="true" applyBorder="true" applyAlignment="true" applyProtection="false">
      <alignment horizontal="center" vertical="bottom" textRotation="0" wrapText="false" indent="0" shrinkToFit="false"/>
      <protection locked="true" hidden="false"/>
    </xf>
    <xf numFmtId="166" fontId="12" fillId="15" borderId="9" xfId="0" applyFont="true" applyBorder="true" applyAlignment="true" applyProtection="false">
      <alignment horizontal="center" vertical="bottom" textRotation="0" wrapText="false" indent="0" shrinkToFit="false"/>
      <protection locked="true" hidden="false"/>
    </xf>
    <xf numFmtId="166" fontId="12" fillId="16" borderId="9" xfId="0" applyFont="true" applyBorder="true" applyAlignment="true" applyProtection="false">
      <alignment horizontal="center" vertical="bottom" textRotation="0" wrapText="false" indent="0" shrinkToFit="false"/>
      <protection locked="true" hidden="false"/>
    </xf>
    <xf numFmtId="166" fontId="6" fillId="15" borderId="9" xfId="0" applyFont="true" applyBorder="true" applyAlignment="true" applyProtection="false">
      <alignment horizontal="center" vertical="bottom" textRotation="0" wrapText="false" indent="0" shrinkToFit="false"/>
      <protection locked="true" hidden="false"/>
    </xf>
    <xf numFmtId="166" fontId="6" fillId="16" borderId="9" xfId="0" applyFont="true" applyBorder="true" applyAlignment="true" applyProtection="false">
      <alignment horizontal="center" vertical="bottom" textRotation="0" wrapText="false" indent="0" shrinkToFit="false"/>
      <protection locked="true" hidden="false"/>
    </xf>
    <xf numFmtId="166" fontId="8" fillId="10" borderId="9" xfId="0" applyFont="true" applyBorder="true" applyAlignment="true" applyProtection="false">
      <alignment horizontal="center" vertical="bottom" textRotation="0" wrapText="false" indent="0" shrinkToFit="false"/>
      <protection locked="true" hidden="false"/>
    </xf>
    <xf numFmtId="166" fontId="10" fillId="10" borderId="9" xfId="0" applyFont="true" applyBorder="true" applyAlignment="true" applyProtection="false">
      <alignment horizontal="center" vertical="bottom" textRotation="0" wrapText="false" indent="0" shrinkToFit="false"/>
      <protection locked="true" hidden="false"/>
    </xf>
    <xf numFmtId="166" fontId="5" fillId="15" borderId="9" xfId="0" applyFont="true" applyBorder="true" applyAlignment="true" applyProtection="false">
      <alignment horizontal="center" vertical="bottom" textRotation="0" wrapText="false" indent="0" shrinkToFit="false"/>
      <protection locked="true" hidden="false"/>
    </xf>
    <xf numFmtId="166" fontId="5" fillId="16" borderId="9" xfId="0" applyFont="true" applyBorder="true" applyAlignment="true" applyProtection="false">
      <alignment horizontal="center" vertical="bottom" textRotation="0" wrapText="false" indent="0" shrinkToFit="false"/>
      <protection locked="true" hidden="false"/>
    </xf>
    <xf numFmtId="166" fontId="14" fillId="15" borderId="9" xfId="0" applyFont="true" applyBorder="true" applyAlignment="true" applyProtection="false">
      <alignment horizontal="center" vertical="bottom" textRotation="0" wrapText="false" indent="0" shrinkToFit="false"/>
      <protection locked="true" hidden="false"/>
    </xf>
    <xf numFmtId="166" fontId="30" fillId="16" borderId="9" xfId="0" applyFont="true" applyBorder="true" applyAlignment="true" applyProtection="false">
      <alignment horizontal="center" vertical="bottom" textRotation="0" wrapText="false" indent="0" shrinkToFit="false"/>
      <protection locked="true" hidden="false"/>
    </xf>
    <xf numFmtId="166" fontId="14" fillId="16" borderId="9" xfId="0" applyFont="true" applyBorder="true" applyAlignment="true" applyProtection="false">
      <alignment horizontal="center" vertical="bottom" textRotation="0" wrapText="false" indent="0" shrinkToFit="false"/>
      <protection locked="true" hidden="false"/>
    </xf>
    <xf numFmtId="164" fontId="29" fillId="0" borderId="0" xfId="0" applyFont="true" applyBorder="false" applyAlignment="true" applyProtection="false">
      <alignment horizontal="general" vertical="top" textRotation="0" wrapText="false" indent="0"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xf numFmtId="164" fontId="25" fillId="7" borderId="0" xfId="0" applyFont="true" applyBorder="true" applyAlignment="true" applyProtection="false">
      <alignment horizontal="center" vertical="center" textRotation="0" wrapText="false" indent="0" shrinkToFit="false"/>
      <protection locked="true" hidden="false"/>
    </xf>
    <xf numFmtId="164" fontId="30" fillId="17" borderId="10" xfId="0" applyFont="true" applyBorder="true" applyAlignment="true" applyProtection="false">
      <alignment horizontal="center" vertical="center" textRotation="0" wrapText="tru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72" fontId="12" fillId="18" borderId="0" xfId="0" applyFont="true" applyBorder="false" applyAlignment="true" applyProtection="false">
      <alignment horizontal="general" vertical="bottom" textRotation="0" wrapText="false" indent="0" shrinkToFit="false"/>
      <protection locked="true" hidden="false"/>
    </xf>
    <xf numFmtId="166" fontId="14" fillId="10" borderId="9" xfId="0" applyFont="true" applyBorder="true" applyAlignment="true" applyProtection="false">
      <alignment horizontal="center" vertical="bottom" textRotation="0" wrapText="false" indent="0" shrinkToFit="false"/>
      <protection locked="true" hidden="false"/>
    </xf>
    <xf numFmtId="172" fontId="14" fillId="18" borderId="0" xfId="0" applyFont="true" applyBorder="false" applyAlignment="true" applyProtection="false">
      <alignment horizontal="general" vertical="bottom" textRotation="0" wrapText="false" indent="0" shrinkToFit="false"/>
      <protection locked="true" hidden="false"/>
    </xf>
    <xf numFmtId="172" fontId="5" fillId="18" borderId="0" xfId="0" applyFont="true" applyBorder="false" applyAlignment="true" applyProtection="false">
      <alignment horizontal="general" vertical="bottom" textRotation="0" wrapText="false" indent="0" shrinkToFit="false"/>
      <protection locked="true" hidden="false"/>
    </xf>
    <xf numFmtId="172" fontId="6" fillId="18"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32" fillId="0" borderId="0" xfId="0" applyFont="true" applyBorder="true" applyAlignment="true" applyProtection="false">
      <alignment horizontal="left" vertical="center" textRotation="0" wrapText="true" indent="0" shrinkToFit="false"/>
      <protection locked="true" hidden="false"/>
    </xf>
    <xf numFmtId="164" fontId="33" fillId="0" borderId="0" xfId="0" applyFont="true" applyBorder="true" applyAlignment="true" applyProtection="false">
      <alignment horizontal="left" vertical="center" textRotation="0" wrapText="true" indent="0" shrinkToFit="false"/>
      <protection locked="true" hidden="false"/>
    </xf>
    <xf numFmtId="164" fontId="34" fillId="0" borderId="0" xfId="0" applyFont="true" applyBorder="true" applyAlignment="true" applyProtection="false">
      <alignment horizontal="left" vertical="center" textRotation="0" wrapText="true" indent="0" shrinkToFit="false"/>
      <protection locked="true" hidden="false"/>
    </xf>
    <xf numFmtId="164" fontId="35" fillId="0" borderId="0" xfId="0" applyFont="true" applyBorder="true" applyAlignment="true" applyProtection="false">
      <alignment horizontal="left" vertical="center" textRotation="0" wrapText="true" indent="0" shrinkToFit="false"/>
      <protection locked="true" hidden="false"/>
    </xf>
    <xf numFmtId="164" fontId="36" fillId="2" borderId="1" xfId="0" applyFont="true" applyBorder="true" applyAlignment="true" applyProtection="false">
      <alignment horizontal="left" vertical="center" textRotation="0" wrapText="true" indent="0" shrinkToFit="false"/>
      <protection locked="true" hidden="false"/>
    </xf>
    <xf numFmtId="164" fontId="36" fillId="2" borderId="1" xfId="0" applyFont="true" applyBorder="true" applyAlignment="true" applyProtection="false">
      <alignment horizontal="center" vertical="center" textRotation="0" wrapText="true" indent="0" shrinkToFit="false"/>
      <protection locked="true" hidden="false"/>
    </xf>
    <xf numFmtId="164" fontId="36" fillId="2" borderId="11" xfId="0" applyFont="true" applyBorder="true" applyAlignment="true" applyProtection="false">
      <alignment horizontal="center" vertical="center" textRotation="0" wrapText="tru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6" fillId="2" borderId="11" xfId="0" applyFont="true" applyBorder="true" applyAlignment="true" applyProtection="false">
      <alignment horizontal="left" vertical="center" textRotation="0" wrapText="true" indent="0" shrinkToFit="false"/>
      <protection locked="true" hidden="false"/>
    </xf>
    <xf numFmtId="164" fontId="38" fillId="8" borderId="5" xfId="0" applyFont="true" applyBorder="true" applyAlignment="true" applyProtection="false">
      <alignment horizontal="left" vertical="center" textRotation="0" wrapText="true" indent="0" shrinkToFit="false"/>
      <protection locked="true" hidden="false"/>
    </xf>
    <xf numFmtId="164" fontId="39" fillId="8" borderId="5" xfId="0" applyFont="true" applyBorder="true" applyAlignment="true" applyProtection="false">
      <alignment horizontal="center" vertical="center" textRotation="0" wrapText="true" indent="0" shrinkToFit="false"/>
      <protection locked="true" hidden="false"/>
    </xf>
    <xf numFmtId="164" fontId="39" fillId="8" borderId="5" xfId="0" applyFont="true" applyBorder="true" applyAlignment="true" applyProtection="false">
      <alignment horizontal="right" vertical="center" textRotation="0" wrapText="true" indent="0" shrinkToFit="false"/>
      <protection locked="true" hidden="false"/>
    </xf>
    <xf numFmtId="164" fontId="37" fillId="8" borderId="5" xfId="0" applyFont="true" applyBorder="true" applyAlignment="true" applyProtection="false">
      <alignment horizontal="center" vertical="center" textRotation="0" wrapText="false" indent="0" shrinkToFit="false"/>
      <protection locked="true" hidden="false"/>
    </xf>
    <xf numFmtId="167" fontId="39" fillId="8" borderId="5" xfId="0" applyFont="true" applyBorder="true" applyAlignment="true" applyProtection="false">
      <alignment horizontal="right" vertical="center" textRotation="0" wrapText="true" indent="0" shrinkToFit="false"/>
      <protection locked="true" hidden="false"/>
    </xf>
    <xf numFmtId="164" fontId="40" fillId="8" borderId="0" xfId="0" applyFont="true" applyBorder="false" applyAlignment="true" applyProtection="false">
      <alignment horizontal="left" vertical="center" textRotation="0" wrapText="true" indent="0" shrinkToFit="false"/>
      <protection locked="true" hidden="false"/>
    </xf>
    <xf numFmtId="164" fontId="41" fillId="8" borderId="0" xfId="0" applyFont="true" applyBorder="false" applyAlignment="true" applyProtection="false">
      <alignment horizontal="left" vertical="center" textRotation="0" wrapText="true" indent="0" shrinkToFit="false"/>
      <protection locked="true" hidden="false"/>
    </xf>
    <xf numFmtId="164" fontId="41" fillId="8" borderId="0" xfId="0" applyFont="true" applyBorder="false" applyAlignment="true" applyProtection="false">
      <alignment horizontal="center" vertical="center" textRotation="0" wrapText="true" indent="0" shrinkToFit="false"/>
      <protection locked="true" hidden="false"/>
    </xf>
    <xf numFmtId="164" fontId="0" fillId="8" borderId="0" xfId="0" applyFont="fals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1F5C3A"/>
      <rgbColor rgb="FF000080"/>
      <rgbColor rgb="FF808000"/>
      <rgbColor rgb="FF800080"/>
      <rgbColor rgb="FF1C7293"/>
      <rgbColor rgb="FFBFBFBF"/>
      <rgbColor rgb="FF808080"/>
      <rgbColor rgb="FFD9DEEA"/>
      <rgbColor rgb="FF7030A0"/>
      <rgbColor rgb="FFFFF3CD"/>
      <rgbColor rgb="FFEBF1DE"/>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D9E1F2"/>
      <rgbColor rgb="FFE2EFDA"/>
      <rgbColor rgb="FFFDE9D9"/>
      <rgbColor rgb="FFC4C4C4"/>
      <rgbColor rgb="FFE6E0EC"/>
      <rgbColor rgb="FFCCCCCC"/>
      <rgbColor rgb="FFF2DCDB"/>
      <rgbColor rgb="FF3366FF"/>
      <rgbColor rgb="FF33CCCC"/>
      <rgbColor rgb="FF99CC00"/>
      <rgbColor rgb="FFFFCC00"/>
      <rgbColor rgb="FFBF8F00"/>
      <rgbColor rgb="FFFF6600"/>
      <rgbColor rgb="FF595959"/>
      <rgbColor rgb="FF969696"/>
      <rgbColor rgb="FF1F3864"/>
      <rgbColor rgb="FF339966"/>
      <rgbColor rgb="FF003300"/>
      <rgbColor rgb="FF5B4A7A"/>
      <rgbColor rgb="FF993300"/>
      <rgbColor rgb="FFC0504D"/>
      <rgbColor rgb="FF2E4B6E"/>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8.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9.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0.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1.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2.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6"/>
  <sheetViews>
    <sheetView showFormulas="false" showGridLines="false" showRowColHeaders="true" showZeros="true" rightToLeft="false" tabSelected="false" showOutlineSymbols="true" defaultGridColor="true" view="normal" topLeftCell="C4" colorId="64" zoomScale="100" zoomScaleNormal="100" zoomScalePageLayoutView="100" workbookViewId="0">
      <pane xSplit="0" ySplit="2" topLeftCell="F6" activePane="bottomLeft" state="frozen"/>
      <selection pane="topLeft" activeCell="C4" activeCellId="0" sqref="C4"/>
      <selection pane="bottomLeft" activeCell="Y9" activeCellId="0" sqref="Y9"/>
    </sheetView>
  </sheetViews>
  <sheetFormatPr defaultColWidth="8.71484375" defaultRowHeight="15" zeroHeight="false" outlineLevelRow="0" outlineLevelCol="0"/>
  <cols>
    <col collapsed="false" customWidth="true" hidden="false" outlineLevel="0" max="1" min="1" style="1" width="28"/>
    <col collapsed="false" customWidth="true" hidden="false" outlineLevel="0" max="2" min="2" style="1" width="9"/>
    <col collapsed="false" customWidth="true" hidden="false" outlineLevel="0" max="6" min="3" style="1" width="10"/>
    <col collapsed="false" customWidth="true" hidden="false" outlineLevel="0" max="10" min="7" style="1" width="8"/>
    <col collapsed="false" customWidth="true" hidden="false" outlineLevel="0" max="14" min="11" style="1" width="11"/>
    <col collapsed="false" customWidth="true" hidden="false" outlineLevel="0" max="38" min="15" style="1" width="7.42"/>
  </cols>
  <sheetData>
    <row r="1" customFormat="false" ht="15.75" hidden="false" customHeight="true" outlineLevel="0" collapsed="false">
      <c r="A1" s="2" t="s">
        <v>0</v>
      </c>
      <c r="B1" s="3"/>
      <c r="C1" s="3"/>
      <c r="D1" s="3"/>
      <c r="E1" s="3"/>
      <c r="F1" s="3"/>
      <c r="G1" s="3"/>
      <c r="H1" s="3"/>
      <c r="I1" s="3"/>
      <c r="J1" s="3"/>
      <c r="K1" s="3"/>
      <c r="L1" s="3"/>
      <c r="M1" s="3"/>
      <c r="N1" s="4" t="s">
        <v>1</v>
      </c>
      <c r="O1" s="3"/>
      <c r="P1" s="3"/>
      <c r="Q1" s="3"/>
      <c r="R1" s="3"/>
      <c r="S1" s="3"/>
      <c r="T1" s="3"/>
      <c r="U1" s="3"/>
      <c r="V1" s="3"/>
      <c r="W1" s="3"/>
      <c r="X1" s="3"/>
      <c r="Y1" s="3"/>
      <c r="Z1" s="3"/>
      <c r="AA1" s="3"/>
      <c r="AB1" s="3"/>
      <c r="AC1" s="3"/>
      <c r="AD1" s="3"/>
      <c r="AE1" s="3"/>
      <c r="AF1" s="3"/>
      <c r="AG1" s="3"/>
      <c r="AH1" s="3"/>
      <c r="AI1" s="3"/>
      <c r="AJ1" s="3"/>
      <c r="AK1" s="3"/>
      <c r="AL1" s="3"/>
    </row>
    <row r="2" customFormat="false" ht="15" hidden="false" customHeight="true" outlineLevel="0" collapsed="false">
      <c r="A2" s="5" t="s">
        <v>2</v>
      </c>
      <c r="B2" s="3"/>
      <c r="C2" s="3"/>
      <c r="D2" s="3"/>
      <c r="E2" s="3"/>
      <c r="F2" s="3"/>
      <c r="G2" s="3"/>
      <c r="H2" s="3"/>
      <c r="I2" s="3"/>
      <c r="J2" s="3"/>
      <c r="K2" s="3"/>
      <c r="L2" s="3"/>
      <c r="M2" s="3"/>
      <c r="N2" s="6"/>
      <c r="O2" s="3"/>
      <c r="P2" s="3"/>
      <c r="Q2" s="3"/>
      <c r="R2" s="3"/>
      <c r="S2" s="3"/>
      <c r="T2" s="3"/>
      <c r="U2" s="3"/>
      <c r="V2" s="3"/>
      <c r="W2" s="3"/>
      <c r="X2" s="3"/>
      <c r="Y2" s="3"/>
      <c r="Z2" s="3"/>
      <c r="AA2" s="3"/>
      <c r="AB2" s="3"/>
      <c r="AC2" s="3"/>
      <c r="AD2" s="3"/>
      <c r="AE2" s="3"/>
      <c r="AF2" s="3"/>
      <c r="AG2" s="3"/>
      <c r="AH2" s="3"/>
      <c r="AI2" s="3"/>
      <c r="AJ2" s="3"/>
      <c r="AK2" s="3"/>
      <c r="AL2" s="3"/>
    </row>
    <row r="3" customFormat="false" ht="14.2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row>
    <row r="4" s="13" customFormat="true" ht="37.5" hidden="false" customHeight="true" outlineLevel="0" collapsed="false">
      <c r="A4" s="7"/>
      <c r="B4" s="7"/>
      <c r="C4" s="8" t="s">
        <v>3</v>
      </c>
      <c r="D4" s="8"/>
      <c r="E4" s="8"/>
      <c r="F4" s="8"/>
      <c r="G4" s="9" t="s">
        <v>4</v>
      </c>
      <c r="H4" s="9"/>
      <c r="I4" s="9"/>
      <c r="J4" s="9"/>
      <c r="K4" s="10" t="s">
        <v>5</v>
      </c>
      <c r="L4" s="10"/>
      <c r="M4" s="10"/>
      <c r="N4" s="10"/>
      <c r="O4" s="11" t="s">
        <v>6</v>
      </c>
      <c r="P4" s="11"/>
      <c r="Q4" s="11"/>
      <c r="R4" s="11"/>
      <c r="S4" s="11" t="s">
        <v>7</v>
      </c>
      <c r="T4" s="11"/>
      <c r="U4" s="11"/>
      <c r="V4" s="11"/>
      <c r="W4" s="11" t="s">
        <v>8</v>
      </c>
      <c r="X4" s="11"/>
      <c r="Y4" s="11"/>
      <c r="Z4" s="11"/>
      <c r="AA4" s="11" t="s">
        <v>9</v>
      </c>
      <c r="AB4" s="11"/>
      <c r="AC4" s="11"/>
      <c r="AD4" s="11"/>
      <c r="AE4" s="11" t="s">
        <v>10</v>
      </c>
      <c r="AF4" s="11"/>
      <c r="AG4" s="11"/>
      <c r="AH4" s="11"/>
      <c r="AI4" s="11" t="s">
        <v>11</v>
      </c>
      <c r="AJ4" s="11"/>
      <c r="AK4" s="11"/>
      <c r="AL4" s="11"/>
      <c r="AM4" s="12" t="s">
        <v>12</v>
      </c>
      <c r="AN4" s="12"/>
      <c r="AO4" s="12"/>
      <c r="AP4" s="12"/>
    </row>
    <row r="5" customFormat="false" ht="35.25" hidden="false" customHeight="true" outlineLevel="0" collapsed="false">
      <c r="A5" s="14" t="s">
        <v>13</v>
      </c>
      <c r="B5" s="14" t="s">
        <v>14</v>
      </c>
      <c r="C5" s="14" t="s">
        <v>15</v>
      </c>
      <c r="D5" s="14" t="s">
        <v>16</v>
      </c>
      <c r="E5" s="14" t="s">
        <v>17</v>
      </c>
      <c r="F5" s="14" t="s">
        <v>18</v>
      </c>
      <c r="G5" s="14" t="s">
        <v>15</v>
      </c>
      <c r="H5" s="14" t="s">
        <v>16</v>
      </c>
      <c r="I5" s="14" t="s">
        <v>17</v>
      </c>
      <c r="J5" s="14" t="s">
        <v>19</v>
      </c>
      <c r="K5" s="14" t="s">
        <v>20</v>
      </c>
      <c r="L5" s="14" t="s">
        <v>21</v>
      </c>
      <c r="M5" s="14" t="s">
        <v>22</v>
      </c>
      <c r="N5" s="14" t="s">
        <v>23</v>
      </c>
      <c r="O5" s="14" t="s">
        <v>24</v>
      </c>
      <c r="P5" s="14" t="s">
        <v>25</v>
      </c>
      <c r="Q5" s="14" t="s">
        <v>26</v>
      </c>
      <c r="R5" s="14" t="s">
        <v>27</v>
      </c>
      <c r="S5" s="14" t="s">
        <v>24</v>
      </c>
      <c r="T5" s="14" t="s">
        <v>25</v>
      </c>
      <c r="U5" s="14" t="s">
        <v>26</v>
      </c>
      <c r="V5" s="14" t="s">
        <v>27</v>
      </c>
      <c r="W5" s="14" t="s">
        <v>24</v>
      </c>
      <c r="X5" s="14" t="s">
        <v>25</v>
      </c>
      <c r="Y5" s="14" t="s">
        <v>26</v>
      </c>
      <c r="Z5" s="14" t="s">
        <v>27</v>
      </c>
      <c r="AA5" s="14" t="s">
        <v>24</v>
      </c>
      <c r="AB5" s="14" t="s">
        <v>25</v>
      </c>
      <c r="AC5" s="14" t="s">
        <v>26</v>
      </c>
      <c r="AD5" s="14" t="s">
        <v>27</v>
      </c>
      <c r="AE5" s="14" t="s">
        <v>24</v>
      </c>
      <c r="AF5" s="14" t="s">
        <v>25</v>
      </c>
      <c r="AG5" s="14" t="s">
        <v>26</v>
      </c>
      <c r="AH5" s="14" t="s">
        <v>27</v>
      </c>
      <c r="AI5" s="14" t="s">
        <v>24</v>
      </c>
      <c r="AJ5" s="14" t="s">
        <v>25</v>
      </c>
      <c r="AK5" s="14" t="s">
        <v>26</v>
      </c>
      <c r="AL5" s="14" t="s">
        <v>27</v>
      </c>
      <c r="AM5" s="15" t="s">
        <v>28</v>
      </c>
      <c r="AN5" s="15" t="s">
        <v>29</v>
      </c>
      <c r="AO5" s="15" t="s">
        <v>30</v>
      </c>
      <c r="AP5" s="15" t="s">
        <v>31</v>
      </c>
    </row>
    <row r="6" s="29" customFormat="true" ht="27.75" hidden="false" customHeight="true" outlineLevel="0" collapsed="false">
      <c r="A6" s="16" t="s">
        <v>32</v>
      </c>
      <c r="B6" s="17" t="s">
        <v>33</v>
      </c>
      <c r="C6" s="18" t="n">
        <v>64273</v>
      </c>
      <c r="D6" s="18" t="n">
        <v>909668</v>
      </c>
      <c r="E6" s="18" t="n">
        <v>191764</v>
      </c>
      <c r="F6" s="19" t="n">
        <f aca="false">C6+D6+E6</f>
        <v>1165705</v>
      </c>
      <c r="G6" s="20" t="n">
        <v>0.873</v>
      </c>
      <c r="H6" s="20" t="n">
        <v>0.144</v>
      </c>
      <c r="I6" s="20" t="n">
        <v>0.58</v>
      </c>
      <c r="J6" s="20" t="n">
        <v>0.313</v>
      </c>
      <c r="K6" s="21" t="s">
        <v>34</v>
      </c>
      <c r="L6" s="21" t="s">
        <v>35</v>
      </c>
      <c r="M6" s="22" t="s">
        <v>36</v>
      </c>
      <c r="N6" s="21" t="s">
        <v>37</v>
      </c>
      <c r="O6" s="23" t="n">
        <v>0.6</v>
      </c>
      <c r="P6" s="23" t="n">
        <v>0.4</v>
      </c>
      <c r="Q6" s="24" t="n">
        <v>34.5</v>
      </c>
      <c r="R6" s="23" t="n">
        <v>0.4</v>
      </c>
      <c r="S6" s="25" t="n">
        <v>1</v>
      </c>
      <c r="T6" s="25" t="n">
        <v>0.9</v>
      </c>
      <c r="U6" s="24" t="n">
        <v>6.8</v>
      </c>
      <c r="V6" s="23" t="n">
        <v>0.5</v>
      </c>
      <c r="W6" s="26" t="s">
        <v>38</v>
      </c>
      <c r="X6" s="26" t="s">
        <v>38</v>
      </c>
      <c r="Y6" s="26" t="s">
        <v>38</v>
      </c>
      <c r="Z6" s="26" t="s">
        <v>38</v>
      </c>
      <c r="AA6" s="26" t="s">
        <v>38</v>
      </c>
      <c r="AB6" s="26" t="s">
        <v>38</v>
      </c>
      <c r="AC6" s="26" t="s">
        <v>38</v>
      </c>
      <c r="AD6" s="26" t="s">
        <v>38</v>
      </c>
      <c r="AE6" s="23" t="n">
        <v>0.95</v>
      </c>
      <c r="AF6" s="25" t="n">
        <v>0.98</v>
      </c>
      <c r="AG6" s="24" t="n">
        <v>7.8</v>
      </c>
      <c r="AH6" s="25" t="n">
        <v>0</v>
      </c>
      <c r="AI6" s="26" t="s">
        <v>38</v>
      </c>
      <c r="AJ6" s="26" t="s">
        <v>38</v>
      </c>
      <c r="AK6" s="26" t="s">
        <v>38</v>
      </c>
      <c r="AL6" s="26" t="s">
        <v>38</v>
      </c>
      <c r="AM6" s="27" t="n">
        <v>4.75</v>
      </c>
      <c r="AN6" s="28" t="n">
        <v>0.679</v>
      </c>
      <c r="AO6" s="28" t="n">
        <v>0.07</v>
      </c>
      <c r="AP6" s="28" t="n">
        <v>0.2</v>
      </c>
    </row>
    <row r="7" s="29" customFormat="true" ht="27.75" hidden="false" customHeight="true" outlineLevel="0" collapsed="false">
      <c r="A7" s="16" t="s">
        <v>39</v>
      </c>
      <c r="B7" s="17" t="s">
        <v>33</v>
      </c>
      <c r="C7" s="18" t="n">
        <v>286411</v>
      </c>
      <c r="D7" s="18" t="n">
        <v>13693048</v>
      </c>
      <c r="E7" s="18" t="n">
        <v>727963</v>
      </c>
      <c r="F7" s="19" t="n">
        <f aca="false">C7+D7+E7</f>
        <v>14707422</v>
      </c>
      <c r="G7" s="30" t="n">
        <v>0.975</v>
      </c>
      <c r="H7" s="25" t="n">
        <v>0.57</v>
      </c>
      <c r="I7" s="25" t="n">
        <v>0.39</v>
      </c>
      <c r="J7" s="25" t="n">
        <v>0.722</v>
      </c>
      <c r="K7" s="21" t="s">
        <v>40</v>
      </c>
      <c r="L7" s="21" t="s">
        <v>41</v>
      </c>
      <c r="M7" s="22" t="s">
        <v>42</v>
      </c>
      <c r="N7" s="21" t="s">
        <v>43</v>
      </c>
      <c r="O7" s="30" t="n">
        <v>0.15</v>
      </c>
      <c r="P7" s="30" t="n">
        <v>0.927</v>
      </c>
      <c r="Q7" s="31" t="n">
        <v>122.7</v>
      </c>
      <c r="R7" s="30" t="n">
        <v>0.05</v>
      </c>
      <c r="S7" s="25" t="n">
        <v>0.74</v>
      </c>
      <c r="T7" s="25" t="n">
        <v>0.999</v>
      </c>
      <c r="U7" s="24" t="n">
        <v>30.3</v>
      </c>
      <c r="V7" s="23" t="n">
        <v>0.5</v>
      </c>
      <c r="W7" s="23" t="n">
        <v>0.5</v>
      </c>
      <c r="X7" s="25" t="n">
        <v>0.988</v>
      </c>
      <c r="Y7" s="24" t="n">
        <v>155</v>
      </c>
      <c r="Z7" s="23" t="n">
        <v>0.5</v>
      </c>
      <c r="AA7" s="26" t="s">
        <v>38</v>
      </c>
      <c r="AB7" s="26" t="s">
        <v>38</v>
      </c>
      <c r="AC7" s="26" t="s">
        <v>38</v>
      </c>
      <c r="AD7" s="26" t="s">
        <v>38</v>
      </c>
      <c r="AE7" s="23" t="n">
        <v>0.035</v>
      </c>
      <c r="AF7" s="25" t="n">
        <v>1</v>
      </c>
      <c r="AG7" s="24" t="n">
        <v>7</v>
      </c>
      <c r="AH7" s="32" t="n">
        <v>0.33</v>
      </c>
      <c r="AI7" s="26" t="s">
        <v>38</v>
      </c>
      <c r="AJ7" s="26" t="s">
        <v>38</v>
      </c>
      <c r="AK7" s="26" t="s">
        <v>38</v>
      </c>
      <c r="AL7" s="26" t="s">
        <v>38</v>
      </c>
      <c r="AM7" s="27" t="n">
        <v>4.11</v>
      </c>
      <c r="AN7" s="28" t="n">
        <v>0.355</v>
      </c>
      <c r="AO7" s="28" t="n">
        <v>0.41</v>
      </c>
      <c r="AP7" s="33" t="s">
        <v>44</v>
      </c>
    </row>
    <row r="8" s="29" customFormat="true" ht="27.75" hidden="false" customHeight="true" outlineLevel="0" collapsed="false">
      <c r="A8" s="16" t="s">
        <v>45</v>
      </c>
      <c r="B8" s="17" t="s">
        <v>33</v>
      </c>
      <c r="C8" s="18" t="n">
        <v>9680</v>
      </c>
      <c r="D8" s="18" t="n">
        <v>289102</v>
      </c>
      <c r="E8" s="18" t="n">
        <v>17997</v>
      </c>
      <c r="F8" s="19" t="n">
        <f aca="false">C8+D8+E8</f>
        <v>316779</v>
      </c>
      <c r="G8" s="23" t="n">
        <v>0.5265</v>
      </c>
      <c r="H8" s="23" t="n">
        <v>0.7805</v>
      </c>
      <c r="I8" s="23" t="n">
        <v>0.4553</v>
      </c>
      <c r="J8" s="23" t="n">
        <v>0.5007</v>
      </c>
      <c r="K8" s="26" t="s">
        <v>46</v>
      </c>
      <c r="L8" s="26" t="s">
        <v>47</v>
      </c>
      <c r="M8" s="34" t="s">
        <v>48</v>
      </c>
      <c r="N8" s="26" t="s">
        <v>49</v>
      </c>
      <c r="O8" s="23" t="n">
        <v>0.95</v>
      </c>
      <c r="P8" s="23" t="n">
        <v>0.47</v>
      </c>
      <c r="Q8" s="24" t="n">
        <v>55</v>
      </c>
      <c r="R8" s="23" t="n">
        <v>0.6</v>
      </c>
      <c r="S8" s="23" t="n">
        <v>0.95</v>
      </c>
      <c r="T8" s="23" t="n">
        <v>0.69</v>
      </c>
      <c r="U8" s="24" t="n">
        <v>30</v>
      </c>
      <c r="V8" s="23" t="n">
        <v>0.55</v>
      </c>
      <c r="W8" s="23" t="n">
        <v>0.74</v>
      </c>
      <c r="X8" s="26" t="s">
        <v>38</v>
      </c>
      <c r="Y8" s="24" t="n">
        <v>164</v>
      </c>
      <c r="Z8" s="26" t="s">
        <v>38</v>
      </c>
      <c r="AA8" s="23" t="n">
        <v>0.5</v>
      </c>
      <c r="AB8" s="23" t="n">
        <v>0.74</v>
      </c>
      <c r="AC8" s="24" t="n">
        <v>141</v>
      </c>
      <c r="AD8" s="23" t="n">
        <v>0.64</v>
      </c>
      <c r="AE8" s="23" t="s">
        <v>38</v>
      </c>
      <c r="AF8" s="26" t="s">
        <v>38</v>
      </c>
      <c r="AG8" s="26" t="s">
        <v>38</v>
      </c>
      <c r="AH8" s="26" t="s">
        <v>38</v>
      </c>
      <c r="AI8" s="26" t="s">
        <v>38</v>
      </c>
      <c r="AJ8" s="26" t="s">
        <v>38</v>
      </c>
      <c r="AK8" s="26" t="s">
        <v>38</v>
      </c>
      <c r="AL8" s="26" t="s">
        <v>38</v>
      </c>
      <c r="AM8" s="27" t="n">
        <v>4.26</v>
      </c>
      <c r="AN8" s="28" t="n">
        <v>0.77</v>
      </c>
      <c r="AO8" s="33" t="s">
        <v>38</v>
      </c>
      <c r="AP8" s="28" t="n">
        <v>0.322</v>
      </c>
    </row>
    <row r="9" s="29" customFormat="true" ht="27.75" hidden="false" customHeight="true" outlineLevel="0" collapsed="false">
      <c r="A9" s="16" t="s">
        <v>50</v>
      </c>
      <c r="B9" s="17" t="s">
        <v>33</v>
      </c>
      <c r="C9" s="18" t="n">
        <v>493063</v>
      </c>
      <c r="D9" s="18" t="n">
        <v>2306803</v>
      </c>
      <c r="E9" s="18" t="n">
        <v>336170</v>
      </c>
      <c r="F9" s="19" t="n">
        <f aca="false">C9+D9+E9</f>
        <v>3136036</v>
      </c>
      <c r="G9" s="23" t="n">
        <v>0.093</v>
      </c>
      <c r="H9" s="23" t="n">
        <v>0.569</v>
      </c>
      <c r="I9" s="23" t="n">
        <v>0.568</v>
      </c>
      <c r="J9" s="23" t="n">
        <v>0.744</v>
      </c>
      <c r="K9" s="26" t="s">
        <v>51</v>
      </c>
      <c r="L9" s="26" t="s">
        <v>52</v>
      </c>
      <c r="M9" s="34" t="s">
        <v>53</v>
      </c>
      <c r="N9" s="26" t="s">
        <v>54</v>
      </c>
      <c r="O9" s="23" t="n">
        <v>1</v>
      </c>
      <c r="P9" s="25" t="n">
        <v>0.28</v>
      </c>
      <c r="Q9" s="24" t="n">
        <v>39</v>
      </c>
      <c r="R9" s="23" t="n">
        <v>0.63</v>
      </c>
      <c r="S9" s="23" t="n">
        <v>0.329</v>
      </c>
      <c r="T9" s="23" t="n">
        <v>0.903</v>
      </c>
      <c r="U9" s="24" t="n">
        <v>18.7</v>
      </c>
      <c r="V9" s="25" t="n">
        <v>0.6</v>
      </c>
      <c r="W9" s="26" t="s">
        <v>38</v>
      </c>
      <c r="X9" s="25" t="n">
        <v>0.54</v>
      </c>
      <c r="Y9" s="24" t="n">
        <v>38</v>
      </c>
      <c r="Z9" s="26" t="s">
        <v>38</v>
      </c>
      <c r="AA9" s="23" t="n">
        <v>0.05</v>
      </c>
      <c r="AB9" s="23" t="n">
        <v>0.574</v>
      </c>
      <c r="AC9" s="26" t="s">
        <v>38</v>
      </c>
      <c r="AD9" s="26" t="s">
        <v>38</v>
      </c>
      <c r="AE9" s="23" t="s">
        <v>38</v>
      </c>
      <c r="AF9" s="25" t="n">
        <v>0.992</v>
      </c>
      <c r="AG9" s="24" t="n">
        <v>3.9</v>
      </c>
      <c r="AH9" s="23" t="s">
        <v>38</v>
      </c>
      <c r="AI9" s="23" t="s">
        <v>38</v>
      </c>
      <c r="AJ9" s="23" t="n">
        <v>0.981</v>
      </c>
      <c r="AK9" s="24" t="n">
        <v>6.3</v>
      </c>
      <c r="AL9" s="23" t="s">
        <v>38</v>
      </c>
      <c r="AM9" s="27" t="n">
        <v>4.17</v>
      </c>
      <c r="AN9" s="28" t="n">
        <v>0.805</v>
      </c>
      <c r="AO9" s="33" t="s">
        <v>55</v>
      </c>
      <c r="AP9" s="33" t="s">
        <v>56</v>
      </c>
    </row>
    <row r="10" s="29" customFormat="true" ht="15" hidden="false" customHeight="true" outlineLevel="0" collapsed="false">
      <c r="A10" s="35" t="s">
        <v>57</v>
      </c>
      <c r="B10" s="36"/>
      <c r="C10" s="37" t="n">
        <f aca="false">SUM(C6:C9)</f>
        <v>853427</v>
      </c>
      <c r="D10" s="37" t="n">
        <f aca="false">SUM(D6:D9)</f>
        <v>17198621</v>
      </c>
      <c r="E10" s="37" t="n">
        <f aca="false">SUM(E6:E9)</f>
        <v>1273894</v>
      </c>
      <c r="F10" s="37" t="n">
        <f aca="false">C10+D10+E10</f>
        <v>19325942</v>
      </c>
      <c r="G10" s="38"/>
      <c r="H10" s="38"/>
      <c r="I10" s="38"/>
      <c r="J10" s="38"/>
      <c r="K10" s="39"/>
      <c r="L10" s="39"/>
      <c r="M10" s="39"/>
      <c r="N10" s="39"/>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row>
    <row r="11" s="29" customFormat="true" ht="27.75" hidden="false" customHeight="true" outlineLevel="0" collapsed="false">
      <c r="A11" s="40" t="s">
        <v>58</v>
      </c>
      <c r="B11" s="41" t="s">
        <v>59</v>
      </c>
      <c r="C11" s="42" t="n">
        <v>11290</v>
      </c>
      <c r="D11" s="42" t="n">
        <v>1025044</v>
      </c>
      <c r="E11" s="42" t="n">
        <v>168025</v>
      </c>
      <c r="F11" s="43" t="n">
        <f aca="false">C11+D11+E11</f>
        <v>1204359</v>
      </c>
      <c r="G11" s="44" t="n">
        <v>0.749</v>
      </c>
      <c r="H11" s="44" t="n">
        <v>0.615</v>
      </c>
      <c r="I11" s="44" t="n">
        <v>0.42</v>
      </c>
      <c r="J11" s="44" t="n">
        <v>0.61</v>
      </c>
      <c r="K11" s="45" t="s">
        <v>60</v>
      </c>
      <c r="L11" s="45" t="s">
        <v>61</v>
      </c>
      <c r="M11" s="46" t="s">
        <v>62</v>
      </c>
      <c r="N11" s="45" t="s">
        <v>63</v>
      </c>
      <c r="O11" s="44" t="n">
        <v>0.49</v>
      </c>
      <c r="P11" s="44" t="n">
        <v>0.61</v>
      </c>
      <c r="Q11" s="47" t="n">
        <v>36</v>
      </c>
      <c r="R11" s="44" t="n">
        <v>0.01</v>
      </c>
      <c r="S11" s="44" t="n">
        <v>0.34</v>
      </c>
      <c r="T11" s="44" t="n">
        <v>1</v>
      </c>
      <c r="U11" s="47" t="n">
        <v>19</v>
      </c>
      <c r="V11" s="44" t="n">
        <v>0.98</v>
      </c>
      <c r="W11" s="45" t="s">
        <v>38</v>
      </c>
      <c r="X11" s="44" t="n">
        <v>1</v>
      </c>
      <c r="Y11" s="47" t="n">
        <v>480</v>
      </c>
      <c r="Z11" s="44" t="n">
        <v>0.03</v>
      </c>
      <c r="AA11" s="44"/>
      <c r="AB11" s="45" t="s">
        <v>38</v>
      </c>
      <c r="AC11" s="45" t="s">
        <v>38</v>
      </c>
      <c r="AD11" s="45" t="s">
        <v>38</v>
      </c>
      <c r="AE11" s="44" t="s">
        <v>38</v>
      </c>
      <c r="AF11" s="44" t="n">
        <v>1</v>
      </c>
      <c r="AG11" s="45" t="s">
        <v>38</v>
      </c>
      <c r="AH11" s="45" t="s">
        <v>38</v>
      </c>
      <c r="AI11" s="44"/>
      <c r="AJ11" s="45" t="s">
        <v>38</v>
      </c>
      <c r="AK11" s="45" t="s">
        <v>38</v>
      </c>
      <c r="AL11" s="45" t="s">
        <v>38</v>
      </c>
      <c r="AM11" s="48" t="n">
        <v>4.49</v>
      </c>
      <c r="AN11" s="49" t="n">
        <v>0.444</v>
      </c>
      <c r="AO11" s="50" t="s">
        <v>38</v>
      </c>
      <c r="AP11" s="49" t="n">
        <v>0.376</v>
      </c>
    </row>
    <row r="12" s="29" customFormat="true" ht="27.75" hidden="false" customHeight="true" outlineLevel="0" collapsed="false">
      <c r="A12" s="40" t="s">
        <v>64</v>
      </c>
      <c r="B12" s="41" t="s">
        <v>59</v>
      </c>
      <c r="C12" s="42" t="n">
        <v>30023</v>
      </c>
      <c r="D12" s="42" t="n">
        <v>1270248</v>
      </c>
      <c r="E12" s="42" t="n">
        <v>147091</v>
      </c>
      <c r="F12" s="43" t="n">
        <f aca="false">C12+D12+E12</f>
        <v>1447362</v>
      </c>
      <c r="G12" s="44" t="n">
        <v>0.566</v>
      </c>
      <c r="H12" s="44" t="n">
        <v>0.5329</v>
      </c>
      <c r="I12" s="44" t="n">
        <v>0.8389</v>
      </c>
      <c r="J12" s="44" t="n">
        <v>0.6645</v>
      </c>
      <c r="K12" s="45" t="s">
        <v>65</v>
      </c>
      <c r="L12" s="45" t="s">
        <v>66</v>
      </c>
      <c r="M12" s="45" t="s">
        <v>38</v>
      </c>
      <c r="N12" s="45" t="s">
        <v>38</v>
      </c>
      <c r="O12" s="44" t="n">
        <v>1</v>
      </c>
      <c r="P12" s="44" t="n">
        <v>0.61</v>
      </c>
      <c r="Q12" s="47" t="n">
        <v>76</v>
      </c>
      <c r="R12" s="44" t="n">
        <v>0.9</v>
      </c>
      <c r="S12" s="44" t="n">
        <v>0.57</v>
      </c>
      <c r="T12" s="44" t="n">
        <v>0.99</v>
      </c>
      <c r="U12" s="47" t="n">
        <v>23</v>
      </c>
      <c r="V12" s="44" t="n">
        <v>0.85</v>
      </c>
      <c r="W12" s="45" t="s">
        <v>38</v>
      </c>
      <c r="X12" s="44" t="n">
        <v>0</v>
      </c>
      <c r="Y12" s="47" t="n">
        <v>256</v>
      </c>
      <c r="Z12" s="44" t="n">
        <v>0.04</v>
      </c>
      <c r="AA12" s="44"/>
      <c r="AB12" s="45" t="s">
        <v>38</v>
      </c>
      <c r="AC12" s="45" t="s">
        <v>38</v>
      </c>
      <c r="AD12" s="45" t="s">
        <v>38</v>
      </c>
      <c r="AE12" s="44" t="s">
        <v>38</v>
      </c>
      <c r="AF12" s="45" t="s">
        <v>38</v>
      </c>
      <c r="AG12" s="45" t="s">
        <v>38</v>
      </c>
      <c r="AH12" s="45" t="s">
        <v>38</v>
      </c>
      <c r="AI12" s="44"/>
      <c r="AJ12" s="45" t="s">
        <v>38</v>
      </c>
      <c r="AK12" s="45" t="s">
        <v>38</v>
      </c>
      <c r="AL12" s="45" t="s">
        <v>38</v>
      </c>
      <c r="AM12" s="48" t="n">
        <v>4.75</v>
      </c>
      <c r="AN12" s="49" t="n">
        <v>0.435</v>
      </c>
      <c r="AO12" s="50" t="s">
        <v>38</v>
      </c>
      <c r="AP12" s="49" t="n">
        <v>0.267</v>
      </c>
    </row>
    <row r="13" s="29" customFormat="true" ht="27.75" hidden="false" customHeight="true" outlineLevel="0" collapsed="false">
      <c r="A13" s="40" t="s">
        <v>67</v>
      </c>
      <c r="B13" s="41" t="s">
        <v>59</v>
      </c>
      <c r="C13" s="42" t="n">
        <v>93280</v>
      </c>
      <c r="D13" s="42" t="n">
        <v>2650954</v>
      </c>
      <c r="E13" s="42" t="n">
        <v>202223</v>
      </c>
      <c r="F13" s="43" t="n">
        <f aca="false">C13+D13+E13</f>
        <v>2946457</v>
      </c>
      <c r="G13" s="44" t="n">
        <v>0.8628</v>
      </c>
      <c r="H13" s="44" t="n">
        <v>0.923</v>
      </c>
      <c r="I13" s="44" t="n">
        <v>0.7823</v>
      </c>
      <c r="J13" s="44" t="n">
        <v>0.8451</v>
      </c>
      <c r="K13" s="45" t="s">
        <v>68</v>
      </c>
      <c r="L13" s="45" t="s">
        <v>69</v>
      </c>
      <c r="M13" s="46" t="s">
        <v>70</v>
      </c>
      <c r="N13" s="45" t="s">
        <v>71</v>
      </c>
      <c r="O13" s="44" t="n">
        <v>0.25</v>
      </c>
      <c r="P13" s="44" t="n">
        <v>0.9</v>
      </c>
      <c r="Q13" s="47" t="n">
        <v>340</v>
      </c>
      <c r="R13" s="44" t="s">
        <v>72</v>
      </c>
      <c r="S13" s="44" t="n">
        <v>0.65</v>
      </c>
      <c r="T13" s="44" t="n">
        <v>0.98</v>
      </c>
      <c r="U13" s="47" t="n">
        <v>60</v>
      </c>
      <c r="V13" s="44" t="n">
        <v>0.52</v>
      </c>
      <c r="W13" s="44"/>
      <c r="X13" s="45" t="s">
        <v>38</v>
      </c>
      <c r="Y13" s="45" t="s">
        <v>38</v>
      </c>
      <c r="Z13" s="45" t="s">
        <v>38</v>
      </c>
      <c r="AA13" s="44"/>
      <c r="AB13" s="45" t="s">
        <v>38</v>
      </c>
      <c r="AC13" s="45" t="s">
        <v>38</v>
      </c>
      <c r="AD13" s="45" t="s">
        <v>38</v>
      </c>
      <c r="AE13" s="44" t="s">
        <v>38</v>
      </c>
      <c r="AF13" s="44" t="n">
        <v>1</v>
      </c>
      <c r="AG13" s="45" t="s">
        <v>38</v>
      </c>
      <c r="AH13" s="45" t="s">
        <v>38</v>
      </c>
      <c r="AI13" s="44"/>
      <c r="AJ13" s="45" t="s">
        <v>38</v>
      </c>
      <c r="AK13" s="45" t="s">
        <v>38</v>
      </c>
      <c r="AL13" s="45" t="s">
        <v>38</v>
      </c>
      <c r="AM13" s="48" t="n">
        <v>3.95</v>
      </c>
      <c r="AN13" s="49" t="n">
        <v>0.603</v>
      </c>
      <c r="AO13" s="50" t="s">
        <v>38</v>
      </c>
      <c r="AP13" s="49" t="n">
        <v>0.465</v>
      </c>
    </row>
    <row r="14" s="29" customFormat="true" ht="27.75" hidden="false" customHeight="true" outlineLevel="0" collapsed="false">
      <c r="A14" s="40" t="s">
        <v>73</v>
      </c>
      <c r="B14" s="41" t="s">
        <v>59</v>
      </c>
      <c r="C14" s="42" t="n">
        <v>31614</v>
      </c>
      <c r="D14" s="42" t="n">
        <v>804646</v>
      </c>
      <c r="E14" s="42" t="n">
        <v>60295</v>
      </c>
      <c r="F14" s="43" t="n">
        <f aca="false">C14+D14+E14</f>
        <v>896555</v>
      </c>
      <c r="G14" s="44" t="n">
        <v>0.96</v>
      </c>
      <c r="H14" s="44" t="n">
        <v>0.65</v>
      </c>
      <c r="I14" s="44" t="n">
        <v>0.57</v>
      </c>
      <c r="J14" s="44" t="n">
        <v>0.69</v>
      </c>
      <c r="K14" s="51" t="n">
        <v>0.05</v>
      </c>
      <c r="L14" s="51" t="n">
        <v>0.3</v>
      </c>
      <c r="M14" s="51" t="n">
        <v>0.52</v>
      </c>
      <c r="N14" s="45" t="s">
        <v>38</v>
      </c>
      <c r="O14" s="44" t="n">
        <v>1</v>
      </c>
      <c r="P14" s="44" t="n">
        <v>0.529</v>
      </c>
      <c r="Q14" s="47" t="n">
        <v>25</v>
      </c>
      <c r="R14" s="44" t="n">
        <v>0.79</v>
      </c>
      <c r="S14" s="44" t="n">
        <v>1</v>
      </c>
      <c r="T14" s="44" t="s">
        <v>38</v>
      </c>
      <c r="U14" s="47" t="n">
        <v>22</v>
      </c>
      <c r="V14" s="44" t="n">
        <v>0.38</v>
      </c>
      <c r="W14" s="44"/>
      <c r="X14" s="45" t="s">
        <v>38</v>
      </c>
      <c r="Y14" s="47" t="n">
        <v>370</v>
      </c>
      <c r="Z14" s="45" t="s">
        <v>38</v>
      </c>
      <c r="AA14" s="44"/>
      <c r="AB14" s="45" t="s">
        <v>38</v>
      </c>
      <c r="AC14" s="45" t="s">
        <v>38</v>
      </c>
      <c r="AD14" s="45" t="s">
        <v>38</v>
      </c>
      <c r="AE14" s="44" t="s">
        <v>38</v>
      </c>
      <c r="AF14" s="44" t="n">
        <v>1</v>
      </c>
      <c r="AG14" s="45" t="s">
        <v>38</v>
      </c>
      <c r="AH14" s="45" t="s">
        <v>38</v>
      </c>
      <c r="AI14" s="44"/>
      <c r="AJ14" s="45" t="s">
        <v>38</v>
      </c>
      <c r="AK14" s="45" t="s">
        <v>38</v>
      </c>
      <c r="AL14" s="45" t="s">
        <v>38</v>
      </c>
      <c r="AM14" s="48" t="n">
        <v>3.37</v>
      </c>
      <c r="AN14" s="49" t="n">
        <v>0.738</v>
      </c>
      <c r="AO14" s="50" t="s">
        <v>38</v>
      </c>
      <c r="AP14" s="52" t="n">
        <v>0.37</v>
      </c>
    </row>
    <row r="15" s="29" customFormat="true" ht="15" hidden="false" customHeight="true" outlineLevel="0" collapsed="false">
      <c r="A15" s="35" t="s">
        <v>74</v>
      </c>
      <c r="B15" s="36"/>
      <c r="C15" s="37" t="n">
        <f aca="false">SUM(C11:C14)</f>
        <v>166207</v>
      </c>
      <c r="D15" s="37" t="n">
        <f aca="false">SUM(D11:D14)</f>
        <v>5750892</v>
      </c>
      <c r="E15" s="37" t="n">
        <f aca="false">SUM(E11:E14)</f>
        <v>577634</v>
      </c>
      <c r="F15" s="37" t="n">
        <f aca="false">C15+D15+E15</f>
        <v>6494733</v>
      </c>
      <c r="G15" s="39"/>
      <c r="H15" s="39"/>
      <c r="I15" s="39"/>
      <c r="J15" s="39"/>
      <c r="K15" s="39"/>
      <c r="L15" s="39"/>
      <c r="M15" s="39"/>
      <c r="N15" s="39"/>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row>
    <row r="16" customFormat="false" ht="15" hidden="false" customHeight="true" outlineLevel="0" collapsed="false">
      <c r="A16" s="53" t="s">
        <v>75</v>
      </c>
      <c r="B16" s="54"/>
      <c r="C16" s="55" t="n">
        <f aca="false">SUM(C6:C9)+SUM(C11:C14)</f>
        <v>1019634</v>
      </c>
      <c r="D16" s="55" t="n">
        <f aca="false">SUM(D6:D9)+SUM(D11:D14)</f>
        <v>22949513</v>
      </c>
      <c r="E16" s="55" t="n">
        <f aca="false">SUM(E6:E9)+SUM(E11:E14)</f>
        <v>1851528</v>
      </c>
      <c r="F16" s="55" t="n">
        <f aca="false">SUM(F6:F9)+SUM(F11:F14)</f>
        <v>25820675</v>
      </c>
      <c r="G16" s="56"/>
      <c r="H16" s="56"/>
      <c r="I16" s="56"/>
      <c r="J16" s="56"/>
      <c r="K16" s="56"/>
      <c r="L16" s="56"/>
      <c r="M16" s="56"/>
      <c r="N16" s="56"/>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row>
    <row r="17" customFormat="false" ht="14.2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row>
    <row r="18" customFormat="false" ht="15" hidden="false" customHeight="true" outlineLevel="0" collapsed="false">
      <c r="A18" s="2" t="s">
        <v>76</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row>
    <row r="19" customFormat="false" ht="15" hidden="false" customHeight="true" outlineLevel="0" collapsed="false">
      <c r="A19" s="5" t="s">
        <v>77</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row>
    <row r="20" customFormat="false" ht="15" hidden="false" customHeight="true" outlineLevel="0" collapsed="false">
      <c r="A20" s="5" t="s">
        <v>78</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row>
    <row r="21" customFormat="false" ht="15" hidden="false" customHeight="true" outlineLevel="0" collapsed="false">
      <c r="A21" s="5" t="s">
        <v>79</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row>
    <row r="22" customFormat="false" ht="15" hidden="false" customHeight="true" outlineLevel="0" collapsed="false">
      <c r="A22" s="5" t="s">
        <v>80</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row>
    <row r="23" customFormat="false" ht="15" hidden="false" customHeight="true" outlineLevel="0" collapsed="false">
      <c r="A23" s="5" t="s">
        <v>81</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row>
    <row r="24" customFormat="false" ht="15" hidden="false" customHeight="true" outlineLevel="0" collapsed="false">
      <c r="A24" s="5"/>
      <c r="B24" s="3"/>
      <c r="C24" s="3"/>
      <c r="D24" s="57"/>
      <c r="E24" s="3"/>
      <c r="F24" s="3"/>
      <c r="G24" s="3"/>
      <c r="H24" s="58"/>
      <c r="I24" s="3"/>
      <c r="J24" s="3"/>
      <c r="K24" s="3"/>
      <c r="L24" s="58"/>
      <c r="M24" s="3"/>
      <c r="N24" s="3"/>
      <c r="O24" s="3"/>
      <c r="P24" s="3"/>
      <c r="Q24" s="3"/>
      <c r="R24" s="3"/>
      <c r="S24" s="3"/>
      <c r="T24" s="3"/>
      <c r="U24" s="3"/>
      <c r="V24" s="3"/>
      <c r="W24" s="3"/>
      <c r="X24" s="3"/>
      <c r="Y24" s="3"/>
      <c r="Z24" s="3"/>
      <c r="AA24" s="3"/>
      <c r="AB24" s="3"/>
      <c r="AC24" s="3"/>
      <c r="AD24" s="3"/>
      <c r="AE24" s="3"/>
      <c r="AF24" s="3"/>
      <c r="AG24" s="3"/>
      <c r="AH24" s="3"/>
      <c r="AI24" s="3"/>
      <c r="AJ24" s="3"/>
      <c r="AK24" s="3"/>
      <c r="AL24" s="3"/>
    </row>
    <row r="25" customFormat="false" ht="15" hidden="false" customHeight="true" outlineLevel="0" collapsed="false">
      <c r="A25" s="59"/>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row>
    <row r="26" customFormat="false" ht="14.25" hidden="false" customHeight="true" outlineLevel="0" collapsed="false">
      <c r="A26" s="60"/>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row>
  </sheetData>
  <mergeCells count="10">
    <mergeCell ref="C4:F4"/>
    <mergeCell ref="G4:J4"/>
    <mergeCell ref="K4:N4"/>
    <mergeCell ref="O4:R4"/>
    <mergeCell ref="S4:V4"/>
    <mergeCell ref="W4:Z4"/>
    <mergeCell ref="AA4:AD4"/>
    <mergeCell ref="AE4:AH4"/>
    <mergeCell ref="AI4:AL4"/>
    <mergeCell ref="AM4:AP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 activeCellId="0" sqref="G3"/>
    </sheetView>
  </sheetViews>
  <sheetFormatPr defaultColWidth="8.6796875" defaultRowHeight="15" zeroHeight="false" outlineLevelRow="0" outlineLevelCol="0"/>
  <cols>
    <col collapsed="false" customWidth="true" hidden="false" outlineLevel="0" max="27" min="27" style="1" width="20"/>
  </cols>
  <sheetData>
    <row r="3" customFormat="false" ht="15" hidden="false" customHeight="true" outlineLevel="0" collapsed="false">
      <c r="A3" s="61" t="s">
        <v>82</v>
      </c>
    </row>
    <row r="5" customFormat="false" ht="15.75" hidden="false" customHeight="true" outlineLevel="0" collapsed="false">
      <c r="A5" s="62" t="s">
        <v>83</v>
      </c>
    </row>
    <row r="6" customFormat="false" ht="15.75" hidden="false" customHeight="true" outlineLevel="0" collapsed="false">
      <c r="A6" s="62" t="s">
        <v>84</v>
      </c>
    </row>
    <row r="7" customFormat="false" ht="15.75" hidden="false" customHeight="true" outlineLevel="0" collapsed="false">
      <c r="A7" s="62" t="s">
        <v>85</v>
      </c>
    </row>
    <row r="8" customFormat="false" ht="15.75" hidden="false" customHeight="true" outlineLevel="0" collapsed="false">
      <c r="A8" s="63"/>
    </row>
    <row r="9" customFormat="false" ht="15.75" hidden="false" customHeight="true" outlineLevel="0" collapsed="false">
      <c r="A9" s="62" t="s">
        <v>86</v>
      </c>
    </row>
    <row r="10" customFormat="false" ht="15.75" hidden="false" customHeight="true" outlineLevel="0" collapsed="false">
      <c r="A10" s="62" t="s">
        <v>87</v>
      </c>
    </row>
    <row r="15" customFormat="false" ht="15" hidden="false" customHeight="true" outlineLevel="0" collapsed="false">
      <c r="D15" s="6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29" activeCellId="0" sqref="D29"/>
    </sheetView>
  </sheetViews>
  <sheetFormatPr defaultColWidth="8.5703125" defaultRowHeight="15" zeroHeight="false" outlineLevelRow="0" outlineLevelCol="0"/>
  <cols>
    <col collapsed="false" customWidth="true" hidden="false" outlineLevel="0" max="1" min="1" style="1" width="26"/>
    <col collapsed="false" customWidth="true" hidden="false" outlineLevel="0" max="2" min="2" style="1" width="60"/>
    <col collapsed="false" customWidth="true" hidden="false" outlineLevel="0" max="4" min="3" style="1" width="30"/>
    <col collapsed="false" customWidth="true" hidden="false" outlineLevel="0" max="5" min="5" style="1" width="34"/>
    <col collapsed="false" customWidth="true" hidden="false" outlineLevel="0" max="6" min="6" style="1" width="40"/>
  </cols>
  <sheetData>
    <row r="1" customFormat="false" ht="15.75" hidden="false" customHeight="true" outlineLevel="0" collapsed="false">
      <c r="A1" s="65" t="s">
        <v>88</v>
      </c>
      <c r="B1" s="3"/>
      <c r="C1" s="3"/>
      <c r="D1" s="3"/>
      <c r="E1" s="3"/>
      <c r="F1" s="3"/>
    </row>
    <row r="2" customFormat="false" ht="42" hidden="false" customHeight="true" outlineLevel="0" collapsed="false">
      <c r="A2" s="66" t="s">
        <v>89</v>
      </c>
      <c r="B2" s="66"/>
      <c r="C2" s="66"/>
      <c r="D2" s="66"/>
      <c r="E2" s="66"/>
      <c r="F2" s="66"/>
    </row>
    <row r="3" customFormat="false" ht="15" hidden="false" customHeight="true" outlineLevel="0" collapsed="false">
      <c r="A3" s="3"/>
      <c r="B3" s="3"/>
      <c r="C3" s="3"/>
      <c r="D3" s="3"/>
      <c r="E3" s="3"/>
      <c r="F3" s="3"/>
    </row>
    <row r="4" customFormat="false" ht="15" hidden="false" customHeight="true" outlineLevel="0" collapsed="false">
      <c r="A4" s="67" t="s">
        <v>90</v>
      </c>
      <c r="B4" s="67" t="s">
        <v>91</v>
      </c>
      <c r="C4" s="67" t="s">
        <v>92</v>
      </c>
      <c r="D4" s="67" t="s">
        <v>93</v>
      </c>
      <c r="E4" s="67" t="s">
        <v>94</v>
      </c>
      <c r="F4" s="67" t="s">
        <v>95</v>
      </c>
    </row>
    <row r="5" customFormat="false" ht="42.75" hidden="false" customHeight="true" outlineLevel="0" collapsed="false">
      <c r="A5" s="68" t="s">
        <v>96</v>
      </c>
      <c r="B5" s="68" t="s">
        <v>97</v>
      </c>
      <c r="C5" s="68" t="s">
        <v>98</v>
      </c>
      <c r="D5" s="68" t="s">
        <v>99</v>
      </c>
      <c r="E5" s="68" t="s">
        <v>100</v>
      </c>
      <c r="F5" s="68" t="s">
        <v>101</v>
      </c>
    </row>
    <row r="6" customFormat="false" ht="32.25" hidden="false" customHeight="true" outlineLevel="0" collapsed="false">
      <c r="A6" s="68" t="s">
        <v>102</v>
      </c>
      <c r="B6" s="68" t="s">
        <v>103</v>
      </c>
      <c r="C6" s="68" t="s">
        <v>98</v>
      </c>
      <c r="D6" s="68" t="s">
        <v>104</v>
      </c>
      <c r="E6" s="68" t="s">
        <v>105</v>
      </c>
      <c r="F6" s="68" t="s">
        <v>106</v>
      </c>
    </row>
    <row r="7" customFormat="false" ht="21.75" hidden="false" customHeight="true" outlineLevel="0" collapsed="false">
      <c r="A7" s="68" t="s">
        <v>107</v>
      </c>
      <c r="B7" s="68" t="s">
        <v>108</v>
      </c>
      <c r="C7" s="68" t="s">
        <v>109</v>
      </c>
      <c r="D7" s="68" t="s">
        <v>110</v>
      </c>
      <c r="E7" s="68" t="s">
        <v>111</v>
      </c>
      <c r="F7" s="68" t="s">
        <v>112</v>
      </c>
    </row>
    <row r="8" customFormat="false" ht="15" hidden="false" customHeight="true" outlineLevel="0" collapsed="false">
      <c r="A8" s="68" t="s">
        <v>113</v>
      </c>
      <c r="B8" s="68" t="s">
        <v>114</v>
      </c>
      <c r="C8" s="68" t="s">
        <v>109</v>
      </c>
      <c r="D8" s="68" t="s">
        <v>115</v>
      </c>
      <c r="E8" s="68" t="s">
        <v>116</v>
      </c>
      <c r="F8" s="68" t="s">
        <v>117</v>
      </c>
    </row>
    <row r="9" customFormat="false" ht="21.75" hidden="false" customHeight="true" outlineLevel="0" collapsed="false">
      <c r="A9" s="68" t="s">
        <v>118</v>
      </c>
      <c r="B9" s="68" t="s">
        <v>119</v>
      </c>
      <c r="C9" s="68" t="s">
        <v>109</v>
      </c>
      <c r="D9" s="68" t="s">
        <v>120</v>
      </c>
      <c r="E9" s="68" t="s">
        <v>121</v>
      </c>
      <c r="F9" s="68" t="s">
        <v>122</v>
      </c>
    </row>
    <row r="10" customFormat="false" ht="15" hidden="false" customHeight="true" outlineLevel="0" collapsed="false">
      <c r="A10" s="68" t="s">
        <v>123</v>
      </c>
      <c r="B10" s="68" t="s">
        <v>124</v>
      </c>
      <c r="C10" s="68" t="s">
        <v>109</v>
      </c>
      <c r="D10" s="68" t="s">
        <v>125</v>
      </c>
      <c r="E10" s="68" t="s">
        <v>126</v>
      </c>
      <c r="F10" s="68" t="s">
        <v>127</v>
      </c>
    </row>
    <row r="11" customFormat="false" ht="33.75" hidden="false" customHeight="true" outlineLevel="0" collapsed="false">
      <c r="A11" s="68" t="s">
        <v>128</v>
      </c>
      <c r="B11" s="68" t="s">
        <v>129</v>
      </c>
      <c r="C11" s="68" t="s">
        <v>109</v>
      </c>
      <c r="D11" s="68" t="s">
        <v>130</v>
      </c>
      <c r="E11" s="68"/>
      <c r="F11" s="68" t="s">
        <v>131</v>
      </c>
    </row>
    <row r="12" customFormat="false" ht="21.75" hidden="false" customHeight="true" outlineLevel="0" collapsed="false">
      <c r="A12" s="68" t="s">
        <v>132</v>
      </c>
      <c r="B12" s="68" t="s">
        <v>133</v>
      </c>
      <c r="C12" s="68" t="s">
        <v>109</v>
      </c>
      <c r="D12" s="68" t="s">
        <v>130</v>
      </c>
      <c r="E12" s="68" t="s">
        <v>134</v>
      </c>
      <c r="F12" s="68" t="s">
        <v>135</v>
      </c>
    </row>
    <row r="13" customFormat="false" ht="15" hidden="false" customHeight="true" outlineLevel="0" collapsed="false">
      <c r="A13" s="3"/>
      <c r="B13" s="3"/>
      <c r="C13" s="3"/>
      <c r="D13" s="3"/>
      <c r="E13" s="3"/>
      <c r="F13" s="3"/>
    </row>
    <row r="14" customFormat="false" ht="15" hidden="false" customHeight="true" outlineLevel="0" collapsed="false">
      <c r="A14" s="69" t="s">
        <v>136</v>
      </c>
      <c r="B14" s="69"/>
      <c r="C14" s="69"/>
      <c r="D14" s="69"/>
      <c r="E14" s="69"/>
      <c r="F14" s="69"/>
    </row>
    <row r="15" customFormat="false" ht="15" hidden="false" customHeight="true" outlineLevel="0" collapsed="false">
      <c r="A15" s="70" t="s">
        <v>137</v>
      </c>
      <c r="B15" s="70" t="s">
        <v>138</v>
      </c>
      <c r="C15" s="70" t="s">
        <v>139</v>
      </c>
      <c r="D15" s="3"/>
      <c r="E15" s="3"/>
    </row>
    <row r="16" customFormat="false" ht="42.75" hidden="false" customHeight="true" outlineLevel="0" collapsed="false">
      <c r="A16" s="71" t="s">
        <v>140</v>
      </c>
      <c r="B16" s="71" t="s">
        <v>141</v>
      </c>
      <c r="C16" s="71" t="s">
        <v>142</v>
      </c>
      <c r="D16" s="3"/>
      <c r="E16" s="3"/>
    </row>
    <row r="17" customFormat="false" ht="32.25" hidden="false" customHeight="true" outlineLevel="0" collapsed="false">
      <c r="A17" s="71" t="s">
        <v>140</v>
      </c>
      <c r="B17" s="71" t="s">
        <v>143</v>
      </c>
      <c r="C17" s="71" t="s">
        <v>142</v>
      </c>
      <c r="D17" s="3"/>
      <c r="E17" s="3"/>
    </row>
    <row r="18" customFormat="false" ht="54" hidden="false" customHeight="true" outlineLevel="0" collapsed="false">
      <c r="A18" s="71" t="s">
        <v>140</v>
      </c>
      <c r="B18" s="71" t="s">
        <v>144</v>
      </c>
      <c r="C18" s="71" t="s">
        <v>142</v>
      </c>
      <c r="D18" s="3"/>
      <c r="E18" s="3"/>
    </row>
    <row r="19" customFormat="false" ht="32.25" hidden="false" customHeight="true" outlineLevel="0" collapsed="false">
      <c r="A19" s="71" t="s">
        <v>140</v>
      </c>
      <c r="B19" s="71" t="s">
        <v>145</v>
      </c>
      <c r="C19" s="71" t="s">
        <v>142</v>
      </c>
      <c r="D19" s="3"/>
      <c r="E19" s="3"/>
    </row>
    <row r="20" customFormat="false" ht="60" hidden="false" customHeight="true" outlineLevel="0" collapsed="false">
      <c r="A20" s="72" t="s">
        <v>146</v>
      </c>
      <c r="B20" s="71" t="s">
        <v>147</v>
      </c>
      <c r="C20" s="71" t="s">
        <v>142</v>
      </c>
    </row>
    <row r="21" customFormat="false" ht="91.5" hidden="false" customHeight="true" outlineLevel="0" collapsed="false">
      <c r="A21" s="73" t="s">
        <v>148</v>
      </c>
      <c r="B21" s="73" t="s">
        <v>149</v>
      </c>
      <c r="C21" s="71" t="s">
        <v>142</v>
      </c>
    </row>
    <row r="22" customFormat="false" ht="101.25" hidden="false" customHeight="true" outlineLevel="0" collapsed="false">
      <c r="A22" s="73" t="s">
        <v>150</v>
      </c>
      <c r="B22" s="73" t="s">
        <v>151</v>
      </c>
      <c r="C22" s="71" t="s">
        <v>142</v>
      </c>
    </row>
    <row r="23" customFormat="false" ht="81" hidden="false" customHeight="true" outlineLevel="0" collapsed="false">
      <c r="A23" s="73" t="s">
        <v>150</v>
      </c>
      <c r="B23" s="73" t="s">
        <v>152</v>
      </c>
      <c r="C23" s="71" t="s">
        <v>142</v>
      </c>
    </row>
    <row r="24" customFormat="false" ht="61.5" hidden="false" customHeight="true" outlineLevel="0" collapsed="false">
      <c r="A24" s="73" t="s">
        <v>150</v>
      </c>
      <c r="B24" s="73" t="s">
        <v>153</v>
      </c>
      <c r="C24" s="71" t="s">
        <v>142</v>
      </c>
    </row>
    <row r="25" customFormat="false" ht="51" hidden="false" customHeight="true" outlineLevel="0" collapsed="false">
      <c r="A25" s="73" t="s">
        <v>150</v>
      </c>
      <c r="B25" s="73" t="s">
        <v>154</v>
      </c>
      <c r="C25" s="71" t="s">
        <v>142</v>
      </c>
    </row>
    <row r="26" customFormat="false" ht="131.25" hidden="false" customHeight="true" outlineLevel="0" collapsed="false">
      <c r="A26" s="73" t="s">
        <v>150</v>
      </c>
      <c r="B26" s="73" t="s">
        <v>155</v>
      </c>
      <c r="C26" s="71" t="s">
        <v>142</v>
      </c>
    </row>
    <row r="27" customFormat="false" ht="51" hidden="false" customHeight="true" outlineLevel="0" collapsed="false">
      <c r="A27" s="73" t="s">
        <v>150</v>
      </c>
      <c r="B27" s="73" t="s">
        <v>156</v>
      </c>
      <c r="C27" s="71" t="s">
        <v>142</v>
      </c>
    </row>
    <row r="28" customFormat="false" ht="34.5" hidden="false" customHeight="true" outlineLevel="0" collapsed="false">
      <c r="A28" s="74" t="n">
        <v>46280</v>
      </c>
      <c r="B28" s="73" t="s">
        <v>157</v>
      </c>
      <c r="C28" s="75" t="s">
        <v>158</v>
      </c>
    </row>
    <row r="29" customFormat="false" ht="79.5" hidden="false" customHeight="true" outlineLevel="0" collapsed="false">
      <c r="A29" s="76" t="n">
        <v>46293</v>
      </c>
      <c r="B29" s="77" t="s">
        <v>159</v>
      </c>
      <c r="C29" s="78" t="s">
        <v>158</v>
      </c>
    </row>
  </sheetData>
  <mergeCells count="2">
    <mergeCell ref="A2:F2"/>
    <mergeCell ref="A14:F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P5" activeCellId="0" sqref="P5"/>
    </sheetView>
  </sheetViews>
  <sheetFormatPr defaultColWidth="8.5703125" defaultRowHeight="15" zeroHeight="false" outlineLevelRow="0" outlineLevelCol="0"/>
  <cols>
    <col collapsed="false" customWidth="true" hidden="false" outlineLevel="0" max="1" min="1" style="1" width="28"/>
    <col collapsed="false" customWidth="true" hidden="false" outlineLevel="0" max="2" min="2" style="1" width="9"/>
    <col collapsed="false" customWidth="true" hidden="false" outlineLevel="0" max="6" min="3" style="1" width="10"/>
    <col collapsed="false" customWidth="true" hidden="false" outlineLevel="0" max="10" min="7" style="1" width="8"/>
    <col collapsed="false" customWidth="true" hidden="false" outlineLevel="0" max="14" min="11" style="1" width="11"/>
    <col collapsed="false" customWidth="true" hidden="false" outlineLevel="0" max="38" min="15" style="1" width="7.42"/>
    <col collapsed="false" customWidth="true" hidden="false" outlineLevel="0" max="40" min="39" style="1" width="9"/>
  </cols>
  <sheetData>
    <row r="1" customFormat="false" ht="15.75" hidden="false" customHeight="true" outlineLevel="0" collapsed="false">
      <c r="A1" s="65" t="s">
        <v>160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row>
    <row r="3" customFormat="false" ht="37.5" hidden="false" customHeight="true" outlineLevel="0" collapsed="false">
      <c r="A3" s="7"/>
      <c r="B3" s="7"/>
      <c r="C3" s="8" t="s">
        <v>161</v>
      </c>
      <c r="D3" s="8"/>
      <c r="E3" s="8"/>
      <c r="F3" s="8"/>
      <c r="G3" s="9" t="s">
        <v>110</v>
      </c>
      <c r="H3" s="9"/>
      <c r="I3" s="9"/>
      <c r="J3" s="9"/>
      <c r="K3" s="10" t="s">
        <v>162</v>
      </c>
      <c r="L3" s="10"/>
      <c r="M3" s="10"/>
      <c r="N3" s="10"/>
      <c r="O3" s="11" t="s">
        <v>6</v>
      </c>
      <c r="P3" s="11"/>
      <c r="Q3" s="11"/>
      <c r="R3" s="11"/>
      <c r="S3" s="11" t="s">
        <v>7</v>
      </c>
      <c r="T3" s="11"/>
      <c r="U3" s="11"/>
      <c r="V3" s="11"/>
      <c r="W3" s="11" t="s">
        <v>8</v>
      </c>
      <c r="X3" s="11"/>
      <c r="Y3" s="11"/>
      <c r="Z3" s="11"/>
      <c r="AA3" s="11" t="s">
        <v>9</v>
      </c>
      <c r="AB3" s="11"/>
      <c r="AC3" s="11"/>
      <c r="AD3" s="11"/>
      <c r="AE3" s="11" t="s">
        <v>163</v>
      </c>
      <c r="AF3" s="11"/>
      <c r="AG3" s="11"/>
      <c r="AH3" s="11"/>
      <c r="AI3" s="11" t="s">
        <v>11</v>
      </c>
      <c r="AJ3" s="11"/>
      <c r="AK3" s="11"/>
      <c r="AL3" s="11"/>
      <c r="AM3" s="79" t="s">
        <v>164</v>
      </c>
      <c r="AN3" s="79"/>
      <c r="AO3" s="80"/>
      <c r="AP3" s="80"/>
      <c r="AQ3" s="80"/>
      <c r="AR3" s="80"/>
    </row>
    <row r="4" customFormat="false" ht="27.75" hidden="false" customHeight="true" outlineLevel="0" collapsed="false">
      <c r="A4" s="14" t="s">
        <v>165</v>
      </c>
      <c r="B4" s="14"/>
      <c r="C4" s="14" t="s">
        <v>15</v>
      </c>
      <c r="D4" s="14" t="s">
        <v>16</v>
      </c>
      <c r="E4" s="14" t="s">
        <v>17</v>
      </c>
      <c r="F4" s="14" t="s">
        <v>18</v>
      </c>
      <c r="G4" s="14" t="s">
        <v>15</v>
      </c>
      <c r="H4" s="14" t="s">
        <v>16</v>
      </c>
      <c r="I4" s="14" t="s">
        <v>17</v>
      </c>
      <c r="J4" s="14" t="s">
        <v>19</v>
      </c>
      <c r="K4" s="14" t="s">
        <v>20</v>
      </c>
      <c r="L4" s="14" t="s">
        <v>21</v>
      </c>
      <c r="M4" s="14" t="s">
        <v>166</v>
      </c>
      <c r="N4" s="14" t="s">
        <v>23</v>
      </c>
      <c r="O4" s="14" t="s">
        <v>24</v>
      </c>
      <c r="P4" s="14" t="s">
        <v>25</v>
      </c>
      <c r="Q4" s="14" t="s">
        <v>26</v>
      </c>
      <c r="R4" s="14" t="s">
        <v>27</v>
      </c>
      <c r="S4" s="14" t="s">
        <v>24</v>
      </c>
      <c r="T4" s="14" t="s">
        <v>25</v>
      </c>
      <c r="U4" s="14" t="s">
        <v>26</v>
      </c>
      <c r="V4" s="14" t="s">
        <v>27</v>
      </c>
      <c r="W4" s="14" t="s">
        <v>24</v>
      </c>
      <c r="X4" s="14" t="s">
        <v>25</v>
      </c>
      <c r="Y4" s="14" t="s">
        <v>26</v>
      </c>
      <c r="Z4" s="14" t="s">
        <v>27</v>
      </c>
      <c r="AA4" s="14" t="s">
        <v>24</v>
      </c>
      <c r="AB4" s="14" t="s">
        <v>25</v>
      </c>
      <c r="AC4" s="14" t="s">
        <v>26</v>
      </c>
      <c r="AD4" s="14" t="s">
        <v>27</v>
      </c>
      <c r="AE4" s="14" t="s">
        <v>24</v>
      </c>
      <c r="AF4" s="14" t="s">
        <v>25</v>
      </c>
      <c r="AG4" s="14" t="s">
        <v>26</v>
      </c>
      <c r="AH4" s="14" t="s">
        <v>27</v>
      </c>
      <c r="AI4" s="14" t="s">
        <v>24</v>
      </c>
      <c r="AJ4" s="14" t="s">
        <v>25</v>
      </c>
      <c r="AK4" s="14" t="s">
        <v>26</v>
      </c>
      <c r="AL4" s="14" t="s">
        <v>27</v>
      </c>
      <c r="AM4" s="81" t="s">
        <v>167</v>
      </c>
      <c r="AN4" s="81" t="s">
        <v>168</v>
      </c>
      <c r="AO4" s="15" t="s">
        <v>28</v>
      </c>
      <c r="AP4" s="15" t="s">
        <v>29</v>
      </c>
      <c r="AQ4" s="15" t="s">
        <v>30</v>
      </c>
      <c r="AR4" s="15" t="s">
        <v>31</v>
      </c>
    </row>
    <row r="5" customFormat="false" ht="27.75" hidden="false" customHeight="true" outlineLevel="0" collapsed="false">
      <c r="A5" s="82" t="s">
        <v>169</v>
      </c>
      <c r="B5" s="83"/>
      <c r="C5" s="84" t="n">
        <f aca="false">IF('Burden x Vehicle Matrix'!C6="","",'Burden x Vehicle Matrix'!C6)</f>
        <v>64273</v>
      </c>
      <c r="D5" s="84" t="n">
        <f aca="false">IF('Burden x Vehicle Matrix'!D6="","",'Burden x Vehicle Matrix'!D6)</f>
        <v>909668</v>
      </c>
      <c r="E5" s="84" t="n">
        <f aca="false">IF('Burden x Vehicle Matrix'!E6="","",'Burden x Vehicle Matrix'!E6)</f>
        <v>191764</v>
      </c>
      <c r="F5" s="84" t="n">
        <f aca="false">IF('Burden x Vehicle Matrix'!F6="","",'Burden x Vehicle Matrix'!F6)</f>
        <v>1165705</v>
      </c>
      <c r="G5" s="85" t="n">
        <f aca="false">IF('Burden x Vehicle Matrix'!G6="","",'Burden x Vehicle Matrix'!G6)</f>
        <v>0.873</v>
      </c>
      <c r="H5" s="85" t="n">
        <f aca="false">IF('Burden x Vehicle Matrix'!H6="","",'Burden x Vehicle Matrix'!H6)</f>
        <v>0.144</v>
      </c>
      <c r="I5" s="85" t="n">
        <f aca="false">IF('Burden x Vehicle Matrix'!I6="","",'Burden x Vehicle Matrix'!I6)</f>
        <v>0.58</v>
      </c>
      <c r="J5" s="85" t="n">
        <f aca="false">IF('Burden x Vehicle Matrix'!J6="","",'Burden x Vehicle Matrix'!J6)</f>
        <v>0.313</v>
      </c>
      <c r="K5" s="85" t="str">
        <f aca="false">IF('Burden x Vehicle Matrix'!K6="","",'Burden x Vehicle Matrix'!K6)</f>
        <v>32.0 (2022)</v>
      </c>
      <c r="L5" s="85" t="str">
        <f aca="false">IF('Burden x Vehicle Matrix'!L6="","",'Burden x Vehicle Matrix'!L6)</f>
        <v>8.0 (2022)</v>
      </c>
      <c r="M5" s="85" t="str">
        <f aca="false">IF('Burden x Vehicle Matrix'!M6="","",'Burden x Vehicle Matrix'!M6)</f>
        <v>63.0% (2022, RBC)</v>
      </c>
      <c r="N5" s="85" t="str">
        <f aca="false">IF('Burden x Vehicle Matrix'!N6="","",'Burden x Vehicle Matrix'!N6)</f>
        <v>50.0% (2022)</v>
      </c>
      <c r="O5" s="85" t="n">
        <f aca="false">IF('Burden x Vehicle Matrix'!O6="","",'Burden x Vehicle Matrix'!O6)</f>
        <v>0.6</v>
      </c>
      <c r="P5" s="85" t="n">
        <f aca="false">IF('Burden x Vehicle Matrix'!P6="","",'Burden x Vehicle Matrix'!P6)</f>
        <v>0.4</v>
      </c>
      <c r="Q5" s="86" t="n">
        <f aca="false">IF('Burden x Vehicle Matrix'!Q6="","",'Burden x Vehicle Matrix'!Q6)</f>
        <v>34.5</v>
      </c>
      <c r="R5" s="85" t="n">
        <f aca="false">IF('Burden x Vehicle Matrix'!R6="","",'Burden x Vehicle Matrix'!R6)</f>
        <v>0.4</v>
      </c>
      <c r="S5" s="85" t="n">
        <f aca="false">IF('Burden x Vehicle Matrix'!S6="","",'Burden x Vehicle Matrix'!S6)</f>
        <v>1</v>
      </c>
      <c r="T5" s="85" t="n">
        <f aca="false">IF('Burden x Vehicle Matrix'!T6="","",'Burden x Vehicle Matrix'!T6)</f>
        <v>0.9</v>
      </c>
      <c r="U5" s="86" t="n">
        <f aca="false">IF('Burden x Vehicle Matrix'!U6="","",'Burden x Vehicle Matrix'!U6)</f>
        <v>6.8</v>
      </c>
      <c r="V5" s="85" t="n">
        <f aca="false">IF('Burden x Vehicle Matrix'!V6="","",'Burden x Vehicle Matrix'!V6)</f>
        <v>0.5</v>
      </c>
      <c r="W5" s="85" t="str">
        <f aca="false">IF('Burden x Vehicle Matrix'!W6="","",'Burden x Vehicle Matrix'!W6)</f>
        <v>n/a</v>
      </c>
      <c r="X5" s="85" t="str">
        <f aca="false">IF('Burden x Vehicle Matrix'!X6="","",'Burden x Vehicle Matrix'!X6)</f>
        <v>n/a</v>
      </c>
      <c r="Y5" s="86" t="str">
        <f aca="false">IF('Burden x Vehicle Matrix'!Y6="","",'Burden x Vehicle Matrix'!Y6)</f>
        <v>n/a</v>
      </c>
      <c r="Z5" s="85" t="str">
        <f aca="false">IF('Burden x Vehicle Matrix'!Z6="","",'Burden x Vehicle Matrix'!Z6)</f>
        <v>n/a</v>
      </c>
      <c r="AA5" s="85" t="str">
        <f aca="false">IF('Burden x Vehicle Matrix'!AA6="","",'Burden x Vehicle Matrix'!AA6)</f>
        <v>n/a</v>
      </c>
      <c r="AB5" s="85" t="str">
        <f aca="false">IF('Burden x Vehicle Matrix'!AB6="","",'Burden x Vehicle Matrix'!AB6)</f>
        <v>n/a</v>
      </c>
      <c r="AC5" s="86" t="str">
        <f aca="false">IF('Burden x Vehicle Matrix'!AC6="","",'Burden x Vehicle Matrix'!AC6)</f>
        <v>n/a</v>
      </c>
      <c r="AD5" s="85" t="str">
        <f aca="false">IF('Burden x Vehicle Matrix'!AD6="","",'Burden x Vehicle Matrix'!AD6)</f>
        <v>n/a</v>
      </c>
      <c r="AE5" s="85" t="n">
        <f aca="false">IF('Burden x Vehicle Matrix'!AE6="","",'Burden x Vehicle Matrix'!AE6)</f>
        <v>0.95</v>
      </c>
      <c r="AF5" s="85" t="n">
        <f aca="false">IF('Burden x Vehicle Matrix'!AF6="","",'Burden x Vehicle Matrix'!AF6)</f>
        <v>0.98</v>
      </c>
      <c r="AG5" s="86" t="n">
        <f aca="false">IF('Burden x Vehicle Matrix'!AG6="","",'Burden x Vehicle Matrix'!AG6)</f>
        <v>7.8</v>
      </c>
      <c r="AH5" s="85" t="n">
        <f aca="false">IF('Burden x Vehicle Matrix'!AH6="","",'Burden x Vehicle Matrix'!AH6)</f>
        <v>0</v>
      </c>
      <c r="AI5" s="85" t="str">
        <f aca="false">IF('Burden x Vehicle Matrix'!AI6="","",'Burden x Vehicle Matrix'!AI6)</f>
        <v>n/a</v>
      </c>
      <c r="AJ5" s="85" t="str">
        <f aca="false">IF('Burden x Vehicle Matrix'!AJ6="","",'Burden x Vehicle Matrix'!AJ6)</f>
        <v>n/a</v>
      </c>
      <c r="AK5" s="86" t="str">
        <f aca="false">IF('Burden x Vehicle Matrix'!AK6="","",'Burden x Vehicle Matrix'!AK6)</f>
        <v>n/a</v>
      </c>
      <c r="AL5" s="85" t="str">
        <f aca="false">IF('Burden x Vehicle Matrix'!AL6="","",'Burden x Vehicle Matrix'!AL6)</f>
        <v>n/a</v>
      </c>
      <c r="AM5" s="85" t="n">
        <v>0.09</v>
      </c>
      <c r="AN5" s="85" t="n">
        <v>0.34</v>
      </c>
      <c r="AO5" s="87" t="n">
        <v>4.75</v>
      </c>
      <c r="AP5" s="88" t="n">
        <v>0.679</v>
      </c>
      <c r="AQ5" s="88" t="n">
        <v>0.07</v>
      </c>
      <c r="AR5" s="88" t="n">
        <v>0.2</v>
      </c>
    </row>
    <row r="6" customFormat="false" ht="15" hidden="false" customHeight="true" outlineLevel="0" collapsed="false">
      <c r="A6" s="89" t="s">
        <v>170</v>
      </c>
      <c r="B6" s="90"/>
      <c r="C6" s="91"/>
      <c r="D6" s="91"/>
      <c r="E6" s="91"/>
      <c r="F6" s="91"/>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c r="AM6" s="90"/>
      <c r="AN6" s="90"/>
    </row>
    <row r="7" customFormat="false" ht="15" hidden="false" customHeight="true" outlineLevel="0" collapsed="false">
      <c r="A7" s="83" t="s">
        <v>171</v>
      </c>
      <c r="B7" s="83"/>
      <c r="C7" s="92"/>
      <c r="D7" s="92"/>
      <c r="E7" s="92"/>
      <c r="F7" s="92"/>
      <c r="G7" s="93"/>
      <c r="H7" s="93"/>
      <c r="I7" s="93"/>
      <c r="J7" s="93"/>
      <c r="K7" s="93"/>
      <c r="L7" s="94" t="n">
        <v>0.08</v>
      </c>
      <c r="M7" s="94" t="n">
        <v>0.7</v>
      </c>
      <c r="N7" s="93"/>
      <c r="O7" s="93"/>
      <c r="P7" s="94" t="n">
        <v>0.53</v>
      </c>
      <c r="Q7" s="95" t="n">
        <v>21.41048</v>
      </c>
      <c r="R7" s="93"/>
      <c r="S7" s="93"/>
      <c r="T7" s="94" t="n">
        <v>0.96</v>
      </c>
      <c r="U7" s="95" t="n">
        <v>9.417328</v>
      </c>
      <c r="V7" s="93"/>
      <c r="W7" s="93"/>
      <c r="X7" s="93"/>
      <c r="Y7" s="93"/>
      <c r="Z7" s="93"/>
      <c r="AA7" s="93"/>
      <c r="AB7" s="93"/>
      <c r="AC7" s="93"/>
      <c r="AD7" s="93"/>
      <c r="AE7" s="93"/>
      <c r="AF7" s="94" t="n">
        <v>0.98</v>
      </c>
      <c r="AG7" s="95" t="n">
        <v>6.825589</v>
      </c>
      <c r="AH7" s="93"/>
      <c r="AI7" s="93"/>
      <c r="AJ7" s="93"/>
      <c r="AK7" s="93"/>
      <c r="AL7" s="93"/>
      <c r="AM7" s="94" t="n">
        <v>0.08</v>
      </c>
      <c r="AN7" s="94" t="n">
        <v>0.61</v>
      </c>
    </row>
    <row r="8" customFormat="false" ht="15" hidden="false" customHeight="true" outlineLevel="0" collapsed="false">
      <c r="A8" s="83" t="s">
        <v>172</v>
      </c>
      <c r="B8" s="83"/>
      <c r="C8" s="92"/>
      <c r="D8" s="92"/>
      <c r="E8" s="92"/>
      <c r="F8" s="92"/>
      <c r="G8" s="93"/>
      <c r="H8" s="93"/>
      <c r="I8" s="93"/>
      <c r="J8" s="93"/>
      <c r="K8" s="93"/>
      <c r="L8" s="94" t="n">
        <v>0.19</v>
      </c>
      <c r="M8" s="94" t="n">
        <v>0.91</v>
      </c>
      <c r="N8" s="93"/>
      <c r="O8" s="93"/>
      <c r="P8" s="94" t="n">
        <v>0.38</v>
      </c>
      <c r="Q8" s="95" t="n">
        <v>86.23275</v>
      </c>
      <c r="R8" s="93"/>
      <c r="S8" s="93"/>
      <c r="T8" s="94" t="n">
        <v>0.79</v>
      </c>
      <c r="U8" s="95" t="n">
        <v>4.497056</v>
      </c>
      <c r="V8" s="93"/>
      <c r="W8" s="93"/>
      <c r="X8" s="93"/>
      <c r="Y8" s="93"/>
      <c r="Z8" s="93"/>
      <c r="AA8" s="93"/>
      <c r="AB8" s="93"/>
      <c r="AC8" s="93"/>
      <c r="AD8" s="93"/>
      <c r="AE8" s="93"/>
      <c r="AF8" s="94" t="n">
        <v>0.96</v>
      </c>
      <c r="AG8" s="95" t="n">
        <v>6.019396</v>
      </c>
      <c r="AH8" s="93"/>
      <c r="AI8" s="93"/>
      <c r="AJ8" s="93"/>
      <c r="AK8" s="93"/>
      <c r="AL8" s="93"/>
      <c r="AM8" s="94" t="n">
        <v>0.04</v>
      </c>
      <c r="AN8" s="93"/>
    </row>
    <row r="9" customFormat="false" ht="15" hidden="false" customHeight="true" outlineLevel="0" collapsed="false">
      <c r="A9" s="83" t="s">
        <v>173</v>
      </c>
      <c r="B9" s="83"/>
      <c r="C9" s="92"/>
      <c r="D9" s="92"/>
      <c r="E9" s="92"/>
      <c r="F9" s="92"/>
      <c r="G9" s="93"/>
      <c r="H9" s="93"/>
      <c r="I9" s="93"/>
      <c r="J9" s="93"/>
      <c r="K9" s="93"/>
      <c r="L9" s="94" t="n">
        <v>0.03</v>
      </c>
      <c r="M9" s="94" t="n">
        <v>0.56</v>
      </c>
      <c r="N9" s="93"/>
      <c r="O9" s="93"/>
      <c r="P9" s="94" t="n">
        <v>0.17</v>
      </c>
      <c r="Q9" s="95" t="n">
        <v>21.30075</v>
      </c>
      <c r="R9" s="93"/>
      <c r="S9" s="93"/>
      <c r="T9" s="94" t="n">
        <v>0.88</v>
      </c>
      <c r="U9" s="95" t="n">
        <v>5.867862</v>
      </c>
      <c r="V9" s="93"/>
      <c r="W9" s="93"/>
      <c r="X9" s="93"/>
      <c r="Y9" s="93"/>
      <c r="Z9" s="93"/>
      <c r="AA9" s="93"/>
      <c r="AB9" s="93"/>
      <c r="AC9" s="93"/>
      <c r="AD9" s="93"/>
      <c r="AE9" s="93"/>
      <c r="AF9" s="94" t="n">
        <v>0.97</v>
      </c>
      <c r="AG9" s="95" t="n">
        <v>5.481077</v>
      </c>
      <c r="AH9" s="93"/>
      <c r="AI9" s="93"/>
      <c r="AJ9" s="93"/>
      <c r="AK9" s="93"/>
      <c r="AL9" s="93"/>
      <c r="AM9" s="94" t="n">
        <v>0.08</v>
      </c>
      <c r="AN9" s="94" t="n">
        <v>0.47</v>
      </c>
    </row>
    <row r="10" customFormat="false" ht="15" hidden="false" customHeight="true" outlineLevel="0" collapsed="false">
      <c r="A10" s="83" t="s">
        <v>174</v>
      </c>
      <c r="B10" s="83"/>
      <c r="C10" s="92"/>
      <c r="D10" s="92"/>
      <c r="E10" s="92"/>
      <c r="F10" s="92"/>
      <c r="G10" s="93"/>
      <c r="H10" s="93"/>
      <c r="I10" s="93"/>
      <c r="J10" s="93"/>
      <c r="K10" s="93"/>
      <c r="L10" s="93"/>
      <c r="M10" s="93"/>
      <c r="N10" s="93"/>
      <c r="O10" s="93"/>
      <c r="P10" s="94" t="n">
        <v>0.38</v>
      </c>
      <c r="Q10" s="95" t="n">
        <v>13.99703</v>
      </c>
      <c r="R10" s="93"/>
      <c r="S10" s="93"/>
      <c r="T10" s="94" t="n">
        <v>0.9</v>
      </c>
      <c r="U10" s="95" t="n">
        <v>9.64746</v>
      </c>
      <c r="V10" s="93"/>
      <c r="W10" s="93"/>
      <c r="X10" s="93"/>
      <c r="Y10" s="93"/>
      <c r="Z10" s="93"/>
      <c r="AA10" s="93"/>
      <c r="AB10" s="93"/>
      <c r="AC10" s="93"/>
      <c r="AD10" s="93"/>
      <c r="AE10" s="93"/>
      <c r="AF10" s="94" t="n">
        <v>0.98</v>
      </c>
      <c r="AG10" s="95" t="n">
        <v>8.420136</v>
      </c>
      <c r="AH10" s="93"/>
      <c r="AI10" s="93"/>
      <c r="AJ10" s="93"/>
      <c r="AK10" s="93"/>
      <c r="AL10" s="93"/>
      <c r="AM10" s="93"/>
      <c r="AN10" s="93"/>
    </row>
    <row r="11" customFormat="false" ht="15" hidden="false" customHeight="true" outlineLevel="0" collapsed="false">
      <c r="A11" s="83" t="s">
        <v>175</v>
      </c>
      <c r="B11" s="83"/>
      <c r="C11" s="92"/>
      <c r="D11" s="92"/>
      <c r="E11" s="92"/>
      <c r="F11" s="92"/>
      <c r="G11" s="93"/>
      <c r="H11" s="93"/>
      <c r="I11" s="93"/>
      <c r="J11" s="93"/>
      <c r="K11" s="93"/>
      <c r="L11" s="94" t="n">
        <v>0.25</v>
      </c>
      <c r="M11" s="94" t="n">
        <v>0.85</v>
      </c>
      <c r="N11" s="93"/>
      <c r="O11" s="93"/>
      <c r="P11" s="94" t="n">
        <v>0.39</v>
      </c>
      <c r="Q11" s="95" t="n">
        <v>48.27154</v>
      </c>
      <c r="R11" s="93"/>
      <c r="S11" s="93"/>
      <c r="T11" s="94" t="n">
        <v>0.77</v>
      </c>
      <c r="U11" s="95" t="n">
        <v>10.3824</v>
      </c>
      <c r="V11" s="93"/>
      <c r="W11" s="93"/>
      <c r="X11" s="93"/>
      <c r="Y11" s="93"/>
      <c r="Z11" s="93"/>
      <c r="AA11" s="93"/>
      <c r="AB11" s="93"/>
      <c r="AC11" s="93"/>
      <c r="AD11" s="93"/>
      <c r="AE11" s="93"/>
      <c r="AF11" s="94" t="n">
        <v>0.94</v>
      </c>
      <c r="AG11" s="95" t="n">
        <v>4.962971</v>
      </c>
      <c r="AH11" s="93"/>
      <c r="AI11" s="93"/>
      <c r="AJ11" s="93"/>
      <c r="AK11" s="93"/>
      <c r="AL11" s="93"/>
      <c r="AM11" s="94" t="n">
        <v>0.19</v>
      </c>
      <c r="AN11" s="94" t="n">
        <v>0.11</v>
      </c>
    </row>
    <row r="12" customFormat="false" ht="15" hidden="false" customHeight="true" outlineLevel="0" collapsed="false">
      <c r="A12" s="83" t="s">
        <v>176</v>
      </c>
      <c r="B12" s="83"/>
      <c r="C12" s="92"/>
      <c r="D12" s="92"/>
      <c r="E12" s="92"/>
      <c r="F12" s="92"/>
      <c r="G12" s="93"/>
      <c r="H12" s="93"/>
      <c r="I12" s="93"/>
      <c r="J12" s="93"/>
      <c r="K12" s="93"/>
      <c r="L12" s="94" t="n">
        <v>0.07</v>
      </c>
      <c r="M12" s="94" t="n">
        <v>0.73</v>
      </c>
      <c r="N12" s="93"/>
      <c r="O12" s="93"/>
      <c r="P12" s="94" t="n">
        <v>0.29</v>
      </c>
      <c r="Q12" s="95" t="n">
        <v>29.32778</v>
      </c>
      <c r="R12" s="93"/>
      <c r="S12" s="93"/>
      <c r="T12" s="94" t="n">
        <v>0.9</v>
      </c>
      <c r="U12" s="95" t="n">
        <v>8.541496</v>
      </c>
      <c r="V12" s="93"/>
      <c r="W12" s="93"/>
      <c r="X12" s="93"/>
      <c r="Y12" s="93"/>
      <c r="Z12" s="93"/>
      <c r="AA12" s="93"/>
      <c r="AB12" s="93"/>
      <c r="AC12" s="93"/>
      <c r="AD12" s="93"/>
      <c r="AE12" s="93"/>
      <c r="AF12" s="94" t="n">
        <v>0.98</v>
      </c>
      <c r="AG12" s="95" t="n">
        <v>11.81201</v>
      </c>
      <c r="AH12" s="93"/>
      <c r="AI12" s="93"/>
      <c r="AJ12" s="93"/>
      <c r="AK12" s="93"/>
      <c r="AL12" s="93"/>
      <c r="AM12" s="94" t="n">
        <v>0.03</v>
      </c>
      <c r="AN12" s="94" t="n">
        <v>0.11</v>
      </c>
    </row>
    <row r="13" customFormat="false" ht="15" hidden="false" customHeight="true" outlineLevel="0" collapsed="false">
      <c r="A13" s="83" t="s">
        <v>177</v>
      </c>
      <c r="B13" s="83"/>
      <c r="C13" s="92"/>
      <c r="D13" s="92"/>
      <c r="E13" s="92"/>
      <c r="F13" s="92"/>
      <c r="G13" s="93"/>
      <c r="H13" s="93"/>
      <c r="I13" s="93"/>
      <c r="J13" s="93"/>
      <c r="K13" s="93"/>
      <c r="L13" s="94" t="n">
        <v>0.18</v>
      </c>
      <c r="M13" s="94" t="n">
        <v>0.8</v>
      </c>
      <c r="N13" s="93"/>
      <c r="O13" s="93"/>
      <c r="P13" s="94" t="n">
        <v>0.64</v>
      </c>
      <c r="Q13" s="95" t="n">
        <v>37.91966</v>
      </c>
      <c r="R13" s="93"/>
      <c r="S13" s="93"/>
      <c r="T13" s="94" t="n">
        <v>0.91</v>
      </c>
      <c r="U13" s="95" t="n">
        <v>9.324589</v>
      </c>
      <c r="V13" s="93"/>
      <c r="W13" s="93"/>
      <c r="X13" s="93"/>
      <c r="Y13" s="93"/>
      <c r="Z13" s="93"/>
      <c r="AA13" s="93"/>
      <c r="AB13" s="93"/>
      <c r="AC13" s="93"/>
      <c r="AD13" s="93"/>
      <c r="AE13" s="93"/>
      <c r="AF13" s="94" t="n">
        <v>0.97</v>
      </c>
      <c r="AG13" s="95" t="n">
        <v>9.085969</v>
      </c>
      <c r="AH13" s="93"/>
      <c r="AI13" s="93"/>
      <c r="AJ13" s="93"/>
      <c r="AK13" s="93"/>
      <c r="AL13" s="93"/>
      <c r="AM13" s="94" t="n">
        <v>0.11</v>
      </c>
      <c r="AN13" s="94" t="n">
        <v>0.34</v>
      </c>
    </row>
    <row r="14" customFormat="false" ht="15" hidden="false" customHeight="true" outlineLevel="0" collapsed="false">
      <c r="A14" s="83" t="s">
        <v>178</v>
      </c>
      <c r="B14" s="83"/>
      <c r="C14" s="92"/>
      <c r="D14" s="92"/>
      <c r="E14" s="92"/>
      <c r="F14" s="92"/>
      <c r="G14" s="93"/>
      <c r="H14" s="93"/>
      <c r="I14" s="93"/>
      <c r="J14" s="93"/>
      <c r="K14" s="93"/>
      <c r="L14" s="94" t="n">
        <v>0.1</v>
      </c>
      <c r="M14" s="94" t="n">
        <v>0.48</v>
      </c>
      <c r="N14" s="93"/>
      <c r="O14" s="93"/>
      <c r="P14" s="94" t="n">
        <v>0.31</v>
      </c>
      <c r="Q14" s="95" t="n">
        <v>40.76837</v>
      </c>
      <c r="R14" s="93"/>
      <c r="S14" s="93"/>
      <c r="T14" s="94" t="n">
        <v>0.92</v>
      </c>
      <c r="U14" s="95" t="n">
        <v>7.278724</v>
      </c>
      <c r="V14" s="93"/>
      <c r="W14" s="93"/>
      <c r="X14" s="93"/>
      <c r="Y14" s="93"/>
      <c r="Z14" s="93"/>
      <c r="AA14" s="93"/>
      <c r="AB14" s="93"/>
      <c r="AC14" s="93"/>
      <c r="AD14" s="93"/>
      <c r="AE14" s="93"/>
      <c r="AF14" s="94" t="n">
        <v>0.98</v>
      </c>
      <c r="AG14" s="95" t="n">
        <v>8.175828</v>
      </c>
      <c r="AH14" s="93"/>
      <c r="AI14" s="93"/>
      <c r="AJ14" s="93"/>
      <c r="AK14" s="93"/>
      <c r="AL14" s="93"/>
      <c r="AM14" s="94" t="n">
        <v>0.13</v>
      </c>
      <c r="AN14" s="94" t="n">
        <v>0.32</v>
      </c>
    </row>
    <row r="15" customFormat="false" ht="15" hidden="false" customHeight="true" outlineLevel="0" collapsed="false">
      <c r="A15" s="83" t="s">
        <v>179</v>
      </c>
      <c r="B15" s="83"/>
      <c r="C15" s="92"/>
      <c r="D15" s="92"/>
      <c r="E15" s="92"/>
      <c r="F15" s="92"/>
      <c r="G15" s="93"/>
      <c r="H15" s="93"/>
      <c r="I15" s="93"/>
      <c r="J15" s="93"/>
      <c r="K15" s="93"/>
      <c r="L15" s="94" t="n">
        <v>0.03</v>
      </c>
      <c r="M15" s="94" t="n">
        <v>0.11</v>
      </c>
      <c r="N15" s="93"/>
      <c r="O15" s="93"/>
      <c r="P15" s="94" t="n">
        <v>0.33</v>
      </c>
      <c r="Q15" s="95" t="n">
        <v>14.60529</v>
      </c>
      <c r="R15" s="93"/>
      <c r="S15" s="93"/>
      <c r="T15" s="94" t="n">
        <v>0.92</v>
      </c>
      <c r="U15" s="95" t="n">
        <v>5.812991</v>
      </c>
      <c r="V15" s="93"/>
      <c r="W15" s="93"/>
      <c r="X15" s="93"/>
      <c r="Y15" s="93"/>
      <c r="Z15" s="93"/>
      <c r="AA15" s="93"/>
      <c r="AB15" s="93"/>
      <c r="AC15" s="93"/>
      <c r="AD15" s="93"/>
      <c r="AE15" s="93"/>
      <c r="AF15" s="94" t="n">
        <v>0.97</v>
      </c>
      <c r="AG15" s="95" t="n">
        <v>7.444192</v>
      </c>
      <c r="AH15" s="93"/>
      <c r="AI15" s="93"/>
      <c r="AJ15" s="93"/>
      <c r="AK15" s="93"/>
      <c r="AL15" s="93"/>
      <c r="AM15" s="94" t="n">
        <v>0.01</v>
      </c>
      <c r="AN15" s="94" t="n">
        <v>0.21</v>
      </c>
    </row>
    <row r="16" customFormat="false" ht="15" hidden="false" customHeight="true" outlineLevel="0" collapsed="false">
      <c r="A16" s="83" t="s">
        <v>180</v>
      </c>
      <c r="B16" s="83"/>
      <c r="C16" s="92"/>
      <c r="D16" s="92"/>
      <c r="E16" s="92"/>
      <c r="F16" s="92"/>
      <c r="G16" s="93"/>
      <c r="H16" s="93"/>
      <c r="I16" s="93"/>
      <c r="J16" s="93"/>
      <c r="K16" s="93"/>
      <c r="L16" s="94" t="n">
        <v>0.06</v>
      </c>
      <c r="M16" s="94" t="n">
        <v>0.39</v>
      </c>
      <c r="N16" s="93"/>
      <c r="O16" s="93"/>
      <c r="P16" s="94" t="n">
        <v>0.29</v>
      </c>
      <c r="Q16" s="95" t="n">
        <v>17.94918</v>
      </c>
      <c r="R16" s="93"/>
      <c r="S16" s="93"/>
      <c r="T16" s="94" t="n">
        <v>0.88</v>
      </c>
      <c r="U16" s="95" t="n">
        <v>7.253862</v>
      </c>
      <c r="V16" s="93"/>
      <c r="W16" s="93"/>
      <c r="X16" s="93"/>
      <c r="Y16" s="93"/>
      <c r="Z16" s="93"/>
      <c r="AA16" s="93"/>
      <c r="AB16" s="93"/>
      <c r="AC16" s="93"/>
      <c r="AD16" s="93"/>
      <c r="AE16" s="93"/>
      <c r="AF16" s="94" t="n">
        <v>0.96</v>
      </c>
      <c r="AG16" s="95" t="n">
        <v>7.306291</v>
      </c>
      <c r="AH16" s="93"/>
      <c r="AI16" s="93"/>
      <c r="AJ16" s="93"/>
      <c r="AK16" s="93"/>
      <c r="AL16" s="93"/>
      <c r="AM16" s="94" t="n">
        <v>0.07</v>
      </c>
      <c r="AN16" s="94" t="n">
        <v>0.21</v>
      </c>
    </row>
    <row r="17" customFormat="false" ht="15" hidden="false" customHeight="true" outlineLevel="0" collapsed="false">
      <c r="A17" s="83" t="s">
        <v>181</v>
      </c>
      <c r="B17" s="83"/>
      <c r="C17" s="92"/>
      <c r="D17" s="92"/>
      <c r="E17" s="92"/>
      <c r="F17" s="92"/>
      <c r="G17" s="93"/>
      <c r="H17" s="93"/>
      <c r="I17" s="93"/>
      <c r="J17" s="93"/>
      <c r="K17" s="93"/>
      <c r="L17" s="94" t="n">
        <v>0.48</v>
      </c>
      <c r="M17" s="94" t="n">
        <v>0.86</v>
      </c>
      <c r="N17" s="93"/>
      <c r="O17" s="93"/>
      <c r="P17" s="94" t="n">
        <v>0.68</v>
      </c>
      <c r="Q17" s="95" t="n">
        <v>145.7574</v>
      </c>
      <c r="R17" s="93"/>
      <c r="S17" s="93"/>
      <c r="T17" s="94" t="n">
        <v>0.79</v>
      </c>
      <c r="U17" s="95" t="n">
        <v>4.984524</v>
      </c>
      <c r="V17" s="93"/>
      <c r="W17" s="93"/>
      <c r="X17" s="93"/>
      <c r="Y17" s="93"/>
      <c r="Z17" s="93"/>
      <c r="AA17" s="93"/>
      <c r="AB17" s="93"/>
      <c r="AC17" s="93"/>
      <c r="AD17" s="93"/>
      <c r="AE17" s="93"/>
      <c r="AF17" s="94" t="n">
        <v>0.83</v>
      </c>
      <c r="AG17" s="95" t="n">
        <v>5.262013</v>
      </c>
      <c r="AH17" s="93"/>
      <c r="AI17" s="93"/>
      <c r="AJ17" s="93"/>
      <c r="AK17" s="93"/>
      <c r="AL17" s="93"/>
      <c r="AM17" s="94" t="n">
        <v>0.02</v>
      </c>
      <c r="AN17" s="94" t="n">
        <v>0.01</v>
      </c>
    </row>
    <row r="18" customFormat="false" ht="15" hidden="false" customHeight="true" outlineLevel="0" collapsed="false">
      <c r="A18" s="83" t="s">
        <v>182</v>
      </c>
      <c r="B18" s="83"/>
      <c r="C18" s="92"/>
      <c r="D18" s="92"/>
      <c r="E18" s="92"/>
      <c r="F18" s="92"/>
      <c r="G18" s="93"/>
      <c r="H18" s="93"/>
      <c r="I18" s="93"/>
      <c r="J18" s="93"/>
      <c r="K18" s="93"/>
      <c r="L18" s="93"/>
      <c r="M18" s="93"/>
      <c r="N18" s="93"/>
      <c r="O18" s="93"/>
      <c r="P18" s="93"/>
      <c r="Q18" s="95" t="n">
        <v>25.1878</v>
      </c>
      <c r="R18" s="93"/>
      <c r="S18" s="93"/>
      <c r="T18" s="93"/>
      <c r="U18" s="95" t="n">
        <v>4.194372</v>
      </c>
      <c r="V18" s="93"/>
      <c r="W18" s="93"/>
      <c r="X18" s="93"/>
      <c r="Y18" s="93"/>
      <c r="Z18" s="93"/>
      <c r="AA18" s="93"/>
      <c r="AB18" s="93"/>
      <c r="AC18" s="93"/>
      <c r="AD18" s="93"/>
      <c r="AE18" s="93"/>
      <c r="AF18" s="93"/>
      <c r="AG18" s="95" t="n">
        <v>6.209738</v>
      </c>
      <c r="AH18" s="93"/>
      <c r="AI18" s="93"/>
      <c r="AJ18" s="93"/>
      <c r="AK18" s="93"/>
      <c r="AL18" s="93"/>
      <c r="AM18" s="93"/>
      <c r="AN18" s="93"/>
    </row>
    <row r="19" customFormat="false" ht="15" hidden="false" customHeight="true" outlineLevel="0" collapsed="false">
      <c r="A19" s="89" t="s">
        <v>183</v>
      </c>
      <c r="B19" s="90"/>
      <c r="C19" s="91"/>
      <c r="D19" s="91"/>
      <c r="E19" s="91"/>
      <c r="F19" s="91"/>
      <c r="G19" s="90"/>
      <c r="H19" s="90"/>
      <c r="I19" s="90"/>
      <c r="J19" s="90"/>
      <c r="K19" s="90"/>
      <c r="L19" s="90"/>
      <c r="M19" s="90"/>
      <c r="N19" s="90"/>
      <c r="O19" s="90"/>
      <c r="P19" s="90"/>
      <c r="Q19" s="90"/>
      <c r="R19" s="90"/>
      <c r="S19" s="90"/>
      <c r="T19" s="90"/>
      <c r="U19" s="90"/>
      <c r="V19" s="90"/>
      <c r="W19" s="90"/>
      <c r="X19" s="90"/>
      <c r="Y19" s="90"/>
      <c r="Z19" s="90"/>
      <c r="AA19" s="90"/>
      <c r="AB19" s="90"/>
      <c r="AC19" s="90"/>
      <c r="AD19" s="90"/>
      <c r="AE19" s="90"/>
      <c r="AF19" s="90"/>
      <c r="AG19" s="90"/>
      <c r="AH19" s="90"/>
      <c r="AI19" s="90"/>
      <c r="AJ19" s="90"/>
      <c r="AK19" s="90"/>
      <c r="AL19" s="90"/>
      <c r="AM19" s="90"/>
      <c r="AN19" s="90"/>
    </row>
    <row r="20" customFormat="false" ht="15" hidden="false" customHeight="true" outlineLevel="0" collapsed="false">
      <c r="A20" s="83" t="s">
        <v>184</v>
      </c>
      <c r="B20" s="83"/>
      <c r="C20" s="92"/>
      <c r="D20" s="92"/>
      <c r="E20" s="92"/>
      <c r="F20" s="92"/>
      <c r="G20" s="93"/>
      <c r="H20" s="93"/>
      <c r="I20" s="93"/>
      <c r="J20" s="93"/>
      <c r="K20" s="93"/>
      <c r="L20" s="94" t="n">
        <v>0.09</v>
      </c>
      <c r="M20" s="94" t="n">
        <v>0.63</v>
      </c>
      <c r="N20" s="93"/>
      <c r="O20" s="93"/>
      <c r="P20" s="94" t="n">
        <v>0.45</v>
      </c>
      <c r="Q20" s="95" t="n">
        <v>34.01923</v>
      </c>
      <c r="R20" s="93"/>
      <c r="S20" s="93"/>
      <c r="T20" s="94" t="n">
        <v>0.94</v>
      </c>
      <c r="U20" s="95" t="n">
        <v>9.169278</v>
      </c>
      <c r="V20" s="93"/>
      <c r="W20" s="93"/>
      <c r="X20" s="93"/>
      <c r="Y20" s="93"/>
      <c r="Z20" s="93"/>
      <c r="AA20" s="93"/>
      <c r="AB20" s="93"/>
      <c r="AC20" s="93"/>
      <c r="AD20" s="93"/>
      <c r="AE20" s="93"/>
      <c r="AF20" s="94" t="n">
        <v>0.98</v>
      </c>
      <c r="AG20" s="95" t="n">
        <v>6.865382</v>
      </c>
      <c r="AH20" s="93"/>
      <c r="AI20" s="93"/>
      <c r="AJ20" s="93"/>
      <c r="AK20" s="93"/>
      <c r="AL20" s="93"/>
      <c r="AM20" s="94" t="n">
        <v>0.07</v>
      </c>
      <c r="AN20" s="94" t="n">
        <v>0.33</v>
      </c>
    </row>
    <row r="21" customFormat="false" ht="15" hidden="false" customHeight="true" outlineLevel="0" collapsed="false">
      <c r="A21" s="83" t="s">
        <v>185</v>
      </c>
      <c r="B21" s="83"/>
      <c r="C21" s="92"/>
      <c r="D21" s="92"/>
      <c r="E21" s="92"/>
      <c r="F21" s="92"/>
      <c r="G21" s="93"/>
      <c r="H21" s="93"/>
      <c r="I21" s="93"/>
      <c r="J21" s="93"/>
      <c r="K21" s="93"/>
      <c r="L21" s="94" t="n">
        <v>0.08</v>
      </c>
      <c r="M21" s="94" t="n">
        <v>0.43</v>
      </c>
      <c r="N21" s="93"/>
      <c r="O21" s="93"/>
      <c r="P21" s="94" t="n">
        <v>0.23</v>
      </c>
      <c r="Q21" s="95" t="n">
        <v>36.83984</v>
      </c>
      <c r="R21" s="93"/>
      <c r="S21" s="93"/>
      <c r="T21" s="94" t="n">
        <v>0.88</v>
      </c>
      <c r="U21" s="95" t="n">
        <v>5.446428</v>
      </c>
      <c r="V21" s="93"/>
      <c r="W21" s="93"/>
      <c r="X21" s="93"/>
      <c r="Y21" s="93"/>
      <c r="Z21" s="93"/>
      <c r="AA21" s="93"/>
      <c r="AB21" s="93"/>
      <c r="AC21" s="93"/>
      <c r="AD21" s="93"/>
      <c r="AE21" s="93"/>
      <c r="AF21" s="94" t="n">
        <v>0.96</v>
      </c>
      <c r="AG21" s="95" t="n">
        <v>7.246491</v>
      </c>
      <c r="AH21" s="93"/>
      <c r="AI21" s="93"/>
      <c r="AJ21" s="93"/>
      <c r="AK21" s="93"/>
      <c r="AL21" s="93"/>
      <c r="AM21" s="94" t="n">
        <v>0.1</v>
      </c>
      <c r="AN21" s="94" t="n">
        <v>0.34</v>
      </c>
    </row>
    <row r="22" customFormat="false" ht="15" hidden="false" customHeight="true" outlineLevel="0" collapsed="false">
      <c r="A22" s="89" t="s">
        <v>186</v>
      </c>
      <c r="B22" s="90"/>
      <c r="C22" s="91"/>
      <c r="D22" s="91"/>
      <c r="E22" s="91"/>
      <c r="F22" s="91"/>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90"/>
      <c r="AN22" s="90"/>
    </row>
    <row r="23" customFormat="false" ht="15" hidden="false" customHeight="true" outlineLevel="0" collapsed="false">
      <c r="A23" s="83" t="s">
        <v>187</v>
      </c>
      <c r="B23" s="83"/>
      <c r="C23" s="92"/>
      <c r="D23" s="92"/>
      <c r="E23" s="92"/>
      <c r="F23" s="92"/>
      <c r="G23" s="93"/>
      <c r="H23" s="93"/>
      <c r="I23" s="93"/>
      <c r="J23" s="93"/>
      <c r="K23" s="93"/>
      <c r="L23" s="93"/>
      <c r="M23" s="93"/>
      <c r="N23" s="93"/>
      <c r="O23" s="93"/>
      <c r="P23" s="93"/>
      <c r="Q23" s="95" t="n">
        <v>64.70252</v>
      </c>
      <c r="R23" s="93"/>
      <c r="S23" s="93"/>
      <c r="T23" s="93"/>
      <c r="U23" s="95" t="n">
        <v>4.385465</v>
      </c>
      <c r="V23" s="93"/>
      <c r="W23" s="93"/>
      <c r="X23" s="93"/>
      <c r="Y23" s="93"/>
      <c r="Z23" s="93"/>
      <c r="AA23" s="93"/>
      <c r="AB23" s="93"/>
      <c r="AC23" s="93"/>
      <c r="AD23" s="93"/>
      <c r="AE23" s="93"/>
      <c r="AF23" s="93"/>
      <c r="AG23" s="95" t="n">
        <v>7.084152</v>
      </c>
      <c r="AH23" s="93"/>
      <c r="AI23" s="93"/>
      <c r="AJ23" s="93"/>
      <c r="AK23" s="93"/>
      <c r="AL23" s="93"/>
      <c r="AM23" s="93"/>
      <c r="AN23" s="93"/>
    </row>
    <row r="24" customFormat="false" ht="15" hidden="false" customHeight="true" outlineLevel="0" collapsed="false">
      <c r="A24" s="83" t="s">
        <v>188</v>
      </c>
      <c r="B24" s="83"/>
      <c r="C24" s="92"/>
      <c r="D24" s="92"/>
      <c r="E24" s="92"/>
      <c r="F24" s="92"/>
      <c r="G24" s="93"/>
      <c r="H24" s="93"/>
      <c r="I24" s="93"/>
      <c r="J24" s="93"/>
      <c r="K24" s="93"/>
      <c r="L24" s="93"/>
      <c r="M24" s="93"/>
      <c r="N24" s="93"/>
      <c r="O24" s="93"/>
      <c r="P24" s="93"/>
      <c r="Q24" s="95" t="n">
        <v>29.85205</v>
      </c>
      <c r="R24" s="93"/>
      <c r="S24" s="93"/>
      <c r="T24" s="93"/>
      <c r="U24" s="95" t="n">
        <v>5.38305</v>
      </c>
      <c r="V24" s="93"/>
      <c r="W24" s="93"/>
      <c r="X24" s="93"/>
      <c r="Y24" s="93"/>
      <c r="Z24" s="93"/>
      <c r="AA24" s="93"/>
      <c r="AB24" s="93"/>
      <c r="AC24" s="93"/>
      <c r="AD24" s="93"/>
      <c r="AE24" s="93"/>
      <c r="AF24" s="93"/>
      <c r="AG24" s="95" t="n">
        <v>7.235241</v>
      </c>
      <c r="AH24" s="93"/>
      <c r="AI24" s="93"/>
      <c r="AJ24" s="93"/>
      <c r="AK24" s="93"/>
      <c r="AL24" s="93"/>
      <c r="AM24" s="93"/>
      <c r="AN24" s="93"/>
    </row>
    <row r="25" customFormat="false" ht="15" hidden="false" customHeight="true" outlineLevel="0" collapsed="false">
      <c r="A25" s="83" t="s">
        <v>189</v>
      </c>
      <c r="B25" s="83"/>
      <c r="C25" s="92"/>
      <c r="D25" s="92"/>
      <c r="E25" s="92"/>
      <c r="F25" s="92"/>
      <c r="G25" s="93"/>
      <c r="H25" s="93"/>
      <c r="I25" s="93"/>
      <c r="J25" s="93"/>
      <c r="K25" s="93"/>
      <c r="L25" s="93"/>
      <c r="M25" s="93"/>
      <c r="N25" s="93"/>
      <c r="O25" s="93"/>
      <c r="P25" s="93"/>
      <c r="Q25" s="95" t="n">
        <v>23.55881</v>
      </c>
      <c r="R25" s="93"/>
      <c r="S25" s="93"/>
      <c r="T25" s="93"/>
      <c r="U25" s="95" t="n">
        <v>5.78538</v>
      </c>
      <c r="V25" s="93"/>
      <c r="W25" s="93"/>
      <c r="X25" s="93"/>
      <c r="Y25" s="93"/>
      <c r="Z25" s="93"/>
      <c r="AA25" s="93"/>
      <c r="AB25" s="93"/>
      <c r="AC25" s="93"/>
      <c r="AD25" s="93"/>
      <c r="AE25" s="93"/>
      <c r="AF25" s="93"/>
      <c r="AG25" s="95" t="n">
        <v>7.704005</v>
      </c>
      <c r="AH25" s="93"/>
      <c r="AI25" s="93"/>
      <c r="AJ25" s="93"/>
      <c r="AK25" s="93"/>
      <c r="AL25" s="93"/>
      <c r="AM25" s="93"/>
      <c r="AN25" s="93"/>
    </row>
    <row r="26" customFormat="false" ht="15" hidden="false" customHeight="true" outlineLevel="0" collapsed="false">
      <c r="A26" s="83" t="s">
        <v>190</v>
      </c>
      <c r="B26" s="83"/>
      <c r="C26" s="92"/>
      <c r="D26" s="92"/>
      <c r="E26" s="92"/>
      <c r="F26" s="92"/>
      <c r="G26" s="93"/>
      <c r="H26" s="93"/>
      <c r="I26" s="93"/>
      <c r="J26" s="93"/>
      <c r="K26" s="93"/>
      <c r="L26" s="93"/>
      <c r="M26" s="93"/>
      <c r="N26" s="93"/>
      <c r="O26" s="93"/>
      <c r="P26" s="93"/>
      <c r="Q26" s="95" t="n">
        <v>32.09161</v>
      </c>
      <c r="R26" s="93"/>
      <c r="S26" s="93"/>
      <c r="T26" s="93"/>
      <c r="U26" s="95" t="n">
        <v>6.990192</v>
      </c>
      <c r="V26" s="93"/>
      <c r="W26" s="93"/>
      <c r="X26" s="93"/>
      <c r="Y26" s="93"/>
      <c r="Z26" s="93"/>
      <c r="AA26" s="93"/>
      <c r="AB26" s="93"/>
      <c r="AC26" s="93"/>
      <c r="AD26" s="93"/>
      <c r="AE26" s="93"/>
      <c r="AF26" s="93"/>
      <c r="AG26" s="95" t="n">
        <v>7.157051</v>
      </c>
      <c r="AH26" s="93"/>
      <c r="AI26" s="93"/>
      <c r="AJ26" s="93"/>
      <c r="AK26" s="93"/>
      <c r="AL26" s="93"/>
      <c r="AM26" s="93"/>
      <c r="AN26" s="93"/>
    </row>
    <row r="27" customFormat="false" ht="15" hidden="false" customHeight="true" outlineLevel="0" collapsed="false">
      <c r="A27" s="83" t="s">
        <v>191</v>
      </c>
      <c r="B27" s="83"/>
      <c r="C27" s="92"/>
      <c r="D27" s="92"/>
      <c r="E27" s="92"/>
      <c r="F27" s="92"/>
      <c r="G27" s="93"/>
      <c r="H27" s="93"/>
      <c r="I27" s="93"/>
      <c r="J27" s="93"/>
      <c r="K27" s="93"/>
      <c r="L27" s="93"/>
      <c r="M27" s="93"/>
      <c r="N27" s="93"/>
      <c r="O27" s="93"/>
      <c r="P27" s="93"/>
      <c r="Q27" s="95" t="n">
        <v>29.97842</v>
      </c>
      <c r="R27" s="93"/>
      <c r="S27" s="93"/>
      <c r="T27" s="93"/>
      <c r="U27" s="95" t="n">
        <v>10.23495</v>
      </c>
      <c r="V27" s="93"/>
      <c r="W27" s="93"/>
      <c r="X27" s="93"/>
      <c r="Y27" s="93"/>
      <c r="Z27" s="93"/>
      <c r="AA27" s="93"/>
      <c r="AB27" s="93"/>
      <c r="AC27" s="93"/>
      <c r="AD27" s="93"/>
      <c r="AE27" s="93"/>
      <c r="AF27" s="93"/>
      <c r="AG27" s="95" t="n">
        <v>6.504427</v>
      </c>
      <c r="AH27" s="93"/>
      <c r="AI27" s="93"/>
      <c r="AJ27" s="93"/>
      <c r="AK27" s="93"/>
      <c r="AL27" s="93"/>
      <c r="AM27" s="93"/>
      <c r="AN27" s="93"/>
    </row>
  </sheetData>
  <mergeCells count="11">
    <mergeCell ref="C3:F3"/>
    <mergeCell ref="G3:J3"/>
    <mergeCell ref="K3:N3"/>
    <mergeCell ref="O3:R3"/>
    <mergeCell ref="S3:V3"/>
    <mergeCell ref="W3:Z3"/>
    <mergeCell ref="AA3:AD3"/>
    <mergeCell ref="AE3:AH3"/>
    <mergeCell ref="AI3:AL3"/>
    <mergeCell ref="AM3:AN3"/>
    <mergeCell ref="AO3:AR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G5" activeCellId="0" sqref="G5"/>
    </sheetView>
  </sheetViews>
  <sheetFormatPr defaultColWidth="8.5703125" defaultRowHeight="15" zeroHeight="false" outlineLevelRow="0" outlineLevelCol="0"/>
  <cols>
    <col collapsed="false" customWidth="true" hidden="false" outlineLevel="0" max="1" min="1" style="1" width="28"/>
    <col collapsed="false" customWidth="true" hidden="false" outlineLevel="0" max="2" min="2" style="1" width="9"/>
    <col collapsed="false" customWidth="true" hidden="false" outlineLevel="0" max="6" min="3" style="1" width="10"/>
    <col collapsed="false" customWidth="true" hidden="false" outlineLevel="0" max="10" min="7" style="1" width="8"/>
    <col collapsed="false" customWidth="true" hidden="false" outlineLevel="0" max="14" min="11" style="1" width="11"/>
    <col collapsed="false" customWidth="true" hidden="false" outlineLevel="0" max="38" min="15" style="1" width="7.42"/>
  </cols>
  <sheetData>
    <row r="1" customFormat="false" ht="15.75" hidden="false" customHeight="true" outlineLevel="0" collapsed="false">
      <c r="A1" s="65" t="s">
        <v>192</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customFormat="false" ht="37.5" hidden="false" customHeight="true" outlineLevel="0" collapsed="false">
      <c r="A3" s="7"/>
      <c r="B3" s="7"/>
      <c r="C3" s="8" t="s">
        <v>161</v>
      </c>
      <c r="D3" s="8"/>
      <c r="E3" s="8"/>
      <c r="F3" s="8"/>
      <c r="G3" s="9" t="s">
        <v>110</v>
      </c>
      <c r="H3" s="9"/>
      <c r="I3" s="9"/>
      <c r="J3" s="9"/>
      <c r="K3" s="10" t="s">
        <v>162</v>
      </c>
      <c r="L3" s="10"/>
      <c r="M3" s="10"/>
      <c r="N3" s="10"/>
      <c r="O3" s="11" t="s">
        <v>6</v>
      </c>
      <c r="P3" s="11"/>
      <c r="Q3" s="11"/>
      <c r="R3" s="11"/>
      <c r="S3" s="11" t="s">
        <v>7</v>
      </c>
      <c r="T3" s="11"/>
      <c r="U3" s="11"/>
      <c r="V3" s="11"/>
      <c r="W3" s="11" t="s">
        <v>8</v>
      </c>
      <c r="X3" s="11"/>
      <c r="Y3" s="11"/>
      <c r="Z3" s="11"/>
      <c r="AA3" s="11" t="s">
        <v>9</v>
      </c>
      <c r="AB3" s="11"/>
      <c r="AC3" s="11"/>
      <c r="AD3" s="11"/>
      <c r="AE3" s="11" t="s">
        <v>163</v>
      </c>
      <c r="AF3" s="11"/>
      <c r="AG3" s="11"/>
      <c r="AH3" s="11"/>
      <c r="AI3" s="11" t="s">
        <v>11</v>
      </c>
      <c r="AJ3" s="11"/>
      <c r="AK3" s="11"/>
      <c r="AL3" s="11"/>
      <c r="AM3" s="12" t="s">
        <v>164</v>
      </c>
      <c r="AN3" s="12"/>
      <c r="AO3" s="12"/>
      <c r="AP3" s="12"/>
    </row>
    <row r="4" customFormat="false" ht="27.75" hidden="false" customHeight="true" outlineLevel="0" collapsed="false">
      <c r="A4" s="14" t="s">
        <v>165</v>
      </c>
      <c r="B4" s="14"/>
      <c r="C4" s="14" t="s">
        <v>15</v>
      </c>
      <c r="D4" s="14" t="s">
        <v>16</v>
      </c>
      <c r="E4" s="14" t="s">
        <v>17</v>
      </c>
      <c r="F4" s="14" t="s">
        <v>18</v>
      </c>
      <c r="G4" s="14" t="s">
        <v>15</v>
      </c>
      <c r="H4" s="14" t="s">
        <v>16</v>
      </c>
      <c r="I4" s="14" t="s">
        <v>17</v>
      </c>
      <c r="J4" s="14" t="s">
        <v>19</v>
      </c>
      <c r="K4" s="14" t="s">
        <v>20</v>
      </c>
      <c r="L4" s="14" t="s">
        <v>21</v>
      </c>
      <c r="M4" s="14" t="s">
        <v>193</v>
      </c>
      <c r="N4" s="14" t="s">
        <v>23</v>
      </c>
      <c r="O4" s="14" t="s">
        <v>24</v>
      </c>
      <c r="P4" s="14" t="s">
        <v>25</v>
      </c>
      <c r="Q4" s="14" t="s">
        <v>26</v>
      </c>
      <c r="R4" s="14" t="s">
        <v>27</v>
      </c>
      <c r="S4" s="14" t="s">
        <v>24</v>
      </c>
      <c r="T4" s="14" t="s">
        <v>25</v>
      </c>
      <c r="U4" s="14" t="s">
        <v>26</v>
      </c>
      <c r="V4" s="14" t="s">
        <v>27</v>
      </c>
      <c r="W4" s="14" t="s">
        <v>24</v>
      </c>
      <c r="X4" s="14" t="s">
        <v>25</v>
      </c>
      <c r="Y4" s="14" t="s">
        <v>26</v>
      </c>
      <c r="Z4" s="14" t="s">
        <v>27</v>
      </c>
      <c r="AA4" s="14" t="s">
        <v>24</v>
      </c>
      <c r="AB4" s="14" t="s">
        <v>25</v>
      </c>
      <c r="AC4" s="14" t="s">
        <v>26</v>
      </c>
      <c r="AD4" s="14" t="s">
        <v>27</v>
      </c>
      <c r="AE4" s="14" t="s">
        <v>24</v>
      </c>
      <c r="AF4" s="14" t="s">
        <v>25</v>
      </c>
      <c r="AG4" s="14" t="s">
        <v>26</v>
      </c>
      <c r="AH4" s="14" t="s">
        <v>27</v>
      </c>
      <c r="AI4" s="14" t="s">
        <v>24</v>
      </c>
      <c r="AJ4" s="14" t="s">
        <v>25</v>
      </c>
      <c r="AK4" s="14" t="s">
        <v>26</v>
      </c>
      <c r="AL4" s="14" t="s">
        <v>27</v>
      </c>
      <c r="AM4" s="15" t="s">
        <v>28</v>
      </c>
      <c r="AN4" s="15" t="s">
        <v>29</v>
      </c>
      <c r="AO4" s="15" t="s">
        <v>30</v>
      </c>
      <c r="AP4" s="15" t="s">
        <v>31</v>
      </c>
    </row>
    <row r="5" customFormat="false" ht="27.75" hidden="false" customHeight="true" outlineLevel="0" collapsed="false">
      <c r="A5" s="82" t="s">
        <v>169</v>
      </c>
      <c r="B5" s="83"/>
      <c r="C5" s="84" t="n">
        <f aca="false">IF('Burden x Vehicle Matrix'!C7="","",'Burden x Vehicle Matrix'!C7)</f>
        <v>286411</v>
      </c>
      <c r="D5" s="84" t="n">
        <f aca="false">IF('Burden x Vehicle Matrix'!D7="","",'Burden x Vehicle Matrix'!D7)</f>
        <v>13693048</v>
      </c>
      <c r="E5" s="84" t="n">
        <f aca="false">IF('Burden x Vehicle Matrix'!E7="","",'Burden x Vehicle Matrix'!E7)</f>
        <v>727963</v>
      </c>
      <c r="F5" s="84" t="n">
        <f aca="false">IF('Burden x Vehicle Matrix'!F7="","",'Burden x Vehicle Matrix'!F7)</f>
        <v>14707422</v>
      </c>
      <c r="G5" s="85" t="n">
        <f aca="false">IF('Burden x Vehicle Matrix'!G7="","",'Burden x Vehicle Matrix'!G7)</f>
        <v>0.975</v>
      </c>
      <c r="H5" s="85" t="n">
        <f aca="false">IF('Burden x Vehicle Matrix'!H7="","",'Burden x Vehicle Matrix'!H7)</f>
        <v>0.57</v>
      </c>
      <c r="I5" s="85" t="n">
        <f aca="false">IF('Burden x Vehicle Matrix'!I7="","",'Burden x Vehicle Matrix'!I7)</f>
        <v>0.39</v>
      </c>
      <c r="J5" s="85" t="n">
        <f aca="false">IF('Burden x Vehicle Matrix'!J7="","",'Burden x Vehicle Matrix'!J7)</f>
        <v>0.722</v>
      </c>
      <c r="K5" s="85" t="str">
        <f aca="false">IF('Burden x Vehicle Matrix'!K7="","",'Burden x Vehicle Matrix'!K7)</f>
        <v>17.6% (2018)</v>
      </c>
      <c r="L5" s="85" t="str">
        <f aca="false">IF('Burden x Vehicle Matrix'!L7="","",'Burden x Vehicle Matrix'!L7)</f>
        <v>54.0% (2019)</v>
      </c>
      <c r="M5" s="96" t="str">
        <f aca="false">IF('Burden x Vehicle Matrix'!M7="","",'Burden x Vehicle Matrix'!M7)</f>
        <v>41.0% (2019, serum)</v>
      </c>
      <c r="N5" s="85" t="str">
        <f aca="false">IF('Burden x Vehicle Matrix'!N7="","",'Burden x Vehicle Matrix'!N7)</f>
        <v>18.9% (2018)</v>
      </c>
      <c r="O5" s="85" t="n">
        <f aca="false">IF('Burden x Vehicle Matrix'!O7="","",'Burden x Vehicle Matrix'!O7)</f>
        <v>0.15</v>
      </c>
      <c r="P5" s="85" t="n">
        <f aca="false">IF('Burden x Vehicle Matrix'!P7="","",'Burden x Vehicle Matrix'!P7)</f>
        <v>0.927</v>
      </c>
      <c r="Q5" s="86" t="n">
        <f aca="false">IF('Burden x Vehicle Matrix'!Q7="","",'Burden x Vehicle Matrix'!Q7)</f>
        <v>122.7</v>
      </c>
      <c r="R5" s="85" t="n">
        <f aca="false">IF('Burden x Vehicle Matrix'!R7="","",'Burden x Vehicle Matrix'!R7)</f>
        <v>0.05</v>
      </c>
      <c r="S5" s="85" t="n">
        <f aca="false">IF('Burden x Vehicle Matrix'!S7="","",'Burden x Vehicle Matrix'!S7)</f>
        <v>0.74</v>
      </c>
      <c r="T5" s="85" t="n">
        <f aca="false">IF('Burden x Vehicle Matrix'!T7="","",'Burden x Vehicle Matrix'!T7)</f>
        <v>0.999</v>
      </c>
      <c r="U5" s="86" t="n">
        <f aca="false">IF('Burden x Vehicle Matrix'!U7="","",'Burden x Vehicle Matrix'!U7)</f>
        <v>30.3</v>
      </c>
      <c r="V5" s="85" t="n">
        <f aca="false">IF('Burden x Vehicle Matrix'!V7="","",'Burden x Vehicle Matrix'!V7)</f>
        <v>0.5</v>
      </c>
      <c r="W5" s="85" t="n">
        <f aca="false">IF('Burden x Vehicle Matrix'!W7="","",'Burden x Vehicle Matrix'!W7)</f>
        <v>0.5</v>
      </c>
      <c r="X5" s="85" t="n">
        <f aca="false">IF('Burden x Vehicle Matrix'!X7="","",'Burden x Vehicle Matrix'!X7)</f>
        <v>0.988</v>
      </c>
      <c r="Y5" s="86" t="n">
        <f aca="false">IF('Burden x Vehicle Matrix'!Y7="","",'Burden x Vehicle Matrix'!Y7)</f>
        <v>155</v>
      </c>
      <c r="Z5" s="85" t="n">
        <f aca="false">IF('Burden x Vehicle Matrix'!Z7="","",'Burden x Vehicle Matrix'!Z7)</f>
        <v>0.5</v>
      </c>
      <c r="AA5" s="85" t="str">
        <f aca="false">IF('Burden x Vehicle Matrix'!AA7="","",'Burden x Vehicle Matrix'!AA7)</f>
        <v>n/a</v>
      </c>
      <c r="AB5" s="85" t="str">
        <f aca="false">IF('Burden x Vehicle Matrix'!AB7="","",'Burden x Vehicle Matrix'!AB7)</f>
        <v>n/a</v>
      </c>
      <c r="AC5" s="86" t="str">
        <f aca="false">IF('Burden x Vehicle Matrix'!AC7="","",'Burden x Vehicle Matrix'!AC7)</f>
        <v>n/a</v>
      </c>
      <c r="AD5" s="85" t="str">
        <f aca="false">IF('Burden x Vehicle Matrix'!AD7="","",'Burden x Vehicle Matrix'!AD7)</f>
        <v>n/a</v>
      </c>
      <c r="AE5" s="85" t="n">
        <f aca="false">IF('Burden x Vehicle Matrix'!AE7="","",'Burden x Vehicle Matrix'!AE7)</f>
        <v>0.035</v>
      </c>
      <c r="AF5" s="85" t="n">
        <f aca="false">IF('Burden x Vehicle Matrix'!AF7="","",'Burden x Vehicle Matrix'!AF7)</f>
        <v>1</v>
      </c>
      <c r="AG5" s="86" t="n">
        <f aca="false">IF('Burden x Vehicle Matrix'!AG7="","",'Burden x Vehicle Matrix'!AG7)</f>
        <v>7</v>
      </c>
      <c r="AH5" s="85" t="n">
        <f aca="false">IF('Burden x Vehicle Matrix'!AH7="","",'Burden x Vehicle Matrix'!AH7)</f>
        <v>0.33</v>
      </c>
      <c r="AI5" s="85" t="str">
        <f aca="false">IF('Burden x Vehicle Matrix'!AI7="","",'Burden x Vehicle Matrix'!AI7)</f>
        <v>n/a</v>
      </c>
      <c r="AJ5" s="85" t="str">
        <f aca="false">IF('Burden x Vehicle Matrix'!AJ7="","",'Burden x Vehicle Matrix'!AJ7)</f>
        <v>n/a</v>
      </c>
      <c r="AK5" s="86" t="str">
        <f aca="false">IF('Burden x Vehicle Matrix'!AK7="","",'Burden x Vehicle Matrix'!AK7)</f>
        <v>n/a</v>
      </c>
      <c r="AL5" s="85" t="str">
        <f aca="false">IF('Burden x Vehicle Matrix'!AL7="","",'Burden x Vehicle Matrix'!AL7)</f>
        <v>n/a</v>
      </c>
      <c r="AM5" s="87" t="n">
        <v>4.11</v>
      </c>
      <c r="AN5" s="88" t="n">
        <v>0.355</v>
      </c>
      <c r="AO5" s="88" t="n">
        <v>0.41</v>
      </c>
      <c r="AP5" s="97" t="s">
        <v>44</v>
      </c>
    </row>
    <row r="6" customFormat="false" ht="15" hidden="false" customHeight="true" outlineLevel="0" collapsed="false">
      <c r="A6" s="89" t="s">
        <v>194</v>
      </c>
      <c r="B6" s="90"/>
      <c r="C6" s="91"/>
      <c r="D6" s="91"/>
      <c r="E6" s="91"/>
      <c r="F6" s="91"/>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row>
    <row r="7" customFormat="false" ht="15" hidden="false" customHeight="true" outlineLevel="0" collapsed="false">
      <c r="A7" s="83" t="s">
        <v>195</v>
      </c>
      <c r="B7" s="83"/>
      <c r="C7" s="92"/>
      <c r="D7" s="92"/>
      <c r="E7" s="92"/>
      <c r="F7" s="92"/>
      <c r="G7" s="94" t="n">
        <v>0.974910255859019</v>
      </c>
      <c r="H7" s="94" t="n">
        <v>0.9205</v>
      </c>
      <c r="I7" s="94" t="n">
        <v>0.2346</v>
      </c>
      <c r="J7" s="93"/>
      <c r="K7" s="94" t="n">
        <v>0.178</v>
      </c>
      <c r="L7" s="94" t="n">
        <v>0.383</v>
      </c>
      <c r="M7" s="94" t="n">
        <v>0.013</v>
      </c>
      <c r="N7" s="93"/>
      <c r="O7" s="93"/>
      <c r="P7" s="94" t="n">
        <v>0.998303235</v>
      </c>
      <c r="Q7" s="95" t="n">
        <v>135.5068665</v>
      </c>
      <c r="R7" s="93"/>
      <c r="S7" s="93"/>
      <c r="T7" s="94" t="n">
        <v>0.995548964</v>
      </c>
      <c r="U7" s="95" t="n">
        <v>24.72537994</v>
      </c>
      <c r="V7" s="93"/>
      <c r="W7" s="93"/>
      <c r="X7" s="94" t="n">
        <v>0.995548964</v>
      </c>
      <c r="Y7" s="95" t="n">
        <v>50.58205414</v>
      </c>
      <c r="Z7" s="93"/>
      <c r="AA7" s="93"/>
      <c r="AB7" s="93"/>
      <c r="AC7" s="93"/>
      <c r="AD7" s="93"/>
      <c r="AE7" s="93"/>
      <c r="AF7" s="94" t="n">
        <v>0.999459326</v>
      </c>
      <c r="AG7" s="95" t="n">
        <v>5.724912643</v>
      </c>
      <c r="AH7" s="93"/>
      <c r="AI7" s="93"/>
      <c r="AJ7" s="93"/>
      <c r="AK7" s="93"/>
      <c r="AL7" s="93"/>
    </row>
    <row r="8" customFormat="false" ht="15" hidden="false" customHeight="true" outlineLevel="0" collapsed="false">
      <c r="A8" s="83" t="s">
        <v>196</v>
      </c>
      <c r="B8" s="83"/>
      <c r="C8" s="92"/>
      <c r="D8" s="92"/>
      <c r="E8" s="92"/>
      <c r="F8" s="92"/>
      <c r="G8" s="94" t="n">
        <v>0.985011713099077</v>
      </c>
      <c r="H8" s="94" t="n">
        <v>0.6753</v>
      </c>
      <c r="I8" s="94" t="n">
        <v>0.0727</v>
      </c>
      <c r="J8" s="93"/>
      <c r="K8" s="94" t="n">
        <v>0.261</v>
      </c>
      <c r="L8" s="94" t="n">
        <v>0.589</v>
      </c>
      <c r="M8" s="94" t="n">
        <v>0.146</v>
      </c>
      <c r="N8" s="93"/>
      <c r="O8" s="93"/>
      <c r="P8" s="94" t="n">
        <v>0.995010436</v>
      </c>
      <c r="Q8" s="95" t="n">
        <v>210.5958862</v>
      </c>
      <c r="R8" s="93"/>
      <c r="S8" s="93"/>
      <c r="T8" s="94" t="n">
        <v>0.965371609</v>
      </c>
      <c r="U8" s="95" t="n">
        <v>24.7017231</v>
      </c>
      <c r="V8" s="93"/>
      <c r="W8" s="93"/>
      <c r="X8" s="94" t="n">
        <v>0.965371609</v>
      </c>
      <c r="Y8" s="95" t="n">
        <v>23.70432091</v>
      </c>
      <c r="Z8" s="93"/>
      <c r="AA8" s="93"/>
      <c r="AB8" s="93"/>
      <c r="AC8" s="93"/>
      <c r="AD8" s="93"/>
      <c r="AE8" s="93"/>
      <c r="AF8" s="94" t="n">
        <v>0.999279439</v>
      </c>
      <c r="AG8" s="95" t="n">
        <v>6.580555916</v>
      </c>
      <c r="AH8" s="93"/>
      <c r="AI8" s="93"/>
      <c r="AJ8" s="93"/>
      <c r="AK8" s="93"/>
      <c r="AL8" s="93"/>
    </row>
    <row r="9" customFormat="false" ht="15" hidden="false" customHeight="true" outlineLevel="0" collapsed="false">
      <c r="A9" s="83" t="s">
        <v>197</v>
      </c>
      <c r="B9" s="83"/>
      <c r="C9" s="92"/>
      <c r="D9" s="92"/>
      <c r="E9" s="92"/>
      <c r="F9" s="92"/>
      <c r="G9" s="94" t="n">
        <v>0.982792027126079</v>
      </c>
      <c r="H9" s="94" t="n">
        <v>0.6889</v>
      </c>
      <c r="I9" s="94" t="n">
        <v>0.0156999999999999</v>
      </c>
      <c r="J9" s="93"/>
      <c r="K9" s="94" t="n">
        <v>0.059</v>
      </c>
      <c r="L9" s="94" t="n">
        <v>0.345</v>
      </c>
      <c r="M9" s="94" t="n">
        <v>0.046</v>
      </c>
      <c r="N9" s="93"/>
      <c r="O9" s="93"/>
      <c r="P9" s="94" t="n">
        <v>0.999039829</v>
      </c>
      <c r="Q9" s="95" t="n">
        <v>171.1798401</v>
      </c>
      <c r="R9" s="93"/>
      <c r="S9" s="93"/>
      <c r="T9" s="94" t="n">
        <v>0.999364197</v>
      </c>
      <c r="U9" s="95" t="n">
        <v>27.43398857</v>
      </c>
      <c r="V9" s="93"/>
      <c r="W9" s="93"/>
      <c r="X9" s="94" t="n">
        <v>0.999364197</v>
      </c>
      <c r="Y9" s="95" t="n">
        <v>119.708252</v>
      </c>
      <c r="Z9" s="93"/>
      <c r="AA9" s="93"/>
      <c r="AB9" s="93"/>
      <c r="AC9" s="93"/>
      <c r="AD9" s="93"/>
      <c r="AE9" s="93"/>
      <c r="AF9" s="94" t="n">
        <v>0.999865234</v>
      </c>
      <c r="AG9" s="95" t="n">
        <v>6.349276543</v>
      </c>
      <c r="AH9" s="93"/>
      <c r="AI9" s="93"/>
      <c r="AJ9" s="93"/>
      <c r="AK9" s="93"/>
      <c r="AL9" s="93"/>
    </row>
    <row r="10" customFormat="false" ht="15" hidden="false" customHeight="true" outlineLevel="0" collapsed="false">
      <c r="A10" s="83" t="s">
        <v>198</v>
      </c>
      <c r="B10" s="83"/>
      <c r="C10" s="92"/>
      <c r="D10" s="92"/>
      <c r="E10" s="92"/>
      <c r="F10" s="92"/>
      <c r="G10" s="94" t="n">
        <v>0.991773397363437</v>
      </c>
      <c r="H10" s="94" t="n">
        <v>0.9052</v>
      </c>
      <c r="I10" s="94" t="n">
        <v>0.2061</v>
      </c>
      <c r="J10" s="93"/>
      <c r="K10" s="94" t="n">
        <v>0.087</v>
      </c>
      <c r="L10" s="94" t="n">
        <v>0.447</v>
      </c>
      <c r="M10" s="94" t="n">
        <v>0.059</v>
      </c>
      <c r="N10" s="93"/>
      <c r="O10" s="93"/>
      <c r="P10" s="94" t="n">
        <v>0.816233218</v>
      </c>
      <c r="Q10" s="95" t="n">
        <v>101.1109467</v>
      </c>
      <c r="R10" s="93"/>
      <c r="S10" s="93"/>
      <c r="T10" s="94" t="n">
        <v>0.999844909</v>
      </c>
      <c r="U10" s="95" t="n">
        <v>26.21459007</v>
      </c>
      <c r="V10" s="93"/>
      <c r="W10" s="93"/>
      <c r="X10" s="94" t="n">
        <v>0.999844909</v>
      </c>
      <c r="Y10" s="95" t="n">
        <v>198.6270447</v>
      </c>
      <c r="Z10" s="93"/>
      <c r="AA10" s="93"/>
      <c r="AB10" s="93"/>
      <c r="AC10" s="93"/>
      <c r="AD10" s="93"/>
      <c r="AE10" s="93"/>
      <c r="AF10" s="94" t="n">
        <v>1</v>
      </c>
      <c r="AG10" s="95" t="n">
        <v>7.80175209</v>
      </c>
      <c r="AH10" s="93"/>
      <c r="AI10" s="93"/>
      <c r="AJ10" s="93"/>
      <c r="AK10" s="93"/>
      <c r="AL10" s="93"/>
    </row>
    <row r="11" customFormat="false" ht="15" hidden="false" customHeight="true" outlineLevel="0" collapsed="false">
      <c r="A11" s="83" t="s">
        <v>199</v>
      </c>
      <c r="B11" s="83"/>
      <c r="C11" s="92"/>
      <c r="D11" s="92"/>
      <c r="E11" s="92"/>
      <c r="F11" s="92"/>
      <c r="G11" s="94" t="n">
        <v>0.98369409249638</v>
      </c>
      <c r="H11" s="94" t="n">
        <v>0.7551</v>
      </c>
      <c r="I11" s="94" t="n">
        <v>0.1315</v>
      </c>
      <c r="J11" s="93"/>
      <c r="K11" s="94" t="n">
        <v>0.172</v>
      </c>
      <c r="L11" s="94" t="n">
        <v>0.672</v>
      </c>
      <c r="M11" s="94" t="n">
        <v>0.098</v>
      </c>
      <c r="N11" s="93"/>
      <c r="O11" s="93"/>
      <c r="P11" s="94" t="n">
        <v>0.986740291</v>
      </c>
      <c r="Q11" s="95" t="n">
        <v>201.1195679</v>
      </c>
      <c r="R11" s="93"/>
      <c r="S11" s="93"/>
      <c r="T11" s="94" t="n">
        <v>0.957522094</v>
      </c>
      <c r="U11" s="95" t="n">
        <v>25.12517357</v>
      </c>
      <c r="V11" s="93"/>
      <c r="W11" s="93"/>
      <c r="X11" s="94" t="n">
        <v>0.957522094</v>
      </c>
      <c r="Y11" s="95" t="n">
        <v>25.02485466</v>
      </c>
      <c r="Z11" s="93"/>
      <c r="AA11" s="93"/>
      <c r="AB11" s="93"/>
      <c r="AC11" s="93"/>
      <c r="AD11" s="93"/>
      <c r="AE11" s="93"/>
      <c r="AF11" s="94" t="n">
        <v>0.999919951</v>
      </c>
      <c r="AG11" s="95" t="n">
        <v>5.359478474</v>
      </c>
      <c r="AH11" s="93"/>
      <c r="AI11" s="93"/>
      <c r="AJ11" s="93"/>
      <c r="AK11" s="93"/>
      <c r="AL11" s="93"/>
    </row>
    <row r="12" customFormat="false" ht="15" hidden="false" customHeight="true" outlineLevel="0" collapsed="false">
      <c r="A12" s="83" t="s">
        <v>200</v>
      </c>
      <c r="B12" s="83"/>
      <c r="C12" s="92"/>
      <c r="D12" s="92"/>
      <c r="E12" s="92"/>
      <c r="F12" s="92"/>
      <c r="G12" s="94" t="n">
        <v>0.992593764247187</v>
      </c>
      <c r="H12" s="94" t="n">
        <v>0.3746</v>
      </c>
      <c r="I12" s="94" t="n">
        <v>0.1812</v>
      </c>
      <c r="J12" s="93"/>
      <c r="K12" s="93"/>
      <c r="L12" s="94" t="n">
        <v>0.443</v>
      </c>
      <c r="M12" s="94" t="n">
        <v>0.34</v>
      </c>
      <c r="N12" s="93"/>
      <c r="O12" s="93"/>
      <c r="P12" s="94" t="n">
        <v>0.988712728</v>
      </c>
      <c r="Q12" s="95" t="n">
        <v>269.4253235</v>
      </c>
      <c r="R12" s="93"/>
      <c r="S12" s="93"/>
      <c r="T12" s="94" t="n">
        <v>0.878253698</v>
      </c>
      <c r="U12" s="95" t="n">
        <v>24.97888374</v>
      </c>
      <c r="V12" s="93"/>
      <c r="W12" s="93"/>
      <c r="X12" s="94" t="n">
        <v>0.878253698</v>
      </c>
      <c r="Y12" s="95" t="n">
        <v>11.8374939</v>
      </c>
      <c r="Z12" s="93"/>
      <c r="AA12" s="93"/>
      <c r="AB12" s="93"/>
      <c r="AC12" s="93"/>
      <c r="AD12" s="93"/>
      <c r="AE12" s="93"/>
      <c r="AF12" s="94" t="n">
        <v>0.999731421</v>
      </c>
      <c r="AG12" s="95" t="n">
        <v>5.925888062</v>
      </c>
      <c r="AH12" s="93"/>
      <c r="AI12" s="93"/>
      <c r="AJ12" s="93"/>
      <c r="AK12" s="93"/>
      <c r="AL12" s="93"/>
    </row>
    <row r="13" customFormat="false" ht="15" hidden="false" customHeight="true" outlineLevel="0" collapsed="false">
      <c r="A13" s="83" t="s">
        <v>201</v>
      </c>
      <c r="B13" s="83"/>
      <c r="C13" s="92"/>
      <c r="D13" s="92"/>
      <c r="E13" s="92"/>
      <c r="F13" s="92"/>
      <c r="G13" s="94" t="n">
        <v>0.985995643343216</v>
      </c>
      <c r="H13" s="94" t="n">
        <v>0.9132</v>
      </c>
      <c r="I13" s="94" t="n">
        <v>0.1334</v>
      </c>
      <c r="J13" s="93"/>
      <c r="K13" s="94" t="n">
        <v>0.143</v>
      </c>
      <c r="L13" s="94" t="n">
        <v>0.512</v>
      </c>
      <c r="M13" s="94" t="n">
        <v>0.176</v>
      </c>
      <c r="N13" s="93"/>
      <c r="O13" s="93"/>
      <c r="P13" s="94" t="n">
        <v>0.9952721</v>
      </c>
      <c r="Q13" s="95" t="n">
        <v>154.7209167</v>
      </c>
      <c r="R13" s="93"/>
      <c r="S13" s="93"/>
      <c r="T13" s="94" t="n">
        <v>0.996760309</v>
      </c>
      <c r="U13" s="95" t="n">
        <v>25.59550858</v>
      </c>
      <c r="V13" s="93"/>
      <c r="W13" s="93"/>
      <c r="X13" s="94" t="n">
        <v>0.996760309</v>
      </c>
      <c r="Y13" s="95" t="n">
        <v>116.3458939</v>
      </c>
      <c r="Z13" s="93"/>
      <c r="AA13" s="93"/>
      <c r="AB13" s="93"/>
      <c r="AC13" s="93"/>
      <c r="AD13" s="93"/>
      <c r="AE13" s="93"/>
      <c r="AF13" s="94" t="n">
        <v>0.999915123</v>
      </c>
      <c r="AG13" s="95" t="n">
        <v>5.614800453</v>
      </c>
      <c r="AH13" s="93"/>
      <c r="AI13" s="93"/>
      <c r="AJ13" s="93"/>
      <c r="AK13" s="93"/>
      <c r="AL13" s="93"/>
    </row>
    <row r="14" customFormat="false" ht="15" hidden="false" customHeight="true" outlineLevel="0" collapsed="false">
      <c r="A14" s="83" t="s">
        <v>202</v>
      </c>
      <c r="B14" s="83"/>
      <c r="C14" s="92"/>
      <c r="D14" s="92"/>
      <c r="E14" s="92"/>
      <c r="F14" s="92"/>
      <c r="G14" s="94" t="n">
        <v>0.996376729953836</v>
      </c>
      <c r="H14" s="94" t="n">
        <v>0.9643</v>
      </c>
      <c r="I14" s="94" t="n">
        <v>0.2949</v>
      </c>
      <c r="J14" s="93"/>
      <c r="K14" s="94" t="n">
        <v>0.266</v>
      </c>
      <c r="L14" s="94" t="n">
        <v>0.385</v>
      </c>
      <c r="M14" s="94" t="n">
        <v>0.437</v>
      </c>
      <c r="N14" s="93"/>
      <c r="O14" s="93"/>
      <c r="P14" s="94" t="n">
        <v>0.819997966</v>
      </c>
      <c r="Q14" s="95" t="n">
        <v>32.37008286</v>
      </c>
      <c r="R14" s="93"/>
      <c r="S14" s="93"/>
      <c r="T14" s="94" t="n">
        <v>0.998072982</v>
      </c>
      <c r="U14" s="95" t="n">
        <v>30.2175827</v>
      </c>
      <c r="V14" s="93"/>
      <c r="W14" s="93"/>
      <c r="X14" s="94" t="n">
        <v>0.998072982</v>
      </c>
      <c r="Y14" s="95" t="n">
        <v>298.2650757</v>
      </c>
      <c r="Z14" s="93"/>
      <c r="AA14" s="93"/>
      <c r="AB14" s="93"/>
      <c r="AC14" s="93"/>
      <c r="AD14" s="93"/>
      <c r="AE14" s="93"/>
      <c r="AF14" s="94" t="n">
        <v>0.998579919</v>
      </c>
      <c r="AG14" s="95" t="n">
        <v>9.469164848</v>
      </c>
      <c r="AH14" s="93"/>
      <c r="AI14" s="93"/>
      <c r="AJ14" s="93"/>
      <c r="AK14" s="93"/>
      <c r="AL14" s="93"/>
    </row>
    <row r="15" customFormat="false" ht="15" hidden="false" customHeight="true" outlineLevel="0" collapsed="false">
      <c r="A15" s="83" t="s">
        <v>203</v>
      </c>
      <c r="B15" s="83"/>
      <c r="C15" s="92"/>
      <c r="D15" s="92"/>
      <c r="E15" s="92"/>
      <c r="F15" s="92"/>
      <c r="G15" s="94" t="n">
        <v>0.996956634154863</v>
      </c>
      <c r="H15" s="94" t="n">
        <v>0.7389</v>
      </c>
      <c r="I15" s="94" t="n">
        <v>0.2184</v>
      </c>
      <c r="J15" s="93"/>
      <c r="K15" s="94" t="n">
        <v>0.271</v>
      </c>
      <c r="L15" s="94" t="n">
        <v>0.459</v>
      </c>
      <c r="M15" s="94" t="n">
        <v>0.576</v>
      </c>
      <c r="N15" s="93"/>
      <c r="O15" s="93"/>
      <c r="P15" s="94" t="n">
        <v>0.997298181</v>
      </c>
      <c r="Q15" s="95" t="n">
        <v>199.7640839</v>
      </c>
      <c r="R15" s="93"/>
      <c r="S15" s="93"/>
      <c r="T15" s="94" t="n">
        <v>0.993312895</v>
      </c>
      <c r="U15" s="95" t="n">
        <v>28.32909203</v>
      </c>
      <c r="V15" s="93"/>
      <c r="W15" s="93"/>
      <c r="X15" s="94" t="n">
        <v>0.993312895</v>
      </c>
      <c r="Y15" s="95" t="n">
        <v>68.45243835</v>
      </c>
      <c r="Z15" s="93"/>
      <c r="AA15" s="93"/>
      <c r="AB15" s="93"/>
      <c r="AC15" s="93"/>
      <c r="AD15" s="93"/>
      <c r="AE15" s="93"/>
      <c r="AF15" s="94" t="n">
        <v>0.999818206</v>
      </c>
      <c r="AG15" s="95" t="n">
        <v>6.490470409</v>
      </c>
      <c r="AH15" s="93"/>
      <c r="AI15" s="93"/>
      <c r="AJ15" s="93"/>
      <c r="AK15" s="93"/>
      <c r="AL15" s="93"/>
    </row>
    <row r="16" customFormat="false" ht="15" hidden="false" customHeight="true" outlineLevel="0" collapsed="false">
      <c r="A16" s="83" t="s">
        <v>204</v>
      </c>
      <c r="B16" s="83"/>
      <c r="C16" s="92"/>
      <c r="D16" s="92"/>
      <c r="E16" s="92"/>
      <c r="F16" s="92"/>
      <c r="G16" s="94" t="n">
        <v>0.991324781815366</v>
      </c>
      <c r="H16" s="94" t="n">
        <v>0.8801</v>
      </c>
      <c r="I16" s="94" t="n">
        <v>0.3264</v>
      </c>
      <c r="J16" s="93"/>
      <c r="K16" s="94" t="n">
        <v>0.171</v>
      </c>
      <c r="L16" s="94" t="n">
        <v>0.239</v>
      </c>
      <c r="M16" s="94" t="n">
        <v>0.061</v>
      </c>
      <c r="N16" s="93"/>
      <c r="O16" s="93"/>
      <c r="P16" s="94" t="n">
        <v>0.99767375</v>
      </c>
      <c r="Q16" s="95" t="n">
        <v>172.6710815</v>
      </c>
      <c r="R16" s="93"/>
      <c r="S16" s="93"/>
      <c r="T16" s="94" t="n">
        <v>0.995863557</v>
      </c>
      <c r="U16" s="95" t="n">
        <v>26.45888329</v>
      </c>
      <c r="V16" s="93"/>
      <c r="W16" s="93"/>
      <c r="X16" s="94" t="n">
        <v>0.995863557</v>
      </c>
      <c r="Y16" s="95" t="n">
        <v>100.3493729</v>
      </c>
      <c r="Z16" s="93"/>
      <c r="AA16" s="93"/>
      <c r="AB16" s="93"/>
      <c r="AC16" s="93"/>
      <c r="AD16" s="93"/>
      <c r="AE16" s="93"/>
      <c r="AF16" s="94" t="n">
        <v>0.999716401</v>
      </c>
      <c r="AG16" s="95" t="n">
        <v>5.87168026</v>
      </c>
      <c r="AH16" s="93"/>
      <c r="AI16" s="93"/>
      <c r="AJ16" s="93"/>
      <c r="AK16" s="93"/>
      <c r="AL16" s="93"/>
    </row>
    <row r="17" customFormat="false" ht="15" hidden="false" customHeight="true" outlineLevel="0" collapsed="false">
      <c r="A17" s="83" t="s">
        <v>205</v>
      </c>
      <c r="B17" s="83"/>
      <c r="C17" s="92"/>
      <c r="D17" s="92"/>
      <c r="E17" s="92"/>
      <c r="F17" s="92"/>
      <c r="G17" s="94" t="n">
        <v>0.998743028981241</v>
      </c>
      <c r="H17" s="94" t="n">
        <v>0.7997</v>
      </c>
      <c r="I17" s="94" t="n">
        <v>0.2238</v>
      </c>
      <c r="J17" s="93"/>
      <c r="K17" s="94" t="n">
        <v>0.235</v>
      </c>
      <c r="L17" s="94" t="n">
        <v>0.202</v>
      </c>
      <c r="M17" s="94" t="n">
        <v>0.061</v>
      </c>
      <c r="N17" s="93"/>
      <c r="O17" s="93"/>
      <c r="P17" s="94" t="n">
        <v>0.995661676</v>
      </c>
      <c r="Q17" s="95" t="n">
        <v>154.1739807</v>
      </c>
      <c r="R17" s="93"/>
      <c r="S17" s="93"/>
      <c r="T17" s="94" t="n">
        <v>0.998025358</v>
      </c>
      <c r="U17" s="95" t="n">
        <v>30.52836609</v>
      </c>
      <c r="V17" s="93"/>
      <c r="W17" s="93"/>
      <c r="X17" s="94" t="n">
        <v>0.998025358</v>
      </c>
      <c r="Y17" s="95" t="n">
        <v>166.8430176</v>
      </c>
      <c r="Z17" s="93"/>
      <c r="AA17" s="93"/>
      <c r="AB17" s="93"/>
      <c r="AC17" s="93"/>
      <c r="AD17" s="93"/>
      <c r="AE17" s="93"/>
      <c r="AF17" s="94" t="n">
        <v>0.999989748</v>
      </c>
      <c r="AG17" s="95" t="n">
        <v>6.858905792</v>
      </c>
      <c r="AH17" s="93"/>
      <c r="AI17" s="93"/>
      <c r="AJ17" s="93"/>
      <c r="AK17" s="93"/>
      <c r="AL17" s="93"/>
    </row>
    <row r="18" customFormat="false" ht="15" hidden="false" customHeight="true" outlineLevel="0" collapsed="false">
      <c r="A18" s="83" t="s">
        <v>206</v>
      </c>
      <c r="B18" s="83"/>
      <c r="C18" s="92"/>
      <c r="D18" s="92"/>
      <c r="E18" s="92"/>
      <c r="F18" s="92"/>
      <c r="G18" s="94" t="n">
        <v>0.997906250750412</v>
      </c>
      <c r="H18" s="94" t="n">
        <v>0.9454</v>
      </c>
      <c r="I18" s="94" t="n">
        <v>0.516</v>
      </c>
      <c r="J18" s="93"/>
      <c r="K18" s="94" t="n">
        <v>0.432</v>
      </c>
      <c r="L18" s="94" t="n">
        <v>0.138</v>
      </c>
      <c r="M18" s="94" t="n">
        <v>0.053</v>
      </c>
      <c r="N18" s="93"/>
      <c r="O18" s="93"/>
      <c r="P18" s="94" t="n">
        <v>0.940823257</v>
      </c>
      <c r="Q18" s="95" t="n">
        <v>101.859726</v>
      </c>
      <c r="R18" s="93"/>
      <c r="S18" s="93"/>
      <c r="T18" s="94" t="n">
        <v>0.996836782</v>
      </c>
      <c r="U18" s="95" t="n">
        <v>26.49293709</v>
      </c>
      <c r="V18" s="93"/>
      <c r="W18" s="93"/>
      <c r="X18" s="94" t="n">
        <v>0.996836782</v>
      </c>
      <c r="Y18" s="95" t="n">
        <v>199.7654572</v>
      </c>
      <c r="Z18" s="93"/>
      <c r="AA18" s="93"/>
      <c r="AB18" s="93"/>
      <c r="AC18" s="93"/>
      <c r="AD18" s="93"/>
      <c r="AE18" s="93"/>
      <c r="AF18" s="94" t="n">
        <v>0.999872148</v>
      </c>
      <c r="AG18" s="95" t="n">
        <v>6.689213753</v>
      </c>
      <c r="AH18" s="93"/>
      <c r="AI18" s="93"/>
      <c r="AJ18" s="93"/>
      <c r="AK18" s="93"/>
      <c r="AL18" s="93"/>
    </row>
    <row r="19" customFormat="false" ht="15" hidden="false" customHeight="true" outlineLevel="0" collapsed="false">
      <c r="A19" s="83" t="s">
        <v>207</v>
      </c>
      <c r="B19" s="83"/>
      <c r="C19" s="92"/>
      <c r="D19" s="92"/>
      <c r="E19" s="92"/>
      <c r="F19" s="92"/>
      <c r="G19" s="94" t="n">
        <v>0.999190523177569</v>
      </c>
      <c r="H19" s="94" t="n">
        <v>0.9671</v>
      </c>
      <c r="I19" s="94" t="n">
        <v>0.4444</v>
      </c>
      <c r="J19" s="93"/>
      <c r="K19" s="94" t="n">
        <v>0.198</v>
      </c>
      <c r="L19" s="94" t="n">
        <v>0.304</v>
      </c>
      <c r="M19" s="94" t="n">
        <v>0.344</v>
      </c>
      <c r="N19" s="93"/>
      <c r="O19" s="93"/>
      <c r="P19" s="94" t="n">
        <v>0.718965352</v>
      </c>
      <c r="Q19" s="95" t="n">
        <v>29.28060341</v>
      </c>
      <c r="R19" s="93"/>
      <c r="S19" s="93"/>
      <c r="T19" s="94" t="n">
        <v>0.99707222</v>
      </c>
      <c r="U19" s="95" t="n">
        <v>25.53797913</v>
      </c>
      <c r="V19" s="93"/>
      <c r="W19" s="93"/>
      <c r="X19" s="94" t="n">
        <v>0.99707222</v>
      </c>
      <c r="Y19" s="95" t="n">
        <v>307.2702942</v>
      </c>
      <c r="Z19" s="93"/>
      <c r="AA19" s="93"/>
      <c r="AB19" s="93"/>
      <c r="AC19" s="93"/>
      <c r="AD19" s="93"/>
      <c r="AE19" s="93"/>
      <c r="AF19" s="94" t="n">
        <v>0.999793947</v>
      </c>
      <c r="AG19" s="95" t="n">
        <v>8.199654579</v>
      </c>
      <c r="AH19" s="93"/>
      <c r="AI19" s="93"/>
      <c r="AJ19" s="93"/>
      <c r="AK19" s="93"/>
      <c r="AL19" s="93"/>
    </row>
    <row r="20" customFormat="false" ht="15" hidden="false" customHeight="true" outlineLevel="0" collapsed="false">
      <c r="A20" s="83" t="s">
        <v>208</v>
      </c>
      <c r="B20" s="83"/>
      <c r="C20" s="92"/>
      <c r="D20" s="92"/>
      <c r="E20" s="92"/>
      <c r="F20" s="92"/>
      <c r="G20" s="94" t="n">
        <v>0.98948198447718</v>
      </c>
      <c r="H20" s="94" t="n">
        <v>0.9641</v>
      </c>
      <c r="I20" s="94" t="n">
        <v>0.4785</v>
      </c>
      <c r="J20" s="93"/>
      <c r="K20" s="94" t="n">
        <v>0.05</v>
      </c>
      <c r="L20" s="94" t="n">
        <v>0.211</v>
      </c>
      <c r="M20" s="94" t="n">
        <v>0.003</v>
      </c>
      <c r="N20" s="93"/>
      <c r="O20" s="93"/>
      <c r="P20" s="94" t="n">
        <v>0.929225206</v>
      </c>
      <c r="Q20" s="95" t="n">
        <v>57.74398041</v>
      </c>
      <c r="R20" s="93"/>
      <c r="S20" s="93"/>
      <c r="T20" s="94" t="n">
        <v>0.999457717</v>
      </c>
      <c r="U20" s="95" t="n">
        <v>29.27388954</v>
      </c>
      <c r="V20" s="93"/>
      <c r="W20" s="93"/>
      <c r="X20" s="94" t="n">
        <v>0.999457717</v>
      </c>
      <c r="Y20" s="95" t="n">
        <v>228.0436554</v>
      </c>
      <c r="Z20" s="93"/>
      <c r="AA20" s="93"/>
      <c r="AB20" s="93"/>
      <c r="AC20" s="93"/>
      <c r="AD20" s="93"/>
      <c r="AE20" s="93"/>
      <c r="AF20" s="94" t="n">
        <v>0.999898672</v>
      </c>
      <c r="AG20" s="95" t="n">
        <v>7.98910284</v>
      </c>
      <c r="AH20" s="93"/>
      <c r="AI20" s="93"/>
      <c r="AJ20" s="93"/>
      <c r="AK20" s="93"/>
      <c r="AL20" s="93"/>
    </row>
    <row r="21" customFormat="false" ht="15" hidden="false" customHeight="true" outlineLevel="0" collapsed="false">
      <c r="A21" s="83" t="s">
        <v>209</v>
      </c>
      <c r="B21" s="83"/>
      <c r="C21" s="92"/>
      <c r="D21" s="92"/>
      <c r="E21" s="92"/>
      <c r="F21" s="92"/>
      <c r="G21" s="94" t="n">
        <v>0.95782488295851</v>
      </c>
      <c r="H21" s="94" t="n">
        <v>0.9728</v>
      </c>
      <c r="I21" s="94" t="n">
        <v>0.3618</v>
      </c>
      <c r="J21" s="93"/>
      <c r="K21" s="94" t="n">
        <v>0.148</v>
      </c>
      <c r="L21" s="94" t="n">
        <v>0.149</v>
      </c>
      <c r="M21" s="94" t="n">
        <v>0.38</v>
      </c>
      <c r="N21" s="93"/>
      <c r="O21" s="93"/>
      <c r="P21" s="94" t="n">
        <v>0.542680562</v>
      </c>
      <c r="Q21" s="95" t="n">
        <v>8.455394745</v>
      </c>
      <c r="R21" s="93"/>
      <c r="S21" s="93"/>
      <c r="T21" s="94" t="n">
        <v>0.998384118</v>
      </c>
      <c r="U21" s="95" t="n">
        <v>23.98787689</v>
      </c>
      <c r="V21" s="93"/>
      <c r="W21" s="93"/>
      <c r="X21" s="94" t="n">
        <v>0.998384118</v>
      </c>
      <c r="Y21" s="95" t="n">
        <v>303.5713501</v>
      </c>
      <c r="Z21" s="93"/>
      <c r="AA21" s="93"/>
      <c r="AB21" s="93"/>
      <c r="AC21" s="93"/>
      <c r="AD21" s="93"/>
      <c r="AE21" s="93"/>
      <c r="AF21" s="94" t="n">
        <v>1</v>
      </c>
      <c r="AG21" s="95" t="n">
        <v>7.014044285</v>
      </c>
      <c r="AH21" s="93"/>
      <c r="AI21" s="93"/>
      <c r="AJ21" s="93"/>
      <c r="AK21" s="93"/>
      <c r="AL21" s="93"/>
    </row>
    <row r="22" customFormat="false" ht="15" hidden="false" customHeight="true" outlineLevel="0" collapsed="false">
      <c r="A22" s="83" t="s">
        <v>210</v>
      </c>
      <c r="B22" s="83"/>
      <c r="C22" s="92"/>
      <c r="D22" s="92"/>
      <c r="E22" s="92"/>
      <c r="F22" s="92"/>
      <c r="G22" s="94" t="n">
        <v>0.998021060684686</v>
      </c>
      <c r="H22" s="94" t="n">
        <v>0.9939</v>
      </c>
      <c r="I22" s="94" t="n">
        <v>0.6007</v>
      </c>
      <c r="J22" s="93"/>
      <c r="K22" s="94" t="n">
        <v>0.214</v>
      </c>
      <c r="L22" s="94" t="n">
        <v>0.085</v>
      </c>
      <c r="M22" s="94" t="n">
        <v>0.599</v>
      </c>
      <c r="N22" s="93"/>
      <c r="O22" s="93"/>
      <c r="P22" s="94" t="n">
        <v>0.764888525</v>
      </c>
      <c r="Q22" s="95" t="n">
        <v>12.1299305</v>
      </c>
      <c r="R22" s="93"/>
      <c r="S22" s="93"/>
      <c r="T22" s="94" t="n">
        <v>0.999693513</v>
      </c>
      <c r="U22" s="95" t="n">
        <v>25.01400757</v>
      </c>
      <c r="V22" s="93"/>
      <c r="W22" s="93"/>
      <c r="X22" s="94" t="n">
        <v>0.999693513</v>
      </c>
      <c r="Y22" s="95" t="n">
        <v>260.2685852</v>
      </c>
      <c r="Z22" s="93"/>
      <c r="AA22" s="93"/>
      <c r="AB22" s="93"/>
      <c r="AC22" s="93"/>
      <c r="AD22" s="93"/>
      <c r="AE22" s="93"/>
      <c r="AF22" s="94" t="n">
        <v>0.99998498</v>
      </c>
      <c r="AG22" s="95" t="n">
        <v>6.704279423</v>
      </c>
      <c r="AH22" s="93"/>
      <c r="AI22" s="93"/>
      <c r="AJ22" s="93"/>
      <c r="AK22" s="93"/>
      <c r="AL22" s="93"/>
    </row>
    <row r="23" customFormat="false" ht="15" hidden="false" customHeight="true" outlineLevel="0" collapsed="false">
      <c r="A23" s="83" t="s">
        <v>211</v>
      </c>
      <c r="B23" s="83"/>
      <c r="C23" s="92"/>
      <c r="D23" s="92"/>
      <c r="E23" s="92"/>
      <c r="F23" s="92"/>
      <c r="G23" s="94" t="n">
        <v>0.999369779643099</v>
      </c>
      <c r="H23" s="94" t="n">
        <v>0.9977</v>
      </c>
      <c r="I23" s="94" t="n">
        <v>0.6576</v>
      </c>
      <c r="J23" s="93"/>
      <c r="K23" s="94" t="n">
        <v>0.171</v>
      </c>
      <c r="L23" s="94" t="n">
        <v>0.174</v>
      </c>
      <c r="M23" s="94" t="n">
        <v>0.064</v>
      </c>
      <c r="N23" s="93"/>
      <c r="O23" s="93"/>
      <c r="P23" s="94" t="n">
        <v>0.146290079</v>
      </c>
      <c r="Q23" s="95" t="n">
        <v>0.998959243</v>
      </c>
      <c r="R23" s="93"/>
      <c r="S23" s="93"/>
      <c r="T23" s="94" t="n">
        <v>0.996736586</v>
      </c>
      <c r="U23" s="95" t="n">
        <v>23.83538055</v>
      </c>
      <c r="V23" s="93"/>
      <c r="W23" s="93"/>
      <c r="X23" s="94" t="n">
        <v>0.996736586</v>
      </c>
      <c r="Y23" s="95" t="n">
        <v>348.287262</v>
      </c>
      <c r="Z23" s="93"/>
      <c r="AA23" s="93"/>
      <c r="AB23" s="93"/>
      <c r="AC23" s="93"/>
      <c r="AD23" s="93"/>
      <c r="AE23" s="93"/>
      <c r="AF23" s="94" t="n">
        <v>1</v>
      </c>
      <c r="AG23" s="95" t="n">
        <v>5.39417696</v>
      </c>
      <c r="AH23" s="93"/>
      <c r="AI23" s="93"/>
      <c r="AJ23" s="93"/>
      <c r="AK23" s="93"/>
      <c r="AL23" s="93"/>
    </row>
    <row r="24" customFormat="false" ht="15" hidden="false" customHeight="true" outlineLevel="0" collapsed="false">
      <c r="A24" s="83" t="s">
        <v>212</v>
      </c>
      <c r="B24" s="83"/>
      <c r="C24" s="92"/>
      <c r="D24" s="92"/>
      <c r="E24" s="92"/>
      <c r="F24" s="92"/>
      <c r="G24" s="94" t="n">
        <v>0.998934858744427</v>
      </c>
      <c r="H24" s="94" t="n">
        <v>0.9966</v>
      </c>
      <c r="I24" s="94" t="n">
        <v>0.6379</v>
      </c>
      <c r="J24" s="93"/>
      <c r="K24" s="94" t="n">
        <v>0.063</v>
      </c>
      <c r="L24" s="94" t="n">
        <v>0.249</v>
      </c>
      <c r="M24" s="94" t="n">
        <v>0.261</v>
      </c>
      <c r="N24" s="93"/>
      <c r="O24" s="93"/>
      <c r="P24" s="94" t="n">
        <v>0.519748926</v>
      </c>
      <c r="Q24" s="95" t="n">
        <v>5.146409988</v>
      </c>
      <c r="R24" s="93"/>
      <c r="S24" s="93"/>
      <c r="T24" s="94" t="n">
        <v>0.996310771</v>
      </c>
      <c r="U24" s="95" t="n">
        <v>24.53463364</v>
      </c>
      <c r="V24" s="93"/>
      <c r="W24" s="93"/>
      <c r="X24" s="94" t="n">
        <v>0.996310771</v>
      </c>
      <c r="Y24" s="95" t="n">
        <v>265.2116394</v>
      </c>
      <c r="Z24" s="93"/>
      <c r="AA24" s="93"/>
      <c r="AB24" s="93"/>
      <c r="AC24" s="93"/>
      <c r="AD24" s="93"/>
      <c r="AE24" s="93"/>
      <c r="AF24" s="94" t="n">
        <v>1</v>
      </c>
      <c r="AG24" s="95" t="n">
        <v>6.652191639</v>
      </c>
      <c r="AH24" s="93"/>
      <c r="AI24" s="93"/>
      <c r="AJ24" s="93"/>
      <c r="AK24" s="93"/>
      <c r="AL24" s="93"/>
    </row>
    <row r="25" customFormat="false" ht="15" hidden="false" customHeight="true" outlineLevel="0" collapsed="false">
      <c r="A25" s="83" t="s">
        <v>213</v>
      </c>
      <c r="B25" s="83"/>
      <c r="C25" s="92"/>
      <c r="D25" s="92"/>
      <c r="E25" s="92"/>
      <c r="F25" s="92"/>
      <c r="G25" s="94" t="n">
        <v>0.990458276128345</v>
      </c>
      <c r="H25" s="94" t="n">
        <v>0.9953</v>
      </c>
      <c r="I25" s="94" t="n">
        <v>0.5412</v>
      </c>
      <c r="J25" s="93"/>
      <c r="K25" s="94" t="n">
        <v>0.392</v>
      </c>
      <c r="L25" s="94" t="n">
        <v>0.042</v>
      </c>
      <c r="M25" s="94" t="n">
        <v>0.179</v>
      </c>
      <c r="N25" s="93"/>
      <c r="O25" s="93"/>
      <c r="P25" s="94" t="n">
        <v>0.025417931</v>
      </c>
      <c r="Q25" s="95" t="n">
        <v>0.203475997</v>
      </c>
      <c r="R25" s="93"/>
      <c r="S25" s="93"/>
      <c r="T25" s="94" t="n">
        <v>1</v>
      </c>
      <c r="U25" s="95" t="n">
        <v>31.79212189</v>
      </c>
      <c r="V25" s="93"/>
      <c r="W25" s="93"/>
      <c r="X25" s="94" t="n">
        <v>1</v>
      </c>
      <c r="Y25" s="95" t="n">
        <v>276.02771</v>
      </c>
      <c r="Z25" s="93"/>
      <c r="AA25" s="93"/>
      <c r="AB25" s="93"/>
      <c r="AC25" s="93"/>
      <c r="AD25" s="93"/>
      <c r="AE25" s="93"/>
      <c r="AF25" s="94" t="n">
        <v>1</v>
      </c>
      <c r="AG25" s="95" t="n">
        <v>6.510499477</v>
      </c>
      <c r="AH25" s="93"/>
      <c r="AI25" s="93"/>
      <c r="AJ25" s="93"/>
      <c r="AK25" s="93"/>
      <c r="AL25" s="93"/>
    </row>
    <row r="26" customFormat="false" ht="15" hidden="false" customHeight="true" outlineLevel="0" collapsed="false">
      <c r="A26" s="83" t="s">
        <v>214</v>
      </c>
      <c r="B26" s="83"/>
      <c r="C26" s="92"/>
      <c r="D26" s="92"/>
      <c r="E26" s="92"/>
      <c r="F26" s="92"/>
      <c r="G26" s="94" t="n">
        <v>0.999305741827905</v>
      </c>
      <c r="H26" s="94" t="n">
        <v>0.9867</v>
      </c>
      <c r="I26" s="94" t="n">
        <v>0.502</v>
      </c>
      <c r="J26" s="93"/>
      <c r="K26" s="93"/>
      <c r="L26" s="93"/>
      <c r="M26" s="94" t="n">
        <v>0.741</v>
      </c>
      <c r="N26" s="93"/>
      <c r="O26" s="93"/>
      <c r="P26" s="94" t="n">
        <v>0.1810482</v>
      </c>
      <c r="Q26" s="95" t="n">
        <v>2.072093248</v>
      </c>
      <c r="R26" s="93"/>
      <c r="S26" s="93"/>
      <c r="T26" s="94" t="n">
        <v>0.999502063</v>
      </c>
      <c r="U26" s="95" t="n">
        <v>12.72672081</v>
      </c>
      <c r="V26" s="93"/>
      <c r="W26" s="93"/>
      <c r="X26" s="94" t="n">
        <v>0.999502063</v>
      </c>
      <c r="Y26" s="95" t="n">
        <v>284.0584717</v>
      </c>
      <c r="Z26" s="93"/>
      <c r="AA26" s="93"/>
      <c r="AB26" s="93"/>
      <c r="AC26" s="93"/>
      <c r="AD26" s="93"/>
      <c r="AE26" s="93"/>
      <c r="AF26" s="94" t="n">
        <v>0.999841094</v>
      </c>
      <c r="AG26" s="95" t="n">
        <v>5.424171448</v>
      </c>
      <c r="AH26" s="93"/>
      <c r="AI26" s="93"/>
      <c r="AJ26" s="93"/>
      <c r="AK26" s="93"/>
      <c r="AL26" s="93"/>
    </row>
    <row r="27" customFormat="false" ht="15" hidden="false" customHeight="true" outlineLevel="0" collapsed="false">
      <c r="A27" s="83" t="s">
        <v>215</v>
      </c>
      <c r="B27" s="83"/>
      <c r="C27" s="92"/>
      <c r="D27" s="92"/>
      <c r="E27" s="92"/>
      <c r="F27" s="92"/>
      <c r="G27" s="94" t="n">
        <v>0.993546516118542</v>
      </c>
      <c r="H27" s="94" t="n">
        <v>0.955</v>
      </c>
      <c r="I27" s="94" t="n">
        <v>0.1768</v>
      </c>
      <c r="J27" s="93"/>
      <c r="K27" s="94" t="n">
        <v>0.027</v>
      </c>
      <c r="L27" s="94" t="n">
        <v>0.279</v>
      </c>
      <c r="M27" s="94" t="n">
        <v>0.001</v>
      </c>
      <c r="N27" s="93"/>
      <c r="O27" s="93"/>
      <c r="P27" s="94" t="n">
        <v>0.889306486</v>
      </c>
      <c r="Q27" s="95" t="n">
        <v>17.10282135</v>
      </c>
      <c r="R27" s="93"/>
      <c r="S27" s="93"/>
      <c r="T27" s="94" t="n">
        <v>0.999299645</v>
      </c>
      <c r="U27" s="95" t="n">
        <v>36.91860199</v>
      </c>
      <c r="V27" s="93"/>
      <c r="W27" s="93"/>
      <c r="X27" s="94" t="n">
        <v>0.999299645</v>
      </c>
      <c r="Y27" s="95" t="n">
        <v>264.8687134</v>
      </c>
      <c r="Z27" s="93"/>
      <c r="AA27" s="93"/>
      <c r="AB27" s="93"/>
      <c r="AC27" s="93"/>
      <c r="AD27" s="93"/>
      <c r="AE27" s="93"/>
      <c r="AF27" s="94" t="n">
        <v>1</v>
      </c>
      <c r="AG27" s="95" t="n">
        <v>6.784402847</v>
      </c>
      <c r="AH27" s="93"/>
      <c r="AI27" s="93"/>
      <c r="AJ27" s="93"/>
      <c r="AK27" s="93"/>
      <c r="AL27" s="93"/>
    </row>
    <row r="28" customFormat="false" ht="15" hidden="false" customHeight="true" outlineLevel="0" collapsed="false">
      <c r="A28" s="83" t="s">
        <v>216</v>
      </c>
      <c r="B28" s="83"/>
      <c r="C28" s="92"/>
      <c r="D28" s="92"/>
      <c r="E28" s="92"/>
      <c r="F28" s="92"/>
      <c r="G28" s="94" t="n">
        <v>0.996287551145066</v>
      </c>
      <c r="H28" s="94" t="n">
        <v>0.987</v>
      </c>
      <c r="I28" s="94" t="n">
        <v>0.4583</v>
      </c>
      <c r="J28" s="93"/>
      <c r="K28" s="94" t="n">
        <v>0.206</v>
      </c>
      <c r="L28" s="94" t="n">
        <v>0.16</v>
      </c>
      <c r="M28" s="94" t="n">
        <v>0.01</v>
      </c>
      <c r="N28" s="93"/>
      <c r="O28" s="93"/>
      <c r="P28" s="94" t="n">
        <v>0.610969543</v>
      </c>
      <c r="Q28" s="95" t="n">
        <v>8.621789932</v>
      </c>
      <c r="R28" s="93"/>
      <c r="S28" s="93"/>
      <c r="T28" s="94" t="n">
        <v>0.999969602</v>
      </c>
      <c r="U28" s="95" t="n">
        <v>29.80799294</v>
      </c>
      <c r="V28" s="93"/>
      <c r="W28" s="93"/>
      <c r="X28" s="94" t="n">
        <v>0.999969602</v>
      </c>
      <c r="Y28" s="95" t="n">
        <v>313.0452576</v>
      </c>
      <c r="Z28" s="93"/>
      <c r="AA28" s="93"/>
      <c r="AB28" s="93"/>
      <c r="AC28" s="93"/>
      <c r="AD28" s="93"/>
      <c r="AE28" s="93"/>
      <c r="AF28" s="94" t="n">
        <v>0.999976397</v>
      </c>
      <c r="AG28" s="95" t="n">
        <v>7.330740929</v>
      </c>
      <c r="AH28" s="93"/>
      <c r="AI28" s="93"/>
      <c r="AJ28" s="93"/>
      <c r="AK28" s="93"/>
      <c r="AL28" s="93"/>
    </row>
    <row r="29" customFormat="false" ht="15" hidden="false" customHeight="true" outlineLevel="0" collapsed="false">
      <c r="A29" s="83" t="s">
        <v>217</v>
      </c>
      <c r="B29" s="83"/>
      <c r="C29" s="92"/>
      <c r="D29" s="92"/>
      <c r="E29" s="92"/>
      <c r="F29" s="92"/>
      <c r="G29" s="94" t="n">
        <v>0.999999999997486</v>
      </c>
      <c r="H29" s="94" t="n">
        <v>0.6319</v>
      </c>
      <c r="I29" s="94" t="n">
        <v>0.0464</v>
      </c>
      <c r="J29" s="93"/>
      <c r="K29" s="94" t="n">
        <v>0.024</v>
      </c>
      <c r="L29" s="94" t="n">
        <v>0.119</v>
      </c>
      <c r="M29" s="94" t="n">
        <v>0.166</v>
      </c>
      <c r="N29" s="93"/>
      <c r="O29" s="93"/>
      <c r="P29" s="94" t="n">
        <v>0.988815725</v>
      </c>
      <c r="Q29" s="95" t="n">
        <v>50.70539474</v>
      </c>
      <c r="R29" s="93"/>
      <c r="S29" s="93"/>
      <c r="T29" s="94" t="n">
        <v>0.99765569</v>
      </c>
      <c r="U29" s="95" t="n">
        <v>28.40934563</v>
      </c>
      <c r="V29" s="93"/>
      <c r="W29" s="93"/>
      <c r="X29" s="94" t="n">
        <v>0.99765569</v>
      </c>
      <c r="Y29" s="95" t="n">
        <v>194.9385681</v>
      </c>
      <c r="Z29" s="93"/>
      <c r="AA29" s="93"/>
      <c r="AB29" s="93"/>
      <c r="AC29" s="93"/>
      <c r="AD29" s="93"/>
      <c r="AE29" s="93"/>
      <c r="AF29" s="94" t="n">
        <v>1</v>
      </c>
      <c r="AG29" s="95" t="n">
        <v>7.159842491</v>
      </c>
      <c r="AH29" s="93"/>
      <c r="AI29" s="93"/>
      <c r="AJ29" s="93"/>
      <c r="AK29" s="93"/>
      <c r="AL29" s="93"/>
    </row>
    <row r="30" customFormat="false" ht="15" hidden="false" customHeight="true" outlineLevel="0" collapsed="false">
      <c r="A30" s="83" t="s">
        <v>218</v>
      </c>
      <c r="B30" s="83"/>
      <c r="C30" s="92"/>
      <c r="D30" s="92"/>
      <c r="E30" s="92"/>
      <c r="F30" s="92"/>
      <c r="G30" s="94" t="n">
        <v>0.998401824640638</v>
      </c>
      <c r="H30" s="94" t="n">
        <v>0.8629</v>
      </c>
      <c r="I30" s="94" t="n">
        <v>0.2724</v>
      </c>
      <c r="J30" s="93"/>
      <c r="K30" s="94" t="n">
        <v>0.146</v>
      </c>
      <c r="L30" s="94" t="n">
        <v>0.557</v>
      </c>
      <c r="M30" s="94" t="n">
        <v>0.394</v>
      </c>
      <c r="N30" s="93"/>
      <c r="O30" s="93"/>
      <c r="P30" s="94" t="n">
        <v>0.988551795</v>
      </c>
      <c r="Q30" s="95" t="n">
        <v>140.7092743</v>
      </c>
      <c r="R30" s="93"/>
      <c r="S30" s="93"/>
      <c r="T30" s="94" t="n">
        <v>0.9878878</v>
      </c>
      <c r="U30" s="95" t="n">
        <v>39.36196136</v>
      </c>
      <c r="V30" s="93"/>
      <c r="W30" s="93"/>
      <c r="X30" s="94" t="n">
        <v>0.9878878</v>
      </c>
      <c r="Y30" s="95" t="n">
        <v>63.12047577</v>
      </c>
      <c r="Z30" s="93"/>
      <c r="AA30" s="93"/>
      <c r="AB30" s="93"/>
      <c r="AC30" s="93"/>
      <c r="AD30" s="93"/>
      <c r="AE30" s="93"/>
      <c r="AF30" s="94" t="n">
        <v>0.999180317</v>
      </c>
      <c r="AG30" s="95" t="n">
        <v>6.137604237</v>
      </c>
      <c r="AH30" s="93"/>
      <c r="AI30" s="93"/>
      <c r="AJ30" s="93"/>
      <c r="AK30" s="93"/>
      <c r="AL30" s="93"/>
    </row>
    <row r="31" customFormat="false" ht="15" hidden="false" customHeight="true" outlineLevel="0" collapsed="false">
      <c r="A31" s="83" t="s">
        <v>219</v>
      </c>
      <c r="B31" s="83"/>
      <c r="C31" s="92"/>
      <c r="D31" s="92"/>
      <c r="E31" s="92"/>
      <c r="F31" s="92"/>
      <c r="G31" s="94" t="n">
        <v>0.991230539900499</v>
      </c>
      <c r="H31" s="94" t="n">
        <v>0.9172</v>
      </c>
      <c r="I31" s="94" t="n">
        <v>0.3509</v>
      </c>
      <c r="J31" s="93"/>
      <c r="K31" s="94" t="n">
        <v>0.094</v>
      </c>
      <c r="L31" s="94" t="n">
        <v>0.49</v>
      </c>
      <c r="M31" s="94" t="n">
        <v>0.422</v>
      </c>
      <c r="N31" s="93"/>
      <c r="O31" s="93"/>
      <c r="P31" s="94" t="n">
        <v>0.992429495</v>
      </c>
      <c r="Q31" s="95" t="n">
        <v>123.9866486</v>
      </c>
      <c r="R31" s="93"/>
      <c r="S31" s="93"/>
      <c r="T31" s="94" t="n">
        <v>0.995232582</v>
      </c>
      <c r="U31" s="95" t="n">
        <v>31.66501617</v>
      </c>
      <c r="V31" s="93"/>
      <c r="W31" s="93"/>
      <c r="X31" s="94" t="n">
        <v>0.995232582</v>
      </c>
      <c r="Y31" s="95" t="n">
        <v>87.64247131</v>
      </c>
      <c r="Z31" s="93"/>
      <c r="AA31" s="93"/>
      <c r="AB31" s="93"/>
      <c r="AC31" s="93"/>
      <c r="AD31" s="93"/>
      <c r="AE31" s="93"/>
      <c r="AF31" s="94" t="n">
        <v>0.999726415</v>
      </c>
      <c r="AG31" s="95" t="n">
        <v>5.956520557</v>
      </c>
      <c r="AH31" s="93"/>
      <c r="AI31" s="93"/>
      <c r="AJ31" s="93"/>
      <c r="AK31" s="93"/>
      <c r="AL31" s="93"/>
    </row>
    <row r="32" customFormat="false" ht="15" hidden="false" customHeight="true" outlineLevel="0" collapsed="false">
      <c r="A32" s="83" t="s">
        <v>220</v>
      </c>
      <c r="B32" s="83"/>
      <c r="C32" s="92"/>
      <c r="D32" s="92"/>
      <c r="E32" s="92"/>
      <c r="F32" s="92"/>
      <c r="G32" s="94" t="n">
        <v>0.9872019936439</v>
      </c>
      <c r="H32" s="94" t="n">
        <v>0.9817</v>
      </c>
      <c r="I32" s="94" t="n">
        <v>0.3905</v>
      </c>
      <c r="J32" s="93"/>
      <c r="K32" s="94" t="n">
        <v>0.208</v>
      </c>
      <c r="L32" s="94" t="n">
        <v>0.13</v>
      </c>
      <c r="M32" s="94" t="n">
        <v>0.627</v>
      </c>
      <c r="N32" s="93"/>
      <c r="O32" s="93"/>
      <c r="P32" s="94" t="n">
        <v>0.715702534</v>
      </c>
      <c r="Q32" s="95" t="n">
        <v>9.044802666</v>
      </c>
      <c r="R32" s="93"/>
      <c r="S32" s="93"/>
      <c r="T32" s="94" t="n">
        <v>0.997631848</v>
      </c>
      <c r="U32" s="95" t="n">
        <v>31.09648895</v>
      </c>
      <c r="V32" s="93"/>
      <c r="W32" s="93"/>
      <c r="X32" s="94" t="n">
        <v>0.997631848</v>
      </c>
      <c r="Y32" s="95" t="n">
        <v>245.7978821</v>
      </c>
      <c r="Z32" s="93"/>
      <c r="AA32" s="93"/>
      <c r="AB32" s="93"/>
      <c r="AC32" s="93"/>
      <c r="AD32" s="93"/>
      <c r="AE32" s="93"/>
      <c r="AF32" s="94" t="n">
        <v>0.998959184</v>
      </c>
      <c r="AG32" s="95" t="n">
        <v>7.360467434</v>
      </c>
      <c r="AH32" s="93"/>
      <c r="AI32" s="93"/>
      <c r="AJ32" s="93"/>
      <c r="AK32" s="93"/>
      <c r="AL32" s="93"/>
    </row>
    <row r="33" customFormat="false" ht="15" hidden="false" customHeight="true" outlineLevel="0" collapsed="false">
      <c r="A33" s="83" t="s">
        <v>221</v>
      </c>
      <c r="B33" s="83"/>
      <c r="C33" s="92"/>
      <c r="D33" s="92"/>
      <c r="E33" s="92"/>
      <c r="F33" s="92"/>
      <c r="G33" s="94" t="n">
        <v>0.992926333374146</v>
      </c>
      <c r="H33" s="94" t="n">
        <v>0.9097</v>
      </c>
      <c r="I33" s="94" t="n">
        <v>0.3627</v>
      </c>
      <c r="J33" s="93"/>
      <c r="K33" s="94" t="n">
        <v>0.096</v>
      </c>
      <c r="L33" s="94" t="n">
        <v>0.501</v>
      </c>
      <c r="M33" s="94" t="n">
        <v>0.36</v>
      </c>
      <c r="N33" s="93"/>
      <c r="O33" s="93"/>
      <c r="P33" s="94" t="n">
        <v>0.889131546</v>
      </c>
      <c r="Q33" s="95" t="n">
        <v>24.03204155</v>
      </c>
      <c r="R33" s="93"/>
      <c r="S33" s="93"/>
      <c r="T33" s="94" t="n">
        <v>0.998840928</v>
      </c>
      <c r="U33" s="95" t="n">
        <v>28.45929146</v>
      </c>
      <c r="V33" s="93"/>
      <c r="W33" s="93"/>
      <c r="X33" s="94" t="n">
        <v>0.998840928</v>
      </c>
      <c r="Y33" s="95" t="n">
        <v>150.6826172</v>
      </c>
      <c r="Z33" s="93"/>
      <c r="AA33" s="93"/>
      <c r="AB33" s="93"/>
      <c r="AC33" s="93"/>
      <c r="AD33" s="93"/>
      <c r="AE33" s="93"/>
      <c r="AF33" s="94" t="n">
        <v>0.999884963</v>
      </c>
      <c r="AG33" s="95" t="n">
        <v>6.850527287</v>
      </c>
      <c r="AH33" s="93"/>
      <c r="AI33" s="93"/>
      <c r="AJ33" s="93"/>
      <c r="AK33" s="93"/>
      <c r="AL33" s="93"/>
    </row>
    <row r="34" customFormat="false" ht="15" hidden="false" customHeight="true" outlineLevel="0" collapsed="false">
      <c r="A34" s="83" t="s">
        <v>222</v>
      </c>
      <c r="B34" s="83"/>
      <c r="C34" s="92"/>
      <c r="D34" s="92"/>
      <c r="E34" s="92"/>
      <c r="F34" s="92"/>
      <c r="G34" s="94" t="n">
        <v>0.989287874878742</v>
      </c>
      <c r="H34" s="94" t="n">
        <v>0.8741</v>
      </c>
      <c r="I34" s="94" t="n">
        <v>0.4512</v>
      </c>
      <c r="J34" s="93"/>
      <c r="K34" s="94" t="n">
        <v>0.171</v>
      </c>
      <c r="L34" s="94" t="n">
        <v>0.352</v>
      </c>
      <c r="M34" s="94" t="n">
        <v>0.184</v>
      </c>
      <c r="N34" s="93"/>
      <c r="O34" s="93"/>
      <c r="P34" s="94" t="n">
        <v>0.932395399</v>
      </c>
      <c r="Q34" s="95" t="n">
        <v>19.32298851</v>
      </c>
      <c r="R34" s="93"/>
      <c r="S34" s="93"/>
      <c r="T34" s="94" t="n">
        <v>0.995578468</v>
      </c>
      <c r="U34" s="95" t="n">
        <v>21.45384598</v>
      </c>
      <c r="V34" s="93"/>
      <c r="W34" s="93"/>
      <c r="X34" s="94" t="n">
        <v>0.995578468</v>
      </c>
      <c r="Y34" s="95" t="n">
        <v>178.1475372</v>
      </c>
      <c r="Z34" s="93"/>
      <c r="AA34" s="93"/>
      <c r="AB34" s="93"/>
      <c r="AC34" s="93"/>
      <c r="AD34" s="93"/>
      <c r="AE34" s="93"/>
      <c r="AF34" s="94" t="n">
        <v>0.999093115</v>
      </c>
      <c r="AG34" s="95" t="n">
        <v>6.317211628</v>
      </c>
      <c r="AH34" s="93"/>
      <c r="AI34" s="93"/>
      <c r="AJ34" s="93"/>
      <c r="AK34" s="93"/>
      <c r="AL34" s="93"/>
    </row>
    <row r="35" customFormat="false" ht="15" hidden="false" customHeight="true" outlineLevel="0" collapsed="false">
      <c r="A35" s="83" t="s">
        <v>223</v>
      </c>
      <c r="B35" s="83"/>
      <c r="C35" s="92"/>
      <c r="D35" s="92"/>
      <c r="E35" s="92"/>
      <c r="F35" s="92"/>
      <c r="G35" s="94" t="n">
        <v>0.995749965182734</v>
      </c>
      <c r="H35" s="94" t="n">
        <v>0.9713</v>
      </c>
      <c r="I35" s="94" t="n">
        <v>0.4493</v>
      </c>
      <c r="J35" s="93"/>
      <c r="K35" s="94" t="n">
        <v>0.131</v>
      </c>
      <c r="L35" s="94" t="n">
        <v>0.417</v>
      </c>
      <c r="M35" s="94" t="n">
        <v>0.239</v>
      </c>
      <c r="N35" s="93"/>
      <c r="O35" s="93"/>
      <c r="P35" s="94" t="n">
        <v>0.790216386</v>
      </c>
      <c r="Q35" s="95" t="n">
        <v>11.8042469</v>
      </c>
      <c r="R35" s="93"/>
      <c r="S35" s="93"/>
      <c r="T35" s="94" t="n">
        <v>0.996810615</v>
      </c>
      <c r="U35" s="95" t="n">
        <v>27.57565498</v>
      </c>
      <c r="V35" s="93"/>
      <c r="W35" s="93"/>
      <c r="X35" s="94" t="n">
        <v>0.996810615</v>
      </c>
      <c r="Y35" s="95" t="n">
        <v>208.9627228</v>
      </c>
      <c r="Z35" s="93"/>
      <c r="AA35" s="93"/>
      <c r="AB35" s="93"/>
      <c r="AC35" s="93"/>
      <c r="AD35" s="93"/>
      <c r="AE35" s="93"/>
      <c r="AF35" s="94" t="n">
        <v>0.999100566</v>
      </c>
      <c r="AG35" s="95" t="n">
        <v>6.58727026</v>
      </c>
      <c r="AH35" s="93"/>
      <c r="AI35" s="93"/>
      <c r="AJ35" s="93"/>
      <c r="AK35" s="93"/>
      <c r="AL35" s="93"/>
    </row>
    <row r="36" customFormat="false" ht="15" hidden="false" customHeight="true" outlineLevel="0" collapsed="false">
      <c r="A36" s="83" t="s">
        <v>224</v>
      </c>
      <c r="B36" s="83"/>
      <c r="C36" s="92"/>
      <c r="D36" s="92"/>
      <c r="E36" s="92"/>
      <c r="F36" s="92"/>
      <c r="G36" s="93"/>
      <c r="H36" s="94" t="n">
        <v>0.9815</v>
      </c>
      <c r="I36" s="94" t="n">
        <v>0.4605</v>
      </c>
      <c r="J36" s="93"/>
      <c r="K36" s="94" t="n">
        <v>0.265</v>
      </c>
      <c r="L36" s="94" t="n">
        <v>0.334</v>
      </c>
      <c r="M36" s="94" t="n">
        <v>0.468</v>
      </c>
      <c r="N36" s="93"/>
      <c r="O36" s="93"/>
      <c r="P36" s="94" t="n">
        <v>0.854629874</v>
      </c>
      <c r="Q36" s="95" t="n">
        <v>15.28592968</v>
      </c>
      <c r="R36" s="93"/>
      <c r="S36" s="93"/>
      <c r="T36" s="94" t="n">
        <v>0.999034703</v>
      </c>
      <c r="U36" s="95" t="n">
        <v>33.20789719</v>
      </c>
      <c r="V36" s="93"/>
      <c r="W36" s="93"/>
      <c r="X36" s="94" t="n">
        <v>0.999034703</v>
      </c>
      <c r="Y36" s="95" t="n">
        <v>274.419281</v>
      </c>
      <c r="Z36" s="93"/>
      <c r="AA36" s="93"/>
      <c r="AB36" s="93"/>
      <c r="AC36" s="93"/>
      <c r="AD36" s="93"/>
      <c r="AE36" s="93"/>
      <c r="AF36" s="94" t="n">
        <v>1</v>
      </c>
      <c r="AG36" s="95" t="n">
        <v>7.44695282</v>
      </c>
      <c r="AH36" s="93"/>
      <c r="AI36" s="93"/>
      <c r="AJ36" s="93"/>
      <c r="AK36" s="93"/>
      <c r="AL36" s="93"/>
    </row>
  </sheetData>
  <mergeCells count="10">
    <mergeCell ref="C3:F3"/>
    <mergeCell ref="G3:J3"/>
    <mergeCell ref="K3:N3"/>
    <mergeCell ref="O3:R3"/>
    <mergeCell ref="S3:V3"/>
    <mergeCell ref="W3:Z3"/>
    <mergeCell ref="AA3:AD3"/>
    <mergeCell ref="AE3:AH3"/>
    <mergeCell ref="AI3:AL3"/>
    <mergeCell ref="AM3:AP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1" width="28"/>
    <col collapsed="false" customWidth="true" hidden="false" outlineLevel="0" max="2" min="2" style="1" width="9"/>
    <col collapsed="false" customWidth="true" hidden="false" outlineLevel="0" max="6" min="3" style="1" width="10"/>
    <col collapsed="false" customWidth="true" hidden="false" outlineLevel="0" max="10" min="7" style="1" width="8"/>
    <col collapsed="false" customWidth="true" hidden="false" outlineLevel="0" max="14" min="11" style="1" width="11"/>
    <col collapsed="false" customWidth="true" hidden="false" outlineLevel="0" max="38" min="15" style="1" width="7.42"/>
  </cols>
  <sheetData>
    <row r="1" customFormat="false" ht="15.75" hidden="false" customHeight="true" outlineLevel="0" collapsed="false">
      <c r="A1" s="65" t="s">
        <v>225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customFormat="false" ht="37.5" hidden="false" customHeight="true" outlineLevel="0" collapsed="false">
      <c r="A3" s="7"/>
      <c r="B3" s="7"/>
      <c r="C3" s="8" t="s">
        <v>161</v>
      </c>
      <c r="D3" s="8"/>
      <c r="E3" s="8"/>
      <c r="F3" s="8"/>
      <c r="G3" s="9" t="s">
        <v>110</v>
      </c>
      <c r="H3" s="9"/>
      <c r="I3" s="9"/>
      <c r="J3" s="9"/>
      <c r="K3" s="10" t="s">
        <v>162</v>
      </c>
      <c r="L3" s="10"/>
      <c r="M3" s="10"/>
      <c r="N3" s="10"/>
      <c r="O3" s="11" t="s">
        <v>6</v>
      </c>
      <c r="P3" s="11"/>
      <c r="Q3" s="11"/>
      <c r="R3" s="11"/>
      <c r="S3" s="11" t="s">
        <v>7</v>
      </c>
      <c r="T3" s="11"/>
      <c r="U3" s="11"/>
      <c r="V3" s="11"/>
      <c r="W3" s="11" t="s">
        <v>8</v>
      </c>
      <c r="X3" s="11"/>
      <c r="Y3" s="11"/>
      <c r="Z3" s="11"/>
      <c r="AA3" s="11" t="s">
        <v>9</v>
      </c>
      <c r="AB3" s="11"/>
      <c r="AC3" s="11"/>
      <c r="AD3" s="11"/>
      <c r="AE3" s="11" t="s">
        <v>163</v>
      </c>
      <c r="AF3" s="11"/>
      <c r="AG3" s="11"/>
      <c r="AH3" s="11"/>
      <c r="AI3" s="11" t="s">
        <v>11</v>
      </c>
      <c r="AJ3" s="11"/>
      <c r="AK3" s="11"/>
      <c r="AL3" s="11"/>
      <c r="AM3" s="12" t="s">
        <v>164</v>
      </c>
      <c r="AN3" s="12"/>
      <c r="AO3" s="12"/>
      <c r="AP3" s="12"/>
    </row>
    <row r="4" customFormat="false" ht="27.75" hidden="false" customHeight="true" outlineLevel="0" collapsed="false">
      <c r="A4" s="14" t="s">
        <v>165</v>
      </c>
      <c r="B4" s="14"/>
      <c r="C4" s="14" t="s">
        <v>15</v>
      </c>
      <c r="D4" s="14" t="s">
        <v>16</v>
      </c>
      <c r="E4" s="14" t="s">
        <v>17</v>
      </c>
      <c r="F4" s="14" t="s">
        <v>18</v>
      </c>
      <c r="G4" s="14" t="s">
        <v>15</v>
      </c>
      <c r="H4" s="14" t="s">
        <v>16</v>
      </c>
      <c r="I4" s="14" t="s">
        <v>17</v>
      </c>
      <c r="J4" s="14" t="s">
        <v>19</v>
      </c>
      <c r="K4" s="14" t="s">
        <v>20</v>
      </c>
      <c r="L4" s="14" t="s">
        <v>21</v>
      </c>
      <c r="M4" s="14" t="s">
        <v>166</v>
      </c>
      <c r="N4" s="14" t="s">
        <v>23</v>
      </c>
      <c r="O4" s="14" t="s">
        <v>24</v>
      </c>
      <c r="P4" s="14" t="s">
        <v>25</v>
      </c>
      <c r="Q4" s="14" t="s">
        <v>26</v>
      </c>
      <c r="R4" s="14" t="s">
        <v>27</v>
      </c>
      <c r="S4" s="14" t="s">
        <v>24</v>
      </c>
      <c r="T4" s="14" t="s">
        <v>25</v>
      </c>
      <c r="U4" s="14" t="s">
        <v>26</v>
      </c>
      <c r="V4" s="14" t="s">
        <v>27</v>
      </c>
      <c r="W4" s="14" t="s">
        <v>24</v>
      </c>
      <c r="X4" s="14" t="s">
        <v>25</v>
      </c>
      <c r="Y4" s="14" t="s">
        <v>26</v>
      </c>
      <c r="Z4" s="14" t="s">
        <v>27</v>
      </c>
      <c r="AA4" s="14" t="s">
        <v>24</v>
      </c>
      <c r="AB4" s="14" t="s">
        <v>25</v>
      </c>
      <c r="AC4" s="14" t="s">
        <v>26</v>
      </c>
      <c r="AD4" s="14" t="s">
        <v>27</v>
      </c>
      <c r="AE4" s="14" t="s">
        <v>24</v>
      </c>
      <c r="AF4" s="14" t="s">
        <v>25</v>
      </c>
      <c r="AG4" s="14" t="s">
        <v>26</v>
      </c>
      <c r="AH4" s="14" t="s">
        <v>27</v>
      </c>
      <c r="AI4" s="14" t="s">
        <v>24</v>
      </c>
      <c r="AJ4" s="14" t="s">
        <v>25</v>
      </c>
      <c r="AK4" s="14" t="s">
        <v>26</v>
      </c>
      <c r="AL4" s="14" t="s">
        <v>27</v>
      </c>
      <c r="AM4" s="15" t="s">
        <v>28</v>
      </c>
      <c r="AN4" s="15" t="s">
        <v>29</v>
      </c>
      <c r="AO4" s="15" t="s">
        <v>30</v>
      </c>
      <c r="AP4" s="15" t="s">
        <v>31</v>
      </c>
    </row>
    <row r="5" customFormat="false" ht="27.75" hidden="false" customHeight="true" outlineLevel="0" collapsed="false">
      <c r="A5" s="82" t="s">
        <v>169</v>
      </c>
      <c r="B5" s="83"/>
      <c r="C5" s="84" t="n">
        <f aca="false">IF('Burden x Vehicle Matrix'!C8="","",'Burden x Vehicle Matrix'!C8)</f>
        <v>9680</v>
      </c>
      <c r="D5" s="84" t="n">
        <f aca="false">IF('Burden x Vehicle Matrix'!D8="","",'Burden x Vehicle Matrix'!D8)</f>
        <v>289102</v>
      </c>
      <c r="E5" s="84" t="n">
        <f aca="false">IF('Burden x Vehicle Matrix'!E8="","",'Burden x Vehicle Matrix'!E8)</f>
        <v>17997</v>
      </c>
      <c r="F5" s="84" t="n">
        <f aca="false">IF('Burden x Vehicle Matrix'!F8="","",'Burden x Vehicle Matrix'!F8)</f>
        <v>316779</v>
      </c>
      <c r="G5" s="85" t="n">
        <f aca="false">IF('Burden x Vehicle Matrix'!G8="","",'Burden x Vehicle Matrix'!G8)</f>
        <v>0.5265</v>
      </c>
      <c r="H5" s="85" t="n">
        <f aca="false">IF('Burden x Vehicle Matrix'!H8="","",'Burden x Vehicle Matrix'!H8)</f>
        <v>0.7805</v>
      </c>
      <c r="I5" s="85" t="n">
        <f aca="false">IF('Burden x Vehicle Matrix'!I8="","",'Burden x Vehicle Matrix'!I8)</f>
        <v>0.4553</v>
      </c>
      <c r="J5" s="85" t="n">
        <f aca="false">IF('Burden x Vehicle Matrix'!J8="","",'Burden x Vehicle Matrix'!J8)</f>
        <v>0.5007</v>
      </c>
      <c r="K5" s="85" t="str">
        <f aca="false">IF('Burden x Vehicle Matrix'!K8="","",'Burden x Vehicle Matrix'!K8)</f>
        <v>84.4% (1999)</v>
      </c>
      <c r="L5" s="85" t="str">
        <f aca="false">IF('Burden x Vehicle Matrix'!L8="","",'Burden x Vehicle Matrix'!L8)</f>
        <v>28.6% (1999)</v>
      </c>
      <c r="M5" s="85" t="str">
        <f aca="false">IF('Burden x Vehicle Matrix'!M8="","",'Burden x Vehicle Matrix'!M8)</f>
        <v>30.9% (2011)</v>
      </c>
      <c r="N5" s="85" t="str">
        <f aca="false">IF('Burden x Vehicle Matrix'!N8="","",'Burden x Vehicle Matrix'!N8)</f>
        <v>52.2% (1999)</v>
      </c>
      <c r="O5" s="85" t="n">
        <f aca="false">IF('Burden x Vehicle Matrix'!O8="","",'Burden x Vehicle Matrix'!O8)</f>
        <v>0.95</v>
      </c>
      <c r="P5" s="85" t="n">
        <f aca="false">IF('Burden x Vehicle Matrix'!P8="","",'Burden x Vehicle Matrix'!P8)</f>
        <v>0.47</v>
      </c>
      <c r="Q5" s="86" t="n">
        <f aca="false">IF('Burden x Vehicle Matrix'!Q8="","",'Burden x Vehicle Matrix'!Q8)</f>
        <v>55</v>
      </c>
      <c r="R5" s="85" t="n">
        <f aca="false">IF('Burden x Vehicle Matrix'!R8="","",'Burden x Vehicle Matrix'!R8)</f>
        <v>0.6</v>
      </c>
      <c r="S5" s="85" t="n">
        <f aca="false">IF('Burden x Vehicle Matrix'!S8="","",'Burden x Vehicle Matrix'!S8)</f>
        <v>0.95</v>
      </c>
      <c r="T5" s="85" t="n">
        <f aca="false">IF('Burden x Vehicle Matrix'!T8="","",'Burden x Vehicle Matrix'!T8)</f>
        <v>0.69</v>
      </c>
      <c r="U5" s="86" t="n">
        <f aca="false">IF('Burden x Vehicle Matrix'!U8="","",'Burden x Vehicle Matrix'!U8)</f>
        <v>30</v>
      </c>
      <c r="V5" s="85" t="n">
        <f aca="false">IF('Burden x Vehicle Matrix'!V8="","",'Burden x Vehicle Matrix'!V8)</f>
        <v>0.55</v>
      </c>
      <c r="W5" s="85" t="n">
        <f aca="false">IF('Burden x Vehicle Matrix'!W8="","",'Burden x Vehicle Matrix'!W8)</f>
        <v>0.74</v>
      </c>
      <c r="X5" s="85" t="str">
        <f aca="false">IF('Burden x Vehicle Matrix'!X8="","",'Burden x Vehicle Matrix'!X8)</f>
        <v>n/a</v>
      </c>
      <c r="Y5" s="86" t="n">
        <f aca="false">IF('Burden x Vehicle Matrix'!Y8="","",'Burden x Vehicle Matrix'!Y8)</f>
        <v>164</v>
      </c>
      <c r="Z5" s="85" t="str">
        <f aca="false">IF('Burden x Vehicle Matrix'!Z8="","",'Burden x Vehicle Matrix'!Z8)</f>
        <v>n/a</v>
      </c>
      <c r="AA5" s="85" t="n">
        <f aca="false">IF('Burden x Vehicle Matrix'!AA8="","",'Burden x Vehicle Matrix'!AA8)</f>
        <v>0.5</v>
      </c>
      <c r="AB5" s="85" t="n">
        <f aca="false">IF('Burden x Vehicle Matrix'!AB8="","",'Burden x Vehicle Matrix'!AB8)</f>
        <v>0.74</v>
      </c>
      <c r="AC5" s="86" t="n">
        <f aca="false">IF('Burden x Vehicle Matrix'!AC8="","",'Burden x Vehicle Matrix'!AC8)</f>
        <v>141</v>
      </c>
      <c r="AD5" s="85" t="n">
        <f aca="false">IF('Burden x Vehicle Matrix'!AD8="","",'Burden x Vehicle Matrix'!AD8)</f>
        <v>0.64</v>
      </c>
      <c r="AE5" s="85" t="str">
        <f aca="false">IF('Burden x Vehicle Matrix'!AE8="","",'Burden x Vehicle Matrix'!AE8)</f>
        <v>n/a</v>
      </c>
      <c r="AF5" s="85" t="str">
        <f aca="false">IF('Burden x Vehicle Matrix'!AF8="","",'Burden x Vehicle Matrix'!AF8)</f>
        <v>n/a</v>
      </c>
      <c r="AG5" s="86" t="str">
        <f aca="false">IF('Burden x Vehicle Matrix'!AG8="","",'Burden x Vehicle Matrix'!AG8)</f>
        <v>n/a</v>
      </c>
      <c r="AH5" s="85" t="str">
        <f aca="false">IF('Burden x Vehicle Matrix'!AH8="","",'Burden x Vehicle Matrix'!AH8)</f>
        <v>n/a</v>
      </c>
      <c r="AI5" s="85" t="str">
        <f aca="false">IF('Burden x Vehicle Matrix'!AI8="","",'Burden x Vehicle Matrix'!AI8)</f>
        <v>n/a</v>
      </c>
      <c r="AJ5" s="85" t="str">
        <f aca="false">IF('Burden x Vehicle Matrix'!AJ8="","",'Burden x Vehicle Matrix'!AJ8)</f>
        <v>n/a</v>
      </c>
      <c r="AK5" s="86" t="str">
        <f aca="false">IF('Burden x Vehicle Matrix'!AK8="","",'Burden x Vehicle Matrix'!AK8)</f>
        <v>n/a</v>
      </c>
      <c r="AL5" s="85" t="str">
        <f aca="false">IF('Burden x Vehicle Matrix'!AL8="","",'Burden x Vehicle Matrix'!AL8)</f>
        <v>n/a</v>
      </c>
      <c r="AM5" s="87" t="n">
        <v>4.26</v>
      </c>
      <c r="AN5" s="88" t="n">
        <v>0.77</v>
      </c>
      <c r="AO5" s="97" t="s">
        <v>38</v>
      </c>
      <c r="AP5" s="88" t="n">
        <v>0.322</v>
      </c>
    </row>
    <row r="6" customFormat="false" ht="15" hidden="false" customHeight="true" outlineLevel="0" collapsed="false">
      <c r="A6" s="89" t="s">
        <v>226</v>
      </c>
      <c r="B6" s="90"/>
      <c r="C6" s="91"/>
      <c r="D6" s="91"/>
      <c r="E6" s="91"/>
      <c r="F6" s="91"/>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row>
    <row r="7" customFormat="false" ht="15" hidden="false" customHeight="true" outlineLevel="0" collapsed="false">
      <c r="A7" s="83" t="s">
        <v>185</v>
      </c>
      <c r="B7" s="83"/>
      <c r="C7" s="92"/>
      <c r="D7" s="92"/>
      <c r="E7" s="92"/>
      <c r="F7" s="92"/>
      <c r="G7" s="93"/>
      <c r="H7" s="93"/>
      <c r="I7" s="93"/>
      <c r="J7" s="93"/>
      <c r="K7" s="94" t="n">
        <v>0.018</v>
      </c>
      <c r="L7" s="94" t="n">
        <v>0.214</v>
      </c>
      <c r="M7" s="94" t="n">
        <v>0.251</v>
      </c>
      <c r="N7" s="93"/>
      <c r="O7" s="93"/>
      <c r="P7" s="93"/>
      <c r="Q7" s="93"/>
      <c r="R7" s="93"/>
      <c r="S7" s="93"/>
      <c r="T7" s="93"/>
      <c r="U7" s="93"/>
      <c r="V7" s="93"/>
      <c r="W7" s="93"/>
      <c r="X7" s="93"/>
      <c r="Y7" s="93"/>
      <c r="Z7" s="93"/>
      <c r="AA7" s="93"/>
      <c r="AB7" s="93"/>
      <c r="AC7" s="93"/>
      <c r="AD7" s="93"/>
      <c r="AE7" s="93"/>
      <c r="AF7" s="93"/>
      <c r="AG7" s="93"/>
      <c r="AH7" s="93"/>
      <c r="AI7" s="93"/>
      <c r="AJ7" s="93"/>
      <c r="AK7" s="93"/>
      <c r="AL7" s="93"/>
    </row>
    <row r="8" customFormat="false" ht="15" hidden="false" customHeight="true" outlineLevel="0" collapsed="false">
      <c r="A8" s="83" t="s">
        <v>184</v>
      </c>
      <c r="B8" s="83"/>
      <c r="C8" s="92"/>
      <c r="D8" s="92"/>
      <c r="E8" s="92"/>
      <c r="F8" s="92"/>
      <c r="G8" s="93"/>
      <c r="H8" s="93"/>
      <c r="I8" s="93"/>
      <c r="J8" s="93"/>
      <c r="K8" s="94" t="n">
        <v>0.004</v>
      </c>
      <c r="L8" s="94" t="n">
        <v>0.212</v>
      </c>
      <c r="M8" s="94" t="n">
        <v>0.406</v>
      </c>
      <c r="N8" s="93"/>
      <c r="O8" s="93"/>
      <c r="P8" s="93"/>
      <c r="Q8" s="93"/>
      <c r="R8" s="93"/>
      <c r="S8" s="93"/>
      <c r="T8" s="93"/>
      <c r="U8" s="93"/>
      <c r="V8" s="93"/>
      <c r="W8" s="93"/>
      <c r="X8" s="93"/>
      <c r="Y8" s="93"/>
      <c r="Z8" s="93"/>
      <c r="AA8" s="93"/>
      <c r="AB8" s="93"/>
      <c r="AC8" s="93"/>
      <c r="AD8" s="93"/>
      <c r="AE8" s="93"/>
      <c r="AF8" s="93"/>
      <c r="AG8" s="93"/>
      <c r="AH8" s="93"/>
      <c r="AI8" s="93"/>
      <c r="AJ8" s="93"/>
      <c r="AK8" s="93"/>
      <c r="AL8" s="93"/>
    </row>
  </sheetData>
  <mergeCells count="10">
    <mergeCell ref="C3:F3"/>
    <mergeCell ref="G3:J3"/>
    <mergeCell ref="K3:N3"/>
    <mergeCell ref="O3:R3"/>
    <mergeCell ref="S3:V3"/>
    <mergeCell ref="W3:Z3"/>
    <mergeCell ref="AA3:AD3"/>
    <mergeCell ref="AE3:AH3"/>
    <mergeCell ref="AI3:AL3"/>
    <mergeCell ref="AM3:AP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8"/>
  <sheetViews>
    <sheetView showFormulas="false" showGridLines="false" showRowColHeaders="true" showZeros="true" rightToLeft="false" tabSelected="false" showOutlineSymbols="true" defaultGridColor="true" view="normal" topLeftCell="Q1" colorId="64" zoomScale="100" zoomScaleNormal="100" zoomScalePageLayoutView="100" workbookViewId="0">
      <selection pane="topLeft" activeCell="AQ5" activeCellId="0" sqref="AQ5"/>
    </sheetView>
  </sheetViews>
  <sheetFormatPr defaultColWidth="8.5703125" defaultRowHeight="15" zeroHeight="false" outlineLevelRow="0" outlineLevelCol="0"/>
  <cols>
    <col collapsed="false" customWidth="true" hidden="false" outlineLevel="0" max="1" min="1" style="1" width="28"/>
    <col collapsed="false" customWidth="true" hidden="false" outlineLevel="0" max="2" min="2" style="1" width="9"/>
    <col collapsed="false" customWidth="true" hidden="false" outlineLevel="0" max="6" min="3" style="1" width="10"/>
    <col collapsed="false" customWidth="true" hidden="false" outlineLevel="0" max="10" min="7" style="1" width="8"/>
    <col collapsed="false" customWidth="true" hidden="false" outlineLevel="0" max="14" min="11" style="1" width="11"/>
    <col collapsed="false" customWidth="true" hidden="false" outlineLevel="0" max="38" min="15" style="1" width="7.42"/>
  </cols>
  <sheetData>
    <row r="1" customFormat="false" ht="15.75" hidden="false" customHeight="true" outlineLevel="0" collapsed="false">
      <c r="A1" s="65" t="s">
        <v>227</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customFormat="false" ht="37.5" hidden="false" customHeight="true" outlineLevel="0" collapsed="false">
      <c r="A3" s="7"/>
      <c r="B3" s="7"/>
      <c r="C3" s="8" t="s">
        <v>161</v>
      </c>
      <c r="D3" s="8"/>
      <c r="E3" s="8"/>
      <c r="F3" s="8"/>
      <c r="G3" s="9" t="s">
        <v>110</v>
      </c>
      <c r="H3" s="9"/>
      <c r="I3" s="9"/>
      <c r="J3" s="9"/>
      <c r="K3" s="10" t="s">
        <v>162</v>
      </c>
      <c r="L3" s="10"/>
      <c r="M3" s="10"/>
      <c r="N3" s="10"/>
      <c r="O3" s="11" t="s">
        <v>6</v>
      </c>
      <c r="P3" s="11"/>
      <c r="Q3" s="11"/>
      <c r="R3" s="11"/>
      <c r="S3" s="11" t="s">
        <v>7</v>
      </c>
      <c r="T3" s="11"/>
      <c r="U3" s="11"/>
      <c r="V3" s="11"/>
      <c r="W3" s="11" t="s">
        <v>8</v>
      </c>
      <c r="X3" s="11"/>
      <c r="Y3" s="11"/>
      <c r="Z3" s="11"/>
      <c r="AA3" s="11" t="s">
        <v>9</v>
      </c>
      <c r="AB3" s="11"/>
      <c r="AC3" s="11"/>
      <c r="AD3" s="11"/>
      <c r="AE3" s="11" t="s">
        <v>163</v>
      </c>
      <c r="AF3" s="11"/>
      <c r="AG3" s="11"/>
      <c r="AH3" s="11"/>
      <c r="AI3" s="11" t="s">
        <v>11</v>
      </c>
      <c r="AJ3" s="11"/>
      <c r="AK3" s="11"/>
      <c r="AL3" s="11"/>
      <c r="AM3" s="12" t="s">
        <v>164</v>
      </c>
      <c r="AN3" s="12"/>
      <c r="AO3" s="12"/>
      <c r="AP3" s="12"/>
    </row>
    <row r="4" customFormat="false" ht="27.75" hidden="false" customHeight="true" outlineLevel="0" collapsed="false">
      <c r="A4" s="14" t="s">
        <v>165</v>
      </c>
      <c r="B4" s="14"/>
      <c r="C4" s="14" t="s">
        <v>15</v>
      </c>
      <c r="D4" s="14" t="s">
        <v>16</v>
      </c>
      <c r="E4" s="14" t="s">
        <v>17</v>
      </c>
      <c r="F4" s="14" t="s">
        <v>18</v>
      </c>
      <c r="G4" s="14" t="s">
        <v>15</v>
      </c>
      <c r="H4" s="14" t="s">
        <v>16</v>
      </c>
      <c r="I4" s="14" t="s">
        <v>17</v>
      </c>
      <c r="J4" s="14" t="s">
        <v>19</v>
      </c>
      <c r="K4" s="14" t="s">
        <v>20</v>
      </c>
      <c r="L4" s="14" t="s">
        <v>21</v>
      </c>
      <c r="M4" s="14" t="s">
        <v>166</v>
      </c>
      <c r="N4" s="14" t="s">
        <v>23</v>
      </c>
      <c r="O4" s="14" t="s">
        <v>24</v>
      </c>
      <c r="P4" s="14" t="s">
        <v>25</v>
      </c>
      <c r="Q4" s="14" t="s">
        <v>26</v>
      </c>
      <c r="R4" s="14" t="s">
        <v>27</v>
      </c>
      <c r="S4" s="14" t="s">
        <v>24</v>
      </c>
      <c r="T4" s="14" t="s">
        <v>25</v>
      </c>
      <c r="U4" s="14" t="s">
        <v>26</v>
      </c>
      <c r="V4" s="14" t="s">
        <v>27</v>
      </c>
      <c r="W4" s="14" t="s">
        <v>24</v>
      </c>
      <c r="X4" s="14" t="s">
        <v>25</v>
      </c>
      <c r="Y4" s="14" t="s">
        <v>26</v>
      </c>
      <c r="Z4" s="14" t="s">
        <v>27</v>
      </c>
      <c r="AA4" s="14" t="s">
        <v>24</v>
      </c>
      <c r="AB4" s="14" t="s">
        <v>25</v>
      </c>
      <c r="AC4" s="14" t="s">
        <v>26</v>
      </c>
      <c r="AD4" s="14" t="s">
        <v>27</v>
      </c>
      <c r="AE4" s="14" t="s">
        <v>24</v>
      </c>
      <c r="AF4" s="14" t="s">
        <v>25</v>
      </c>
      <c r="AG4" s="14" t="s">
        <v>26</v>
      </c>
      <c r="AH4" s="14" t="s">
        <v>27</v>
      </c>
      <c r="AI4" s="14" t="s">
        <v>24</v>
      </c>
      <c r="AJ4" s="14" t="s">
        <v>25</v>
      </c>
      <c r="AK4" s="14" t="s">
        <v>26</v>
      </c>
      <c r="AL4" s="14" t="s">
        <v>27</v>
      </c>
      <c r="AM4" s="15" t="s">
        <v>28</v>
      </c>
      <c r="AN4" s="15" t="s">
        <v>29</v>
      </c>
      <c r="AO4" s="15" t="s">
        <v>30</v>
      </c>
      <c r="AP4" s="15" t="s">
        <v>31</v>
      </c>
    </row>
    <row r="5" customFormat="false" ht="27.75" hidden="false" customHeight="true" outlineLevel="0" collapsed="false">
      <c r="A5" s="82" t="s">
        <v>169</v>
      </c>
      <c r="B5" s="83"/>
      <c r="C5" s="84" t="n">
        <f aca="false">IF('Burden x Vehicle Matrix'!C9="","",'Burden x Vehicle Matrix'!C9)</f>
        <v>493063</v>
      </c>
      <c r="D5" s="84" t="n">
        <f aca="false">IF('Burden x Vehicle Matrix'!D9="","",'Burden x Vehicle Matrix'!D9)</f>
        <v>2306803</v>
      </c>
      <c r="E5" s="84" t="n">
        <f aca="false">IF('Burden x Vehicle Matrix'!E9="","",'Burden x Vehicle Matrix'!E9)</f>
        <v>336170</v>
      </c>
      <c r="F5" s="84" t="n">
        <f aca="false">IF('Burden x Vehicle Matrix'!F9="","",'Burden x Vehicle Matrix'!F9)</f>
        <v>3136036</v>
      </c>
      <c r="G5" s="85" t="n">
        <f aca="false">IF('Burden x Vehicle Matrix'!G9="","",'Burden x Vehicle Matrix'!G9)</f>
        <v>0.093</v>
      </c>
      <c r="H5" s="85" t="n">
        <f aca="false">IF('Burden x Vehicle Matrix'!H9="","",'Burden x Vehicle Matrix'!H9)</f>
        <v>0.569</v>
      </c>
      <c r="I5" s="85" t="n">
        <f aca="false">IF('Burden x Vehicle Matrix'!I9="","",'Burden x Vehicle Matrix'!I9)</f>
        <v>0.568</v>
      </c>
      <c r="J5" s="85" t="n">
        <f aca="false">IF('Burden x Vehicle Matrix'!J9="","",'Burden x Vehicle Matrix'!J9)</f>
        <v>0.744</v>
      </c>
      <c r="K5" s="85" t="str">
        <f aca="false">IF('Burden x Vehicle Matrix'!K9="","",'Burden x Vehicle Matrix'!K9)</f>
        <v>32.0% (2021)</v>
      </c>
      <c r="L5" s="85" t="str">
        <f aca="false">IF('Burden x Vehicle Matrix'!L9="","",'Burden x Vehicle Matrix'!L9)</f>
        <v>10.4% (2021)</v>
      </c>
      <c r="M5" s="85" t="str">
        <f aca="false">IF('Burden x Vehicle Matrix'!M9="","",'Burden x Vehicle Matrix'!M9)</f>
        <v>42.8% (2021, RBC)</v>
      </c>
      <c r="N5" s="85" t="str">
        <f aca="false">IF('Burden x Vehicle Matrix'!N9="","",'Burden x Vehicle Matrix'!N9)</f>
        <v>20.4% (2021)</v>
      </c>
      <c r="O5" s="85" t="n">
        <f aca="false">IF('Burden x Vehicle Matrix'!O9="","",'Burden x Vehicle Matrix'!O9)</f>
        <v>1</v>
      </c>
      <c r="P5" s="85" t="n">
        <f aca="false">IF('Burden x Vehicle Matrix'!P9="","",'Burden x Vehicle Matrix'!P9)</f>
        <v>0.28</v>
      </c>
      <c r="Q5" s="86" t="n">
        <f aca="false">IF('Burden x Vehicle Matrix'!Q9="","",'Burden x Vehicle Matrix'!Q9)</f>
        <v>39</v>
      </c>
      <c r="R5" s="85" t="n">
        <f aca="false">IF('Burden x Vehicle Matrix'!R9="","",'Burden x Vehicle Matrix'!R9)</f>
        <v>0.63</v>
      </c>
      <c r="S5" s="85" t="n">
        <f aca="false">IF('Burden x Vehicle Matrix'!S9="","",'Burden x Vehicle Matrix'!S9)</f>
        <v>0.329</v>
      </c>
      <c r="T5" s="85" t="n">
        <f aca="false">IF('Burden x Vehicle Matrix'!T9="","",'Burden x Vehicle Matrix'!T9)</f>
        <v>0.903</v>
      </c>
      <c r="U5" s="86" t="n">
        <f aca="false">IF('Burden x Vehicle Matrix'!U9="","",'Burden x Vehicle Matrix'!U9)</f>
        <v>18.7</v>
      </c>
      <c r="V5" s="85" t="n">
        <f aca="false">IF('Burden x Vehicle Matrix'!V9="","",'Burden x Vehicle Matrix'!V9)</f>
        <v>0.6</v>
      </c>
      <c r="W5" s="85" t="str">
        <f aca="false">IF('Burden x Vehicle Matrix'!W9="","",'Burden x Vehicle Matrix'!W9)</f>
        <v>n/a</v>
      </c>
      <c r="X5" s="85" t="n">
        <f aca="false">IF('Burden x Vehicle Matrix'!X9="","",'Burden x Vehicle Matrix'!X9)</f>
        <v>0.54</v>
      </c>
      <c r="Y5" s="86" t="n">
        <f aca="false">IF('Burden x Vehicle Matrix'!Y9="","",'Burden x Vehicle Matrix'!Y9)</f>
        <v>38</v>
      </c>
      <c r="Z5" s="85" t="str">
        <f aca="false">IF('Burden x Vehicle Matrix'!Z9="","",'Burden x Vehicle Matrix'!Z9)</f>
        <v>n/a</v>
      </c>
      <c r="AA5" s="85" t="n">
        <f aca="false">IF('Burden x Vehicle Matrix'!AA9="","",'Burden x Vehicle Matrix'!AA9)</f>
        <v>0.05</v>
      </c>
      <c r="AB5" s="85" t="n">
        <f aca="false">IF('Burden x Vehicle Matrix'!AB9="","",'Burden x Vehicle Matrix'!AB9)</f>
        <v>0.574</v>
      </c>
      <c r="AC5" s="86" t="str">
        <f aca="false">IF('Burden x Vehicle Matrix'!AC9="","",'Burden x Vehicle Matrix'!AC9)</f>
        <v>n/a</v>
      </c>
      <c r="AD5" s="85" t="str">
        <f aca="false">IF('Burden x Vehicle Matrix'!AD9="","",'Burden x Vehicle Matrix'!AD9)</f>
        <v>n/a</v>
      </c>
      <c r="AE5" s="85" t="str">
        <f aca="false">IF('Burden x Vehicle Matrix'!AE9="","",'Burden x Vehicle Matrix'!AE9)</f>
        <v>n/a</v>
      </c>
      <c r="AF5" s="85" t="n">
        <f aca="false">IF('Burden x Vehicle Matrix'!AF9="","",'Burden x Vehicle Matrix'!AF9)</f>
        <v>0.992</v>
      </c>
      <c r="AG5" s="86" t="n">
        <f aca="false">IF('Burden x Vehicle Matrix'!AG9="","",'Burden x Vehicle Matrix'!AG9)</f>
        <v>3.9</v>
      </c>
      <c r="AH5" s="85" t="str">
        <f aca="false">IF('Burden x Vehicle Matrix'!AH9="","",'Burden x Vehicle Matrix'!AH9)</f>
        <v>n/a</v>
      </c>
      <c r="AI5" s="85" t="str">
        <f aca="false">IF('Burden x Vehicle Matrix'!AI9="","",'Burden x Vehicle Matrix'!AI9)</f>
        <v>n/a</v>
      </c>
      <c r="AJ5" s="85" t="n">
        <f aca="false">IF('Burden x Vehicle Matrix'!AJ9="","",'Burden x Vehicle Matrix'!AJ9)</f>
        <v>0.981</v>
      </c>
      <c r="AK5" s="86" t="n">
        <f aca="false">IF('Burden x Vehicle Matrix'!AK9="","",'Burden x Vehicle Matrix'!AK9)</f>
        <v>6.3</v>
      </c>
      <c r="AL5" s="85" t="str">
        <f aca="false">IF('Burden x Vehicle Matrix'!AL9="","",'Burden x Vehicle Matrix'!AL9)</f>
        <v>n/a</v>
      </c>
      <c r="AM5" s="87" t="n">
        <v>4.17</v>
      </c>
      <c r="AN5" s="88" t="n">
        <v>0.805</v>
      </c>
      <c r="AO5" s="97" t="s">
        <v>55</v>
      </c>
      <c r="AP5" s="97" t="s">
        <v>56</v>
      </c>
    </row>
    <row r="6" customFormat="false" ht="15" hidden="false" customHeight="true" outlineLevel="0" collapsed="false">
      <c r="A6" s="89" t="s">
        <v>228</v>
      </c>
      <c r="B6" s="90"/>
      <c r="C6" s="91"/>
      <c r="D6" s="91"/>
      <c r="E6" s="91"/>
      <c r="F6" s="91"/>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row>
    <row r="7" customFormat="false" ht="15" hidden="false" customHeight="true" outlineLevel="0" collapsed="false">
      <c r="A7" s="83" t="s">
        <v>229</v>
      </c>
      <c r="B7" s="83"/>
      <c r="C7" s="92"/>
      <c r="D7" s="92"/>
      <c r="E7" s="92"/>
      <c r="F7" s="92"/>
      <c r="G7" s="94" t="n">
        <v>0.282</v>
      </c>
      <c r="H7" s="94" t="n">
        <v>0.589</v>
      </c>
      <c r="I7" s="94" t="n">
        <v>0.971</v>
      </c>
      <c r="J7" s="93"/>
      <c r="K7" s="94" t="n">
        <v>0.159</v>
      </c>
      <c r="L7" s="94" t="n">
        <v>0.092</v>
      </c>
      <c r="M7" s="94" t="n">
        <v>0.586</v>
      </c>
      <c r="N7" s="94" t="n">
        <v>0.128</v>
      </c>
      <c r="O7" s="93"/>
      <c r="P7" s="94" t="n">
        <v>0.127</v>
      </c>
      <c r="Q7" s="95" t="n">
        <v>29</v>
      </c>
      <c r="R7" s="93"/>
      <c r="S7" s="93"/>
      <c r="T7" s="94" t="n">
        <v>0.782</v>
      </c>
      <c r="U7" s="95" t="n">
        <v>22.5</v>
      </c>
      <c r="V7" s="93"/>
      <c r="W7" s="93"/>
      <c r="X7" s="94" t="n">
        <v>0.579</v>
      </c>
      <c r="Y7" s="95" t="n">
        <v>70</v>
      </c>
      <c r="Z7" s="93"/>
      <c r="AA7" s="93"/>
      <c r="AB7" s="94" t="n">
        <v>0.844</v>
      </c>
      <c r="AC7" s="95" t="n">
        <v>53.7</v>
      </c>
      <c r="AD7" s="93"/>
      <c r="AE7" s="93"/>
      <c r="AF7" s="94" t="n">
        <v>0.994</v>
      </c>
      <c r="AG7" s="95" t="n">
        <v>3.5</v>
      </c>
      <c r="AH7" s="93"/>
      <c r="AI7" s="93"/>
      <c r="AJ7" s="94" t="n">
        <v>0.996</v>
      </c>
      <c r="AK7" s="95" t="n">
        <v>4.8</v>
      </c>
      <c r="AL7" s="93"/>
    </row>
    <row r="8" customFormat="false" ht="15" hidden="false" customHeight="true" outlineLevel="0" collapsed="false">
      <c r="A8" s="83" t="s">
        <v>230</v>
      </c>
      <c r="B8" s="83"/>
      <c r="C8" s="92"/>
      <c r="D8" s="92"/>
      <c r="E8" s="92"/>
      <c r="F8" s="92"/>
      <c r="G8" s="94" t="n">
        <v>0.406</v>
      </c>
      <c r="H8" s="94" t="n">
        <v>0.427</v>
      </c>
      <c r="I8" s="94" t="n">
        <v>0.994</v>
      </c>
      <c r="J8" s="93"/>
      <c r="K8" s="94" t="n">
        <v>0.329</v>
      </c>
      <c r="L8" s="94" t="n">
        <v>0.161</v>
      </c>
      <c r="M8" s="94" t="n">
        <v>0.735</v>
      </c>
      <c r="N8" s="94" t="n">
        <v>0.148</v>
      </c>
      <c r="O8" s="93"/>
      <c r="P8" s="94" t="n">
        <v>0.443</v>
      </c>
      <c r="Q8" s="95" t="n">
        <v>28.9</v>
      </c>
      <c r="R8" s="93"/>
      <c r="S8" s="93"/>
      <c r="T8" s="94" t="n">
        <v>0.87</v>
      </c>
      <c r="U8" s="95" t="n">
        <v>32.7</v>
      </c>
      <c r="V8" s="93"/>
      <c r="W8" s="93"/>
      <c r="X8" s="94" t="n">
        <v>0.496</v>
      </c>
      <c r="Y8" s="95" t="n">
        <v>48.7</v>
      </c>
      <c r="Z8" s="93"/>
      <c r="AA8" s="93"/>
      <c r="AB8" s="94" t="n">
        <v>0.812</v>
      </c>
      <c r="AC8" s="95" t="n">
        <v>81.8</v>
      </c>
      <c r="AD8" s="93"/>
      <c r="AE8" s="93"/>
      <c r="AF8" s="94" t="n">
        <v>0.99</v>
      </c>
      <c r="AG8" s="95" t="n">
        <v>3.3</v>
      </c>
      <c r="AH8" s="93"/>
      <c r="AI8" s="93"/>
      <c r="AJ8" s="94" t="n">
        <v>0.959</v>
      </c>
      <c r="AK8" s="95" t="n">
        <v>8.5</v>
      </c>
      <c r="AL8" s="93"/>
    </row>
    <row r="9" customFormat="false" ht="15" hidden="false" customHeight="true" outlineLevel="0" collapsed="false">
      <c r="A9" s="83" t="s">
        <v>231</v>
      </c>
      <c r="B9" s="83"/>
      <c r="C9" s="92"/>
      <c r="D9" s="92"/>
      <c r="E9" s="92"/>
      <c r="F9" s="92"/>
      <c r="G9" s="94" t="n">
        <v>0.483</v>
      </c>
      <c r="H9" s="94" t="n">
        <v>0.307</v>
      </c>
      <c r="I9" s="94" t="n">
        <v>0.984</v>
      </c>
      <c r="J9" s="93"/>
      <c r="K9" s="94" t="n">
        <v>0.508</v>
      </c>
      <c r="L9" s="94" t="n">
        <v>0.099</v>
      </c>
      <c r="M9" s="94" t="n">
        <v>0.522</v>
      </c>
      <c r="N9" s="94" t="n">
        <v>0.354</v>
      </c>
      <c r="O9" s="93"/>
      <c r="P9" s="94" t="n">
        <v>0.405</v>
      </c>
      <c r="Q9" s="95" t="n">
        <v>35.8</v>
      </c>
      <c r="R9" s="93"/>
      <c r="S9" s="93"/>
      <c r="T9" s="94" t="n">
        <v>0.935</v>
      </c>
      <c r="U9" s="95" t="n">
        <v>41.2</v>
      </c>
      <c r="V9" s="93"/>
      <c r="W9" s="93"/>
      <c r="X9" s="94" t="n">
        <v>0.479</v>
      </c>
      <c r="Y9" s="95" t="n">
        <v>58.4</v>
      </c>
      <c r="Z9" s="93"/>
      <c r="AA9" s="93"/>
      <c r="AB9" s="94" t="n">
        <v>0.848</v>
      </c>
      <c r="AC9" s="95" t="n">
        <v>76.1</v>
      </c>
      <c r="AD9" s="93"/>
      <c r="AE9" s="93"/>
      <c r="AF9" s="94" t="n">
        <v>0.99</v>
      </c>
      <c r="AG9" s="95" t="n">
        <v>3.7</v>
      </c>
      <c r="AH9" s="93"/>
      <c r="AI9" s="93"/>
      <c r="AJ9" s="94" t="n">
        <v>0.981</v>
      </c>
      <c r="AK9" s="95" t="n">
        <v>9.1</v>
      </c>
      <c r="AL9" s="93"/>
    </row>
    <row r="10" customFormat="false" ht="15" hidden="false" customHeight="true" outlineLevel="0" collapsed="false">
      <c r="A10" s="83" t="s">
        <v>232</v>
      </c>
      <c r="B10" s="83"/>
      <c r="C10" s="92"/>
      <c r="D10" s="92"/>
      <c r="E10" s="92"/>
      <c r="F10" s="92"/>
      <c r="G10" s="94" t="n">
        <v>0.013</v>
      </c>
      <c r="H10" s="94" t="n">
        <v>0.463</v>
      </c>
      <c r="I10" s="94" t="n">
        <v>0.905</v>
      </c>
      <c r="J10" s="93"/>
      <c r="K10" s="94" t="n">
        <v>0.072</v>
      </c>
      <c r="L10" s="94" t="n">
        <v>0.103</v>
      </c>
      <c r="M10" s="94" t="n">
        <v>0.206</v>
      </c>
      <c r="N10" s="94" t="n">
        <v>0.046</v>
      </c>
      <c r="O10" s="93"/>
      <c r="P10" s="94" t="n">
        <v>0.099</v>
      </c>
      <c r="Q10" s="95" t="n">
        <v>48.2</v>
      </c>
      <c r="R10" s="93"/>
      <c r="S10" s="93"/>
      <c r="T10" s="94" t="n">
        <v>0.541</v>
      </c>
      <c r="U10" s="95" t="n">
        <v>17.6</v>
      </c>
      <c r="V10" s="93"/>
      <c r="W10" s="93"/>
      <c r="X10" s="94" t="n">
        <v>0.509</v>
      </c>
      <c r="Y10" s="95" t="n">
        <v>64.8</v>
      </c>
      <c r="Z10" s="93"/>
      <c r="AA10" s="93"/>
      <c r="AB10" s="94" t="n">
        <v>0.177</v>
      </c>
      <c r="AC10" s="95" t="n">
        <v>2.5</v>
      </c>
      <c r="AD10" s="93"/>
      <c r="AE10" s="93"/>
      <c r="AF10" s="94" t="n">
        <v>0.999</v>
      </c>
      <c r="AG10" s="95" t="n">
        <v>5.4</v>
      </c>
      <c r="AH10" s="93"/>
      <c r="AI10" s="93"/>
      <c r="AJ10" s="94" t="n">
        <v>0.968</v>
      </c>
      <c r="AK10" s="95" t="n">
        <v>3.9</v>
      </c>
      <c r="AL10" s="93"/>
    </row>
    <row r="11" customFormat="false" ht="15" hidden="false" customHeight="true" outlineLevel="0" collapsed="false">
      <c r="A11" s="83" t="s">
        <v>233</v>
      </c>
      <c r="B11" s="83"/>
      <c r="C11" s="92"/>
      <c r="D11" s="92"/>
      <c r="E11" s="92"/>
      <c r="F11" s="92"/>
      <c r="G11" s="94" t="n">
        <v>0.038</v>
      </c>
      <c r="H11" s="94" t="n">
        <v>0.547</v>
      </c>
      <c r="I11" s="94" t="n">
        <v>0.925</v>
      </c>
      <c r="J11" s="93"/>
      <c r="K11" s="94" t="n">
        <v>0.196</v>
      </c>
      <c r="L11" s="94" t="n">
        <v>0.125</v>
      </c>
      <c r="M11" s="94" t="n">
        <v>0.205</v>
      </c>
      <c r="N11" s="94" t="n">
        <v>0.119</v>
      </c>
      <c r="O11" s="93"/>
      <c r="P11" s="94" t="n">
        <v>0.092</v>
      </c>
      <c r="Q11" s="95" t="n">
        <v>43</v>
      </c>
      <c r="R11" s="93"/>
      <c r="S11" s="93"/>
      <c r="T11" s="94" t="n">
        <v>0.459</v>
      </c>
      <c r="U11" s="95" t="n">
        <v>14.2</v>
      </c>
      <c r="V11" s="93"/>
      <c r="W11" s="93"/>
      <c r="X11" s="94" t="n">
        <v>0.512</v>
      </c>
      <c r="Y11" s="95" t="n">
        <v>59.8</v>
      </c>
      <c r="Z11" s="93"/>
      <c r="AA11" s="93"/>
      <c r="AB11" s="94" t="n">
        <v>0.07</v>
      </c>
      <c r="AC11" s="95" t="n">
        <v>0.4</v>
      </c>
      <c r="AD11" s="93"/>
      <c r="AE11" s="93"/>
      <c r="AF11" s="94" t="n">
        <v>1</v>
      </c>
      <c r="AG11" s="95" t="n">
        <v>4.8</v>
      </c>
      <c r="AH11" s="93"/>
      <c r="AI11" s="93"/>
      <c r="AJ11" s="94" t="n">
        <v>0.998</v>
      </c>
      <c r="AK11" s="95" t="n">
        <v>4.8</v>
      </c>
      <c r="AL11" s="93"/>
    </row>
    <row r="12" customFormat="false" ht="15" hidden="false" customHeight="true" outlineLevel="0" collapsed="false">
      <c r="A12" s="83" t="s">
        <v>234</v>
      </c>
      <c r="B12" s="83"/>
      <c r="C12" s="92"/>
      <c r="D12" s="92"/>
      <c r="E12" s="92"/>
      <c r="F12" s="92"/>
      <c r="G12" s="94" t="n">
        <v>0.067</v>
      </c>
      <c r="H12" s="94" t="n">
        <v>0.531</v>
      </c>
      <c r="I12" s="94" t="n">
        <v>0.888</v>
      </c>
      <c r="J12" s="93"/>
      <c r="K12" s="94" t="n">
        <v>0.198</v>
      </c>
      <c r="L12" s="94" t="n">
        <v>0.053</v>
      </c>
      <c r="M12" s="94" t="n">
        <v>0.12</v>
      </c>
      <c r="N12" s="94" t="n">
        <v>0.124</v>
      </c>
      <c r="O12" s="93"/>
      <c r="P12" s="94" t="n">
        <v>0.287</v>
      </c>
      <c r="Q12" s="95" t="n">
        <v>55.6</v>
      </c>
      <c r="R12" s="93"/>
      <c r="S12" s="93"/>
      <c r="T12" s="94" t="n">
        <v>0.529</v>
      </c>
      <c r="U12" s="95" t="n">
        <v>14.7</v>
      </c>
      <c r="V12" s="93"/>
      <c r="W12" s="93"/>
      <c r="X12" s="94" t="n">
        <v>0.663</v>
      </c>
      <c r="Y12" s="95" t="n">
        <v>73</v>
      </c>
      <c r="Z12" s="93"/>
      <c r="AA12" s="93"/>
      <c r="AB12" s="94" t="n">
        <v>0.208</v>
      </c>
      <c r="AC12" s="95" t="n">
        <v>2.4</v>
      </c>
      <c r="AD12" s="93"/>
      <c r="AE12" s="93"/>
      <c r="AF12" s="94" t="n">
        <v>0.992</v>
      </c>
      <c r="AG12" s="95" t="n">
        <v>3.6</v>
      </c>
      <c r="AH12" s="93"/>
      <c r="AI12" s="93"/>
      <c r="AJ12" s="94" t="n">
        <v>0.982</v>
      </c>
      <c r="AK12" s="95" t="n">
        <v>2.7</v>
      </c>
      <c r="AL12" s="93"/>
    </row>
    <row r="13" customFormat="false" ht="15" hidden="false" customHeight="true" outlineLevel="0" collapsed="false">
      <c r="A13" s="89" t="s">
        <v>186</v>
      </c>
      <c r="B13" s="90"/>
      <c r="C13" s="91"/>
      <c r="D13" s="91"/>
      <c r="E13" s="91"/>
      <c r="F13" s="91"/>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row>
    <row r="14" customFormat="false" ht="15" hidden="false" customHeight="true" outlineLevel="0" collapsed="false">
      <c r="A14" s="83" t="s">
        <v>235</v>
      </c>
      <c r="B14" s="83"/>
      <c r="C14" s="92"/>
      <c r="D14" s="92"/>
      <c r="E14" s="92"/>
      <c r="F14" s="92"/>
      <c r="G14" s="94" t="n">
        <v>0.421</v>
      </c>
      <c r="H14" s="94" t="n">
        <v>0.359</v>
      </c>
      <c r="I14" s="94" t="n">
        <v>0.929</v>
      </c>
      <c r="J14" s="93"/>
      <c r="K14" s="94"/>
      <c r="L14" s="94"/>
      <c r="M14" s="94"/>
      <c r="N14" s="93"/>
      <c r="O14" s="93"/>
      <c r="P14" s="94" t="n">
        <v>0.191</v>
      </c>
      <c r="Q14" s="95" t="n">
        <v>16.1</v>
      </c>
      <c r="R14" s="93"/>
      <c r="S14" s="93"/>
      <c r="T14" s="94" t="n">
        <v>0.808</v>
      </c>
      <c r="U14" s="95" t="n">
        <v>31.6</v>
      </c>
      <c r="V14" s="93"/>
      <c r="W14" s="93"/>
      <c r="X14" s="94" t="n">
        <v>0.336</v>
      </c>
      <c r="Y14" s="95" t="n">
        <v>34.1</v>
      </c>
      <c r="Z14" s="93"/>
      <c r="AA14" s="93"/>
      <c r="AB14" s="94" t="n">
        <v>0.757</v>
      </c>
      <c r="AC14" s="95" t="n">
        <v>69.6</v>
      </c>
      <c r="AD14" s="93"/>
      <c r="AE14" s="93"/>
      <c r="AF14" s="94" t="n">
        <v>0.995</v>
      </c>
      <c r="AG14" s="95" t="n">
        <v>4.2</v>
      </c>
      <c r="AH14" s="93"/>
      <c r="AI14" s="93"/>
      <c r="AJ14" s="94" t="n">
        <v>0.963</v>
      </c>
      <c r="AK14" s="95" t="n">
        <v>8.4</v>
      </c>
      <c r="AL14" s="93"/>
    </row>
    <row r="15" customFormat="false" ht="15" hidden="false" customHeight="true" outlineLevel="0" collapsed="false">
      <c r="A15" s="83" t="s">
        <v>236</v>
      </c>
      <c r="B15" s="83"/>
      <c r="C15" s="92"/>
      <c r="D15" s="92"/>
      <c r="E15" s="92"/>
      <c r="F15" s="92"/>
      <c r="G15" s="94" t="n">
        <v>0.403</v>
      </c>
      <c r="H15" s="94" t="n">
        <v>0.333</v>
      </c>
      <c r="I15" s="94" t="n">
        <v>0.98</v>
      </c>
      <c r="J15" s="93"/>
      <c r="K15" s="94"/>
      <c r="L15" s="94"/>
      <c r="M15" s="94"/>
      <c r="N15" s="93"/>
      <c r="O15" s="93"/>
      <c r="P15" s="94" t="n">
        <v>0.253</v>
      </c>
      <c r="Q15" s="95" t="n">
        <v>23.4</v>
      </c>
      <c r="R15" s="93"/>
      <c r="S15" s="93"/>
      <c r="T15" s="94" t="n">
        <v>0.787</v>
      </c>
      <c r="U15" s="95" t="n">
        <v>32.1</v>
      </c>
      <c r="V15" s="93"/>
      <c r="W15" s="93"/>
      <c r="X15" s="94" t="n">
        <v>0.448</v>
      </c>
      <c r="Y15" s="95" t="n">
        <v>52.4</v>
      </c>
      <c r="Z15" s="93"/>
      <c r="AA15" s="93"/>
      <c r="AB15" s="94" t="n">
        <v>0.674</v>
      </c>
      <c r="AC15" s="95" t="n">
        <v>76.7</v>
      </c>
      <c r="AD15" s="93"/>
      <c r="AE15" s="93"/>
      <c r="AF15" s="94" t="n">
        <v>0.997</v>
      </c>
      <c r="AG15" s="95" t="n">
        <v>4</v>
      </c>
      <c r="AH15" s="93"/>
      <c r="AI15" s="93"/>
      <c r="AJ15" s="94" t="n">
        <v>0.981</v>
      </c>
      <c r="AK15" s="95" t="n">
        <v>8</v>
      </c>
      <c r="AL15" s="93"/>
    </row>
    <row r="16" customFormat="false" ht="15" hidden="false" customHeight="true" outlineLevel="0" collapsed="false">
      <c r="A16" s="83" t="s">
        <v>237</v>
      </c>
      <c r="B16" s="83"/>
      <c r="C16" s="92"/>
      <c r="D16" s="92"/>
      <c r="E16" s="92"/>
      <c r="F16" s="92"/>
      <c r="G16" s="94" t="n">
        <v>0.197</v>
      </c>
      <c r="H16" s="94" t="n">
        <v>0.5021</v>
      </c>
      <c r="I16" s="94" t="n">
        <v>0.944</v>
      </c>
      <c r="J16" s="93"/>
      <c r="K16" s="94"/>
      <c r="L16" s="94"/>
      <c r="M16" s="94"/>
      <c r="N16" s="93"/>
      <c r="O16" s="93"/>
      <c r="P16" s="94" t="n">
        <v>0.305</v>
      </c>
      <c r="Q16" s="95" t="n">
        <v>38.2</v>
      </c>
      <c r="R16" s="93"/>
      <c r="S16" s="93"/>
      <c r="T16" s="94" t="n">
        <v>0.68</v>
      </c>
      <c r="U16" s="95" t="n">
        <v>24.9</v>
      </c>
      <c r="V16" s="93"/>
      <c r="W16" s="93"/>
      <c r="X16" s="94" t="n">
        <v>0.546</v>
      </c>
      <c r="Y16" s="95" t="n">
        <v>60.7</v>
      </c>
      <c r="Z16" s="93"/>
      <c r="AA16" s="93"/>
      <c r="AB16" s="94" t="n">
        <v>0.525</v>
      </c>
      <c r="AC16" s="95" t="n">
        <v>43.6</v>
      </c>
      <c r="AD16" s="93"/>
      <c r="AE16" s="93"/>
      <c r="AF16" s="94" t="n">
        <v>0.995</v>
      </c>
      <c r="AG16" s="95" t="n">
        <v>3.8</v>
      </c>
      <c r="AH16" s="93"/>
      <c r="AI16" s="93"/>
      <c r="AJ16" s="94" t="n">
        <v>0.992</v>
      </c>
      <c r="AK16" s="95" t="n">
        <v>5.9</v>
      </c>
      <c r="AL16" s="93"/>
    </row>
    <row r="17" customFormat="false" ht="15" hidden="false" customHeight="true" outlineLevel="0" collapsed="false">
      <c r="A17" s="83" t="s">
        <v>238</v>
      </c>
      <c r="B17" s="83"/>
      <c r="C17" s="92"/>
      <c r="D17" s="92"/>
      <c r="E17" s="92"/>
      <c r="F17" s="92"/>
      <c r="G17" s="94" t="n">
        <v>0.19</v>
      </c>
      <c r="H17" s="94" t="n">
        <v>0.528</v>
      </c>
      <c r="I17" s="94" t="n">
        <v>0.967</v>
      </c>
      <c r="J17" s="93"/>
      <c r="K17" s="94"/>
      <c r="L17" s="94"/>
      <c r="M17" s="94"/>
      <c r="N17" s="93"/>
      <c r="O17" s="93"/>
      <c r="P17" s="94" t="n">
        <v>0.333</v>
      </c>
      <c r="Q17" s="95" t="n">
        <v>49.3</v>
      </c>
      <c r="R17" s="93"/>
      <c r="S17" s="93"/>
      <c r="T17" s="94" t="n">
        <v>0.708</v>
      </c>
      <c r="U17" s="95" t="n">
        <v>23.2</v>
      </c>
      <c r="V17" s="93"/>
      <c r="W17" s="93"/>
      <c r="X17" s="94" t="n">
        <v>0.633</v>
      </c>
      <c r="Y17" s="95" t="n">
        <v>73.7</v>
      </c>
      <c r="Z17" s="93"/>
      <c r="AA17" s="93"/>
      <c r="AB17" s="94" t="n">
        <v>0.496</v>
      </c>
      <c r="AC17" s="95" t="n">
        <v>28.5</v>
      </c>
      <c r="AD17" s="93"/>
      <c r="AE17" s="93"/>
      <c r="AF17" s="94" t="n">
        <v>0.994</v>
      </c>
      <c r="AG17" s="95" t="n">
        <v>3.7</v>
      </c>
      <c r="AH17" s="93"/>
      <c r="AI17" s="93"/>
      <c r="AJ17" s="94" t="n">
        <v>0.986</v>
      </c>
      <c r="AK17" s="95" t="n">
        <v>4.9</v>
      </c>
      <c r="AL17" s="93"/>
    </row>
    <row r="18" customFormat="false" ht="15" hidden="false" customHeight="true" outlineLevel="0" collapsed="false">
      <c r="A18" s="83" t="s">
        <v>191</v>
      </c>
      <c r="B18" s="83"/>
      <c r="C18" s="92"/>
      <c r="D18" s="92"/>
      <c r="E18" s="92"/>
      <c r="F18" s="92"/>
      <c r="G18" s="94" t="n">
        <v>0.12</v>
      </c>
      <c r="H18" s="94" t="n">
        <v>0.537</v>
      </c>
      <c r="I18" s="94" t="n">
        <v>0.941</v>
      </c>
      <c r="J18" s="93"/>
      <c r="K18" s="94"/>
      <c r="L18" s="94"/>
      <c r="M18" s="94"/>
      <c r="N18" s="93"/>
      <c r="O18" s="93"/>
      <c r="P18" s="94" t="n">
        <v>0.353</v>
      </c>
      <c r="Q18" s="95" t="n">
        <v>62.4</v>
      </c>
      <c r="R18" s="93"/>
      <c r="S18" s="93"/>
      <c r="T18" s="94" t="n">
        <v>0.702</v>
      </c>
      <c r="U18" s="95" t="n">
        <v>23.5</v>
      </c>
      <c r="V18" s="93"/>
      <c r="W18" s="93"/>
      <c r="X18" s="94" t="n">
        <v>0.676</v>
      </c>
      <c r="Y18" s="95" t="n">
        <v>79.5</v>
      </c>
      <c r="Z18" s="93"/>
      <c r="AA18" s="93"/>
      <c r="AB18" s="94" t="n">
        <v>0.366</v>
      </c>
      <c r="AC18" s="95" t="n">
        <v>12.6</v>
      </c>
      <c r="AD18" s="93"/>
      <c r="AE18" s="93"/>
      <c r="AF18" s="94" t="n">
        <v>0.985</v>
      </c>
      <c r="AG18" s="95" t="n">
        <v>3.8</v>
      </c>
      <c r="AH18" s="93"/>
      <c r="AI18" s="93"/>
      <c r="AJ18" s="94" t="n">
        <v>0.986</v>
      </c>
      <c r="AK18" s="95" t="n">
        <v>4.6</v>
      </c>
      <c r="AL18" s="93"/>
    </row>
  </sheetData>
  <mergeCells count="10">
    <mergeCell ref="C3:F3"/>
    <mergeCell ref="G3:J3"/>
    <mergeCell ref="K3:N3"/>
    <mergeCell ref="O3:R3"/>
    <mergeCell ref="S3:V3"/>
    <mergeCell ref="W3:Z3"/>
    <mergeCell ref="AA3:AD3"/>
    <mergeCell ref="AE3:AH3"/>
    <mergeCell ref="AI3:AL3"/>
    <mergeCell ref="AM3:AP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1" width="28"/>
    <col collapsed="false" customWidth="true" hidden="false" outlineLevel="0" max="2" min="2" style="1" width="9"/>
    <col collapsed="false" customWidth="true" hidden="false" outlineLevel="0" max="6" min="3" style="1" width="10"/>
    <col collapsed="false" customWidth="true" hidden="false" outlineLevel="0" max="10" min="7" style="1" width="8"/>
    <col collapsed="false" customWidth="true" hidden="false" outlineLevel="0" max="14" min="11" style="1" width="11"/>
    <col collapsed="false" customWidth="true" hidden="false" outlineLevel="0" max="38" min="15" style="1" width="7.42"/>
  </cols>
  <sheetData>
    <row r="1" customFormat="false" ht="15.75" hidden="false" customHeight="true" outlineLevel="0" collapsed="false">
      <c r="A1" s="65" t="s">
        <v>239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customFormat="false" ht="37.5" hidden="false" customHeight="true" outlineLevel="0" collapsed="false">
      <c r="A3" s="7"/>
      <c r="B3" s="7"/>
      <c r="C3" s="8" t="s">
        <v>161</v>
      </c>
      <c r="D3" s="8"/>
      <c r="E3" s="8"/>
      <c r="F3" s="8"/>
      <c r="G3" s="9" t="s">
        <v>110</v>
      </c>
      <c r="H3" s="9"/>
      <c r="I3" s="9"/>
      <c r="J3" s="9"/>
      <c r="K3" s="10" t="s">
        <v>162</v>
      </c>
      <c r="L3" s="10"/>
      <c r="M3" s="10"/>
      <c r="N3" s="10"/>
      <c r="O3" s="11" t="s">
        <v>6</v>
      </c>
      <c r="P3" s="11"/>
      <c r="Q3" s="11"/>
      <c r="R3" s="11"/>
      <c r="S3" s="11" t="s">
        <v>7</v>
      </c>
      <c r="T3" s="11"/>
      <c r="U3" s="11"/>
      <c r="V3" s="11"/>
      <c r="W3" s="11" t="s">
        <v>8</v>
      </c>
      <c r="X3" s="11"/>
      <c r="Y3" s="11"/>
      <c r="Z3" s="11"/>
      <c r="AA3" s="11" t="s">
        <v>9</v>
      </c>
      <c r="AB3" s="11"/>
      <c r="AC3" s="11"/>
      <c r="AD3" s="11"/>
      <c r="AE3" s="11" t="s">
        <v>163</v>
      </c>
      <c r="AF3" s="11"/>
      <c r="AG3" s="11"/>
      <c r="AH3" s="11"/>
      <c r="AI3" s="11" t="s">
        <v>11</v>
      </c>
      <c r="AJ3" s="11"/>
      <c r="AK3" s="11"/>
      <c r="AL3" s="11"/>
      <c r="AM3" s="12" t="s">
        <v>164</v>
      </c>
      <c r="AN3" s="12"/>
      <c r="AO3" s="12"/>
      <c r="AP3" s="12"/>
    </row>
    <row r="4" customFormat="false" ht="27.75" hidden="false" customHeight="true" outlineLevel="0" collapsed="false">
      <c r="A4" s="14" t="s">
        <v>165</v>
      </c>
      <c r="B4" s="14"/>
      <c r="C4" s="14" t="s">
        <v>15</v>
      </c>
      <c r="D4" s="14" t="s">
        <v>16</v>
      </c>
      <c r="E4" s="14" t="s">
        <v>17</v>
      </c>
      <c r="F4" s="14" t="s">
        <v>18</v>
      </c>
      <c r="G4" s="14" t="s">
        <v>15</v>
      </c>
      <c r="H4" s="14" t="s">
        <v>16</v>
      </c>
      <c r="I4" s="14" t="s">
        <v>17</v>
      </c>
      <c r="J4" s="14" t="s">
        <v>19</v>
      </c>
      <c r="K4" s="14" t="s">
        <v>20</v>
      </c>
      <c r="L4" s="14" t="s">
        <v>21</v>
      </c>
      <c r="M4" s="14" t="s">
        <v>166</v>
      </c>
      <c r="N4" s="14" t="s">
        <v>23</v>
      </c>
      <c r="O4" s="14" t="s">
        <v>24</v>
      </c>
      <c r="P4" s="14" t="s">
        <v>25</v>
      </c>
      <c r="Q4" s="14" t="s">
        <v>26</v>
      </c>
      <c r="R4" s="14" t="s">
        <v>27</v>
      </c>
      <c r="S4" s="14" t="s">
        <v>24</v>
      </c>
      <c r="T4" s="14" t="s">
        <v>25</v>
      </c>
      <c r="U4" s="14" t="s">
        <v>26</v>
      </c>
      <c r="V4" s="14" t="s">
        <v>27</v>
      </c>
      <c r="W4" s="14" t="s">
        <v>24</v>
      </c>
      <c r="X4" s="14" t="s">
        <v>25</v>
      </c>
      <c r="Y4" s="14" t="s">
        <v>26</v>
      </c>
      <c r="Z4" s="14" t="s">
        <v>27</v>
      </c>
      <c r="AA4" s="14" t="s">
        <v>24</v>
      </c>
      <c r="AB4" s="14" t="s">
        <v>25</v>
      </c>
      <c r="AC4" s="14" t="s">
        <v>26</v>
      </c>
      <c r="AD4" s="14" t="s">
        <v>27</v>
      </c>
      <c r="AE4" s="14" t="s">
        <v>24</v>
      </c>
      <c r="AF4" s="14" t="s">
        <v>25</v>
      </c>
      <c r="AG4" s="14" t="s">
        <v>26</v>
      </c>
      <c r="AH4" s="14" t="s">
        <v>27</v>
      </c>
      <c r="AI4" s="14" t="s">
        <v>24</v>
      </c>
      <c r="AJ4" s="14" t="s">
        <v>25</v>
      </c>
      <c r="AK4" s="14" t="s">
        <v>26</v>
      </c>
      <c r="AL4" s="14" t="s">
        <v>27</v>
      </c>
      <c r="AM4" s="15" t="s">
        <v>28</v>
      </c>
      <c r="AN4" s="15" t="s">
        <v>29</v>
      </c>
      <c r="AO4" s="15" t="s">
        <v>30</v>
      </c>
      <c r="AP4" s="15" t="s">
        <v>31</v>
      </c>
    </row>
    <row r="5" customFormat="false" ht="27.75" hidden="false" customHeight="true" outlineLevel="0" collapsed="false">
      <c r="A5" s="82" t="s">
        <v>169</v>
      </c>
      <c r="B5" s="83"/>
      <c r="C5" s="84" t="n">
        <f aca="false">IF('Burden x Vehicle Matrix'!C11="","",'Burden x Vehicle Matrix'!C11)</f>
        <v>11290</v>
      </c>
      <c r="D5" s="84" t="n">
        <f aca="false">IF('Burden x Vehicle Matrix'!D11="","",'Burden x Vehicle Matrix'!D11)</f>
        <v>1025044</v>
      </c>
      <c r="E5" s="84" t="n">
        <f aca="false">IF('Burden x Vehicle Matrix'!E11="","",'Burden x Vehicle Matrix'!E11)</f>
        <v>168025</v>
      </c>
      <c r="F5" s="84" t="n">
        <f aca="false">IF('Burden x Vehicle Matrix'!F11="","",'Burden x Vehicle Matrix'!F11)</f>
        <v>1204359</v>
      </c>
      <c r="G5" s="85" t="n">
        <f aca="false">IF('Burden x Vehicle Matrix'!G11="","",'Burden x Vehicle Matrix'!G11)</f>
        <v>0.749</v>
      </c>
      <c r="H5" s="85" t="n">
        <f aca="false">IF('Burden x Vehicle Matrix'!H11="","",'Burden x Vehicle Matrix'!H11)</f>
        <v>0.615</v>
      </c>
      <c r="I5" s="85" t="n">
        <f aca="false">IF('Burden x Vehicle Matrix'!I11="","",'Burden x Vehicle Matrix'!I11)</f>
        <v>0.42</v>
      </c>
      <c r="J5" s="85" t="n">
        <f aca="false">IF('Burden x Vehicle Matrix'!J11="","",'Burden x Vehicle Matrix'!J11)</f>
        <v>0.61</v>
      </c>
      <c r="K5" s="85" t="str">
        <f aca="false">IF('Burden x Vehicle Matrix'!K11="","",'Burden x Vehicle Matrix'!K11)</f>
        <v>20.5% (2011)</v>
      </c>
      <c r="L5" s="85" t="str">
        <f aca="false">IF('Burden x Vehicle Matrix'!L11="","",'Burden x Vehicle Matrix'!L11)</f>
        <v>14.1% (2020)</v>
      </c>
      <c r="M5" s="85" t="str">
        <f aca="false">IF('Burden x Vehicle Matrix'!M11="","",'Burden x Vehicle Matrix'!M11)</f>
        <v>9.1% (2011, serum)</v>
      </c>
      <c r="N5" s="85" t="str">
        <f aca="false">IF('Burden x Vehicle Matrix'!N11="","",'Burden x Vehicle Matrix'!N11)</f>
        <v>44.6% (2011)</v>
      </c>
      <c r="O5" s="85" t="n">
        <f aca="false">IF('Burden x Vehicle Matrix'!O11="","",'Burden x Vehicle Matrix'!O11)</f>
        <v>0.49</v>
      </c>
      <c r="P5" s="85" t="n">
        <f aca="false">IF('Burden x Vehicle Matrix'!P11="","",'Burden x Vehicle Matrix'!P11)</f>
        <v>0.61</v>
      </c>
      <c r="Q5" s="86" t="n">
        <f aca="false">IF('Burden x Vehicle Matrix'!Q11="","",'Burden x Vehicle Matrix'!Q11)</f>
        <v>36</v>
      </c>
      <c r="R5" s="85" t="n">
        <f aca="false">IF('Burden x Vehicle Matrix'!R11="","",'Burden x Vehicle Matrix'!R11)</f>
        <v>0.01</v>
      </c>
      <c r="S5" s="85" t="n">
        <f aca="false">IF('Burden x Vehicle Matrix'!S11="","",'Burden x Vehicle Matrix'!S11)</f>
        <v>0.34</v>
      </c>
      <c r="T5" s="85" t="n">
        <f aca="false">IF('Burden x Vehicle Matrix'!T11="","",'Burden x Vehicle Matrix'!T11)</f>
        <v>1</v>
      </c>
      <c r="U5" s="86" t="n">
        <f aca="false">IF('Burden x Vehicle Matrix'!U11="","",'Burden x Vehicle Matrix'!U11)</f>
        <v>19</v>
      </c>
      <c r="V5" s="85" t="n">
        <f aca="false">IF('Burden x Vehicle Matrix'!V11="","",'Burden x Vehicle Matrix'!V11)</f>
        <v>0.98</v>
      </c>
      <c r="W5" s="85" t="str">
        <f aca="false">IF('Burden x Vehicle Matrix'!W11="","",'Burden x Vehicle Matrix'!W11)</f>
        <v>n/a</v>
      </c>
      <c r="X5" s="85" t="n">
        <f aca="false">IF('Burden x Vehicle Matrix'!X11="","",'Burden x Vehicle Matrix'!X11)</f>
        <v>1</v>
      </c>
      <c r="Y5" s="86" t="n">
        <f aca="false">IF('Burden x Vehicle Matrix'!Y11="","",'Burden x Vehicle Matrix'!Y11)</f>
        <v>480</v>
      </c>
      <c r="Z5" s="85" t="n">
        <f aca="false">IF('Burden x Vehicle Matrix'!Z11="","",'Burden x Vehicle Matrix'!Z11)</f>
        <v>0.03</v>
      </c>
      <c r="AA5" s="85" t="str">
        <f aca="false">IF('Burden x Vehicle Matrix'!AA11="","",'Burden x Vehicle Matrix'!AA11)</f>
        <v/>
      </c>
      <c r="AB5" s="85" t="str">
        <f aca="false">IF('Burden x Vehicle Matrix'!AB11="","",'Burden x Vehicle Matrix'!AB11)</f>
        <v>n/a</v>
      </c>
      <c r="AC5" s="86" t="str">
        <f aca="false">IF('Burden x Vehicle Matrix'!AC11="","",'Burden x Vehicle Matrix'!AC11)</f>
        <v>n/a</v>
      </c>
      <c r="AD5" s="85" t="str">
        <f aca="false">IF('Burden x Vehicle Matrix'!AD11="","",'Burden x Vehicle Matrix'!AD11)</f>
        <v>n/a</v>
      </c>
      <c r="AE5" s="85" t="str">
        <f aca="false">IF('Burden x Vehicle Matrix'!AE11="","",'Burden x Vehicle Matrix'!AE11)</f>
        <v>n/a</v>
      </c>
      <c r="AF5" s="85" t="n">
        <f aca="false">IF('Burden x Vehicle Matrix'!AF11="","",'Burden x Vehicle Matrix'!AF11)</f>
        <v>1</v>
      </c>
      <c r="AG5" s="86" t="str">
        <f aca="false">IF('Burden x Vehicle Matrix'!AG11="","",'Burden x Vehicle Matrix'!AG11)</f>
        <v>n/a</v>
      </c>
      <c r="AH5" s="85" t="str">
        <f aca="false">IF('Burden x Vehicle Matrix'!AH11="","",'Burden x Vehicle Matrix'!AH11)</f>
        <v>n/a</v>
      </c>
      <c r="AI5" s="85" t="str">
        <f aca="false">IF('Burden x Vehicle Matrix'!AI11="","",'Burden x Vehicle Matrix'!AI11)</f>
        <v/>
      </c>
      <c r="AJ5" s="85" t="str">
        <f aca="false">IF('Burden x Vehicle Matrix'!AJ11="","",'Burden x Vehicle Matrix'!AJ11)</f>
        <v>n/a</v>
      </c>
      <c r="AK5" s="86" t="str">
        <f aca="false">IF('Burden x Vehicle Matrix'!AK11="","",'Burden x Vehicle Matrix'!AK11)</f>
        <v>n/a</v>
      </c>
      <c r="AL5" s="85" t="str">
        <f aca="false">IF('Burden x Vehicle Matrix'!AL11="","",'Burden x Vehicle Matrix'!AL11)</f>
        <v>n/a</v>
      </c>
      <c r="AM5" s="87" t="n">
        <v>4.49</v>
      </c>
      <c r="AN5" s="88" t="n">
        <v>0.444</v>
      </c>
      <c r="AO5" s="97" t="s">
        <v>38</v>
      </c>
      <c r="AP5" s="88" t="n">
        <v>0.376</v>
      </c>
    </row>
    <row r="6" customFormat="false" ht="15" hidden="false" customHeight="true" outlineLevel="0" collapsed="false">
      <c r="A6" s="89" t="s">
        <v>240</v>
      </c>
      <c r="B6" s="90"/>
      <c r="C6" s="91"/>
      <c r="D6" s="91"/>
      <c r="E6" s="91"/>
      <c r="F6" s="91"/>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row>
    <row r="7" customFormat="false" ht="15" hidden="false" customHeight="true" outlineLevel="0" collapsed="false">
      <c r="A7" s="83" t="s">
        <v>241</v>
      </c>
      <c r="B7" s="83"/>
      <c r="C7" s="92"/>
      <c r="D7" s="92"/>
      <c r="E7" s="92"/>
      <c r="F7" s="92"/>
      <c r="G7" s="93"/>
      <c r="H7" s="93"/>
      <c r="I7" s="93"/>
      <c r="J7" s="93"/>
      <c r="K7" s="93"/>
      <c r="L7" s="93"/>
      <c r="M7" s="94" t="n">
        <v>0.125</v>
      </c>
      <c r="N7" s="93"/>
      <c r="O7" s="93"/>
      <c r="P7" s="93"/>
      <c r="Q7" s="93"/>
      <c r="R7" s="93"/>
      <c r="S7" s="93"/>
      <c r="T7" s="93"/>
      <c r="U7" s="93"/>
      <c r="V7" s="93"/>
      <c r="W7" s="93"/>
      <c r="X7" s="93"/>
      <c r="Y7" s="93"/>
      <c r="Z7" s="93"/>
      <c r="AA7" s="93"/>
      <c r="AB7" s="93"/>
      <c r="AC7" s="93"/>
      <c r="AD7" s="93"/>
      <c r="AE7" s="93"/>
      <c r="AF7" s="93"/>
      <c r="AG7" s="93"/>
      <c r="AH7" s="93"/>
      <c r="AI7" s="93"/>
      <c r="AJ7" s="93"/>
      <c r="AK7" s="93"/>
      <c r="AL7" s="93"/>
    </row>
    <row r="8" customFormat="false" ht="15" hidden="false" customHeight="true" outlineLevel="0" collapsed="false">
      <c r="A8" s="83" t="s">
        <v>242</v>
      </c>
      <c r="B8" s="83"/>
      <c r="C8" s="92"/>
      <c r="D8" s="92"/>
      <c r="E8" s="92"/>
      <c r="F8" s="92"/>
      <c r="G8" s="93"/>
      <c r="H8" s="93"/>
      <c r="I8" s="93"/>
      <c r="J8" s="93"/>
      <c r="K8" s="93"/>
      <c r="L8" s="93"/>
      <c r="M8" s="94" t="n">
        <v>0.152</v>
      </c>
      <c r="N8" s="93"/>
      <c r="O8" s="93"/>
      <c r="P8" s="93"/>
      <c r="Q8" s="93"/>
      <c r="R8" s="93"/>
      <c r="S8" s="93"/>
      <c r="T8" s="93"/>
      <c r="U8" s="93"/>
      <c r="V8" s="93"/>
      <c r="W8" s="93"/>
      <c r="X8" s="93"/>
      <c r="Y8" s="93"/>
      <c r="Z8" s="93"/>
      <c r="AA8" s="93"/>
      <c r="AB8" s="93"/>
      <c r="AC8" s="93"/>
      <c r="AD8" s="93"/>
      <c r="AE8" s="93"/>
      <c r="AF8" s="93"/>
      <c r="AG8" s="93"/>
      <c r="AH8" s="93"/>
      <c r="AI8" s="93"/>
      <c r="AJ8" s="93"/>
      <c r="AK8" s="93"/>
      <c r="AL8" s="93"/>
    </row>
    <row r="9" customFormat="false" ht="15" hidden="false" customHeight="true" outlineLevel="0" collapsed="false">
      <c r="A9" s="83" t="s">
        <v>243</v>
      </c>
      <c r="B9" s="83"/>
      <c r="C9" s="92"/>
      <c r="D9" s="92"/>
      <c r="E9" s="92"/>
      <c r="F9" s="92"/>
      <c r="G9" s="93"/>
      <c r="H9" s="93"/>
      <c r="I9" s="93"/>
      <c r="J9" s="93"/>
      <c r="K9" s="93"/>
      <c r="L9" s="93"/>
      <c r="M9" s="94" t="n">
        <v>0.049</v>
      </c>
      <c r="N9" s="93"/>
      <c r="O9" s="93"/>
      <c r="P9" s="93"/>
      <c r="Q9" s="93"/>
      <c r="R9" s="93"/>
      <c r="S9" s="93"/>
      <c r="T9" s="93"/>
      <c r="U9" s="93"/>
      <c r="V9" s="93"/>
      <c r="W9" s="93"/>
      <c r="X9" s="93"/>
      <c r="Y9" s="93"/>
      <c r="Z9" s="93"/>
      <c r="AA9" s="93"/>
      <c r="AB9" s="93"/>
      <c r="AC9" s="93"/>
      <c r="AD9" s="93"/>
      <c r="AE9" s="93"/>
      <c r="AF9" s="93"/>
      <c r="AG9" s="93"/>
      <c r="AH9" s="93"/>
      <c r="AI9" s="93"/>
      <c r="AJ9" s="93"/>
      <c r="AK9" s="93"/>
      <c r="AL9" s="93"/>
    </row>
    <row r="10" customFormat="false" ht="15" hidden="false" customHeight="true" outlineLevel="0" collapsed="false">
      <c r="A10" s="83" t="s">
        <v>244</v>
      </c>
      <c r="B10" s="83"/>
      <c r="C10" s="92"/>
      <c r="D10" s="92"/>
      <c r="E10" s="92"/>
      <c r="F10" s="92"/>
      <c r="G10" s="93"/>
      <c r="H10" s="93"/>
      <c r="I10" s="93"/>
      <c r="J10" s="93"/>
      <c r="K10" s="93"/>
      <c r="L10" s="93"/>
      <c r="M10" s="94" t="n">
        <v>0.029</v>
      </c>
      <c r="N10" s="93"/>
      <c r="O10" s="93"/>
      <c r="P10" s="93"/>
      <c r="Q10" s="93"/>
      <c r="R10" s="93"/>
      <c r="S10" s="93"/>
      <c r="T10" s="93"/>
      <c r="U10" s="93"/>
      <c r="V10" s="93"/>
      <c r="W10" s="93"/>
      <c r="X10" s="93"/>
      <c r="Y10" s="93"/>
      <c r="Z10" s="93"/>
      <c r="AA10" s="93"/>
      <c r="AB10" s="93"/>
      <c r="AC10" s="93"/>
      <c r="AD10" s="93"/>
      <c r="AE10" s="93"/>
      <c r="AF10" s="93"/>
      <c r="AG10" s="93"/>
      <c r="AH10" s="93"/>
      <c r="AI10" s="93"/>
      <c r="AJ10" s="93"/>
      <c r="AK10" s="93"/>
      <c r="AL10" s="93"/>
    </row>
    <row r="11" customFormat="false" ht="15" hidden="false" customHeight="true" outlineLevel="0" collapsed="false">
      <c r="A11" s="83" t="s">
        <v>245</v>
      </c>
      <c r="B11" s="83"/>
      <c r="C11" s="92"/>
      <c r="D11" s="92"/>
      <c r="E11" s="92"/>
      <c r="F11" s="92"/>
      <c r="G11" s="93"/>
      <c r="H11" s="93"/>
      <c r="I11" s="93"/>
      <c r="J11" s="93"/>
      <c r="K11" s="93"/>
      <c r="L11" s="93"/>
      <c r="M11" s="94" t="n">
        <v>0.111</v>
      </c>
      <c r="N11" s="93"/>
      <c r="O11" s="93"/>
      <c r="P11" s="93"/>
      <c r="Q11" s="93"/>
      <c r="R11" s="93"/>
      <c r="S11" s="93"/>
      <c r="T11" s="93"/>
      <c r="U11" s="93"/>
      <c r="V11" s="93"/>
      <c r="W11" s="93"/>
      <c r="X11" s="93"/>
      <c r="Y11" s="93"/>
      <c r="Z11" s="93"/>
      <c r="AA11" s="93"/>
      <c r="AB11" s="93"/>
      <c r="AC11" s="93"/>
      <c r="AD11" s="93"/>
      <c r="AE11" s="93"/>
      <c r="AF11" s="93"/>
      <c r="AG11" s="93"/>
      <c r="AH11" s="93"/>
      <c r="AI11" s="93"/>
      <c r="AJ11" s="93"/>
      <c r="AK11" s="93"/>
      <c r="AL11" s="93"/>
    </row>
    <row r="12" customFormat="false" ht="15" hidden="false" customHeight="true" outlineLevel="0" collapsed="false">
      <c r="A12" s="83" t="s">
        <v>246</v>
      </c>
      <c r="B12" s="83"/>
      <c r="C12" s="92"/>
      <c r="D12" s="92"/>
      <c r="E12" s="92"/>
      <c r="F12" s="92"/>
      <c r="G12" s="93"/>
      <c r="H12" s="93"/>
      <c r="I12" s="93"/>
      <c r="J12" s="93"/>
      <c r="K12" s="93"/>
      <c r="L12" s="93"/>
      <c r="M12" s="94" t="n">
        <v>0.2</v>
      </c>
      <c r="N12" s="93"/>
      <c r="O12" s="93"/>
      <c r="P12" s="93"/>
      <c r="Q12" s="93"/>
      <c r="R12" s="93"/>
      <c r="S12" s="93"/>
      <c r="T12" s="93"/>
      <c r="U12" s="93"/>
      <c r="V12" s="93"/>
      <c r="W12" s="93"/>
      <c r="X12" s="93"/>
      <c r="Y12" s="93"/>
      <c r="Z12" s="93"/>
      <c r="AA12" s="93"/>
      <c r="AB12" s="93"/>
      <c r="AC12" s="93"/>
      <c r="AD12" s="93"/>
      <c r="AE12" s="93"/>
      <c r="AF12" s="93"/>
      <c r="AG12" s="93"/>
      <c r="AH12" s="93"/>
      <c r="AI12" s="93"/>
      <c r="AJ12" s="93"/>
      <c r="AK12" s="93"/>
      <c r="AL12" s="93"/>
    </row>
    <row r="13" customFormat="false" ht="15" hidden="false" customHeight="true" outlineLevel="0" collapsed="false">
      <c r="A13" s="83" t="s">
        <v>247</v>
      </c>
      <c r="B13" s="83"/>
      <c r="C13" s="92"/>
      <c r="D13" s="92"/>
      <c r="E13" s="92"/>
      <c r="F13" s="92"/>
      <c r="G13" s="93"/>
      <c r="H13" s="93"/>
      <c r="I13" s="93"/>
      <c r="J13" s="93"/>
      <c r="K13" s="93"/>
      <c r="L13" s="93"/>
      <c r="M13" s="94" t="n">
        <v>0.12</v>
      </c>
      <c r="N13" s="93"/>
      <c r="O13" s="93"/>
      <c r="P13" s="93"/>
      <c r="Q13" s="93"/>
      <c r="R13" s="93"/>
      <c r="S13" s="93"/>
      <c r="T13" s="93"/>
      <c r="U13" s="93"/>
      <c r="V13" s="93"/>
      <c r="W13" s="93"/>
      <c r="X13" s="93"/>
      <c r="Y13" s="93"/>
      <c r="Z13" s="93"/>
      <c r="AA13" s="93"/>
      <c r="AB13" s="93"/>
      <c r="AC13" s="93"/>
      <c r="AD13" s="93"/>
      <c r="AE13" s="93"/>
      <c r="AF13" s="93"/>
      <c r="AG13" s="93"/>
      <c r="AH13" s="93"/>
      <c r="AI13" s="93"/>
      <c r="AJ13" s="93"/>
      <c r="AK13" s="93"/>
      <c r="AL13" s="93"/>
    </row>
    <row r="14" customFormat="false" ht="15" hidden="false" customHeight="true" outlineLevel="0" collapsed="false">
      <c r="A14" s="83" t="s">
        <v>248</v>
      </c>
      <c r="B14" s="83"/>
      <c r="C14" s="92"/>
      <c r="D14" s="92"/>
      <c r="E14" s="92"/>
      <c r="F14" s="92"/>
      <c r="G14" s="93"/>
      <c r="H14" s="93"/>
      <c r="I14" s="93"/>
      <c r="J14" s="93"/>
      <c r="K14" s="93"/>
      <c r="L14" s="93"/>
      <c r="M14" s="94" t="n">
        <v>0.091</v>
      </c>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row>
    <row r="15" customFormat="false" ht="15" hidden="false" customHeight="true" outlineLevel="0" collapsed="false">
      <c r="A15" s="89" t="s">
        <v>226</v>
      </c>
      <c r="B15" s="90"/>
      <c r="C15" s="91"/>
      <c r="D15" s="91"/>
      <c r="E15" s="91"/>
      <c r="F15" s="91"/>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row>
    <row r="16" customFormat="false" ht="15" hidden="false" customHeight="true" outlineLevel="0" collapsed="false">
      <c r="A16" s="83" t="s">
        <v>185</v>
      </c>
      <c r="B16" s="83"/>
      <c r="C16" s="92"/>
      <c r="D16" s="92"/>
      <c r="E16" s="92"/>
      <c r="F16" s="92"/>
      <c r="G16" s="93"/>
      <c r="H16" s="93"/>
      <c r="I16" s="93"/>
      <c r="J16" s="93"/>
      <c r="K16" s="93"/>
      <c r="L16" s="94" t="n">
        <v>0.116</v>
      </c>
      <c r="M16" s="93"/>
      <c r="N16" s="93"/>
      <c r="O16" s="93"/>
      <c r="P16" s="93"/>
      <c r="Q16" s="93"/>
      <c r="R16" s="93"/>
      <c r="S16" s="93"/>
      <c r="T16" s="93"/>
      <c r="U16" s="93"/>
      <c r="V16" s="93"/>
      <c r="W16" s="93"/>
      <c r="X16" s="93"/>
      <c r="Y16" s="93"/>
      <c r="Z16" s="93"/>
      <c r="AA16" s="93"/>
      <c r="AB16" s="93"/>
      <c r="AC16" s="93"/>
      <c r="AD16" s="93"/>
      <c r="AE16" s="93"/>
      <c r="AF16" s="93"/>
      <c r="AG16" s="93"/>
      <c r="AH16" s="93"/>
      <c r="AI16" s="93"/>
      <c r="AJ16" s="93"/>
      <c r="AK16" s="93"/>
      <c r="AL16" s="93"/>
    </row>
    <row r="17" customFormat="false" ht="15" hidden="false" customHeight="true" outlineLevel="0" collapsed="false">
      <c r="A17" s="83" t="s">
        <v>184</v>
      </c>
      <c r="B17" s="83"/>
      <c r="C17" s="92"/>
      <c r="D17" s="92"/>
      <c r="E17" s="92"/>
      <c r="F17" s="92"/>
      <c r="G17" s="93"/>
      <c r="H17" s="93"/>
      <c r="I17" s="93"/>
      <c r="J17" s="93"/>
      <c r="K17" s="93"/>
      <c r="L17" s="94" t="n">
        <v>0.19</v>
      </c>
      <c r="M17" s="93"/>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row>
  </sheetData>
  <mergeCells count="10">
    <mergeCell ref="C3:F3"/>
    <mergeCell ref="G3:J3"/>
    <mergeCell ref="K3:N3"/>
    <mergeCell ref="O3:R3"/>
    <mergeCell ref="S3:V3"/>
    <mergeCell ref="W3:Z3"/>
    <mergeCell ref="AA3:AD3"/>
    <mergeCell ref="AE3:AH3"/>
    <mergeCell ref="AI3:AL3"/>
    <mergeCell ref="AM3:AP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1" width="28"/>
    <col collapsed="false" customWidth="true" hidden="false" outlineLevel="0" max="2" min="2" style="1" width="9"/>
    <col collapsed="false" customWidth="true" hidden="false" outlineLevel="0" max="6" min="3" style="1" width="10"/>
    <col collapsed="false" customWidth="true" hidden="false" outlineLevel="0" max="10" min="7" style="1" width="8"/>
    <col collapsed="false" customWidth="true" hidden="false" outlineLevel="0" max="14" min="11" style="1" width="11"/>
    <col collapsed="false" customWidth="true" hidden="false" outlineLevel="0" max="38" min="15" style="1" width="7.42"/>
  </cols>
  <sheetData>
    <row r="1" customFormat="false" ht="15.75" hidden="false" customHeight="true" outlineLevel="0" collapsed="false">
      <c r="A1" s="65" t="s">
        <v>249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customFormat="false" ht="37.5" hidden="false" customHeight="true" outlineLevel="0" collapsed="false">
      <c r="A3" s="7"/>
      <c r="B3" s="7"/>
      <c r="C3" s="8" t="s">
        <v>161</v>
      </c>
      <c r="D3" s="8"/>
      <c r="E3" s="8"/>
      <c r="F3" s="8"/>
      <c r="G3" s="9" t="s">
        <v>110</v>
      </c>
      <c r="H3" s="9"/>
      <c r="I3" s="9"/>
      <c r="J3" s="9"/>
      <c r="K3" s="10" t="s">
        <v>162</v>
      </c>
      <c r="L3" s="10"/>
      <c r="M3" s="10"/>
      <c r="N3" s="10"/>
      <c r="O3" s="11" t="s">
        <v>6</v>
      </c>
      <c r="P3" s="11"/>
      <c r="Q3" s="11"/>
      <c r="R3" s="11"/>
      <c r="S3" s="11" t="s">
        <v>7</v>
      </c>
      <c r="T3" s="11"/>
      <c r="U3" s="11"/>
      <c r="V3" s="11"/>
      <c r="W3" s="11" t="s">
        <v>8</v>
      </c>
      <c r="X3" s="11"/>
      <c r="Y3" s="11"/>
      <c r="Z3" s="11"/>
      <c r="AA3" s="11" t="s">
        <v>9</v>
      </c>
      <c r="AB3" s="11"/>
      <c r="AC3" s="11"/>
      <c r="AD3" s="11"/>
      <c r="AE3" s="11" t="s">
        <v>163</v>
      </c>
      <c r="AF3" s="11"/>
      <c r="AG3" s="11"/>
      <c r="AH3" s="11"/>
      <c r="AI3" s="11" t="s">
        <v>11</v>
      </c>
      <c r="AJ3" s="11"/>
      <c r="AK3" s="11"/>
      <c r="AL3" s="11"/>
      <c r="AM3" s="12" t="s">
        <v>164</v>
      </c>
      <c r="AN3" s="12"/>
      <c r="AO3" s="12"/>
      <c r="AP3" s="12"/>
    </row>
    <row r="4" customFormat="false" ht="27.75" hidden="false" customHeight="true" outlineLevel="0" collapsed="false">
      <c r="A4" s="14" t="s">
        <v>165</v>
      </c>
      <c r="B4" s="14"/>
      <c r="C4" s="14" t="s">
        <v>15</v>
      </c>
      <c r="D4" s="14" t="s">
        <v>16</v>
      </c>
      <c r="E4" s="14" t="s">
        <v>17</v>
      </c>
      <c r="F4" s="14" t="s">
        <v>18</v>
      </c>
      <c r="G4" s="14" t="s">
        <v>15</v>
      </c>
      <c r="H4" s="14" t="s">
        <v>16</v>
      </c>
      <c r="I4" s="14" t="s">
        <v>17</v>
      </c>
      <c r="J4" s="14" t="s">
        <v>19</v>
      </c>
      <c r="K4" s="14" t="s">
        <v>20</v>
      </c>
      <c r="L4" s="14" t="s">
        <v>21</v>
      </c>
      <c r="M4" s="14" t="s">
        <v>166</v>
      </c>
      <c r="N4" s="14" t="s">
        <v>23</v>
      </c>
      <c r="O4" s="14" t="s">
        <v>24</v>
      </c>
      <c r="P4" s="14" t="s">
        <v>25</v>
      </c>
      <c r="Q4" s="14" t="s">
        <v>26</v>
      </c>
      <c r="R4" s="14" t="s">
        <v>27</v>
      </c>
      <c r="S4" s="14" t="s">
        <v>24</v>
      </c>
      <c r="T4" s="14" t="s">
        <v>25</v>
      </c>
      <c r="U4" s="14" t="s">
        <v>26</v>
      </c>
      <c r="V4" s="14" t="s">
        <v>27</v>
      </c>
      <c r="W4" s="14" t="s">
        <v>24</v>
      </c>
      <c r="X4" s="14" t="s">
        <v>25</v>
      </c>
      <c r="Y4" s="14" t="s">
        <v>26</v>
      </c>
      <c r="Z4" s="14" t="s">
        <v>27</v>
      </c>
      <c r="AA4" s="14" t="s">
        <v>24</v>
      </c>
      <c r="AB4" s="14" t="s">
        <v>25</v>
      </c>
      <c r="AC4" s="14" t="s">
        <v>26</v>
      </c>
      <c r="AD4" s="14" t="s">
        <v>27</v>
      </c>
      <c r="AE4" s="14" t="s">
        <v>24</v>
      </c>
      <c r="AF4" s="14" t="s">
        <v>25</v>
      </c>
      <c r="AG4" s="14" t="s">
        <v>26</v>
      </c>
      <c r="AH4" s="14" t="s">
        <v>27</v>
      </c>
      <c r="AI4" s="14" t="s">
        <v>24</v>
      </c>
      <c r="AJ4" s="14" t="s">
        <v>25</v>
      </c>
      <c r="AK4" s="14" t="s">
        <v>26</v>
      </c>
      <c r="AL4" s="14" t="s">
        <v>27</v>
      </c>
      <c r="AM4" s="15" t="s">
        <v>28</v>
      </c>
      <c r="AN4" s="15" t="s">
        <v>29</v>
      </c>
      <c r="AO4" s="15" t="s">
        <v>30</v>
      </c>
      <c r="AP4" s="15" t="s">
        <v>31</v>
      </c>
    </row>
    <row r="5" customFormat="false" ht="27.75" hidden="false" customHeight="true" outlineLevel="0" collapsed="false">
      <c r="A5" s="82" t="s">
        <v>169</v>
      </c>
      <c r="B5" s="83"/>
      <c r="C5" s="84" t="n">
        <f aca="false">IF('Burden x Vehicle Matrix'!C12="","",'Burden x Vehicle Matrix'!C12)</f>
        <v>30023</v>
      </c>
      <c r="D5" s="84" t="n">
        <f aca="false">IF('Burden x Vehicle Matrix'!D12="","",'Burden x Vehicle Matrix'!D12)</f>
        <v>1270248</v>
      </c>
      <c r="E5" s="84" t="n">
        <f aca="false">IF('Burden x Vehicle Matrix'!E12="","",'Burden x Vehicle Matrix'!E12)</f>
        <v>147091</v>
      </c>
      <c r="F5" s="84" t="n">
        <f aca="false">IF('Burden x Vehicle Matrix'!F12="","",'Burden x Vehicle Matrix'!F12)</f>
        <v>1447362</v>
      </c>
      <c r="G5" s="85" t="n">
        <f aca="false">IF('Burden x Vehicle Matrix'!G12="","",'Burden x Vehicle Matrix'!G12)</f>
        <v>0.566</v>
      </c>
      <c r="H5" s="85" t="n">
        <f aca="false">IF('Burden x Vehicle Matrix'!H12="","",'Burden x Vehicle Matrix'!H12)</f>
        <v>0.5329</v>
      </c>
      <c r="I5" s="85" t="n">
        <f aca="false">IF('Burden x Vehicle Matrix'!I12="","",'Burden x Vehicle Matrix'!I12)</f>
        <v>0.8389</v>
      </c>
      <c r="J5" s="85" t="n">
        <f aca="false">IF('Burden x Vehicle Matrix'!J12="","",'Burden x Vehicle Matrix'!J12)</f>
        <v>0.6645</v>
      </c>
      <c r="K5" s="85" t="str">
        <f aca="false">IF('Burden x Vehicle Matrix'!K12="","",'Burden x Vehicle Matrix'!K12)</f>
        <v>9.8% (2023)</v>
      </c>
      <c r="L5" s="85" t="str">
        <f aca="false">IF('Burden x Vehicle Matrix'!L12="","",'Burden x Vehicle Matrix'!L12)</f>
        <v>10.3% (2011)</v>
      </c>
      <c r="M5" s="85" t="str">
        <f aca="false">IF('Burden x Vehicle Matrix'!M12="","",'Burden x Vehicle Matrix'!M12)</f>
        <v>n/a</v>
      </c>
      <c r="N5" s="85" t="str">
        <f aca="false">IF('Burden x Vehicle Matrix'!N12="","",'Burden x Vehicle Matrix'!N12)</f>
        <v>n/a</v>
      </c>
      <c r="O5" s="85" t="n">
        <f aca="false">IF('Burden x Vehicle Matrix'!O12="","",'Burden x Vehicle Matrix'!O12)</f>
        <v>1</v>
      </c>
      <c r="P5" s="85" t="n">
        <f aca="false">IF('Burden x Vehicle Matrix'!P12="","",'Burden x Vehicle Matrix'!P12)</f>
        <v>0.61</v>
      </c>
      <c r="Q5" s="86" t="n">
        <f aca="false">IF('Burden x Vehicle Matrix'!Q12="","",'Burden x Vehicle Matrix'!Q12)</f>
        <v>76</v>
      </c>
      <c r="R5" s="85" t="n">
        <f aca="false">IF('Burden x Vehicle Matrix'!R12="","",'Burden x Vehicle Matrix'!R12)</f>
        <v>0.9</v>
      </c>
      <c r="S5" s="85" t="n">
        <f aca="false">IF('Burden x Vehicle Matrix'!S12="","",'Burden x Vehicle Matrix'!S12)</f>
        <v>0.57</v>
      </c>
      <c r="T5" s="85" t="n">
        <f aca="false">IF('Burden x Vehicle Matrix'!T12="","",'Burden x Vehicle Matrix'!T12)</f>
        <v>0.99</v>
      </c>
      <c r="U5" s="86" t="n">
        <f aca="false">IF('Burden x Vehicle Matrix'!U12="","",'Burden x Vehicle Matrix'!U12)</f>
        <v>23</v>
      </c>
      <c r="V5" s="85" t="n">
        <f aca="false">IF('Burden x Vehicle Matrix'!V12="","",'Burden x Vehicle Matrix'!V12)</f>
        <v>0.85</v>
      </c>
      <c r="W5" s="85" t="str">
        <f aca="false">IF('Burden x Vehicle Matrix'!W12="","",'Burden x Vehicle Matrix'!W12)</f>
        <v>n/a</v>
      </c>
      <c r="X5" s="85" t="n">
        <f aca="false">IF('Burden x Vehicle Matrix'!X12="","",'Burden x Vehicle Matrix'!X12)</f>
        <v>0</v>
      </c>
      <c r="Y5" s="86" t="n">
        <f aca="false">IF('Burden x Vehicle Matrix'!Y12="","",'Burden x Vehicle Matrix'!Y12)</f>
        <v>256</v>
      </c>
      <c r="Z5" s="85" t="n">
        <f aca="false">IF('Burden x Vehicle Matrix'!Z12="","",'Burden x Vehicle Matrix'!Z12)</f>
        <v>0.04</v>
      </c>
      <c r="AA5" s="85" t="str">
        <f aca="false">IF('Burden x Vehicle Matrix'!AA12="","",'Burden x Vehicle Matrix'!AA12)</f>
        <v/>
      </c>
      <c r="AB5" s="85" t="str">
        <f aca="false">IF('Burden x Vehicle Matrix'!AB12="","",'Burden x Vehicle Matrix'!AB12)</f>
        <v>n/a</v>
      </c>
      <c r="AC5" s="86" t="str">
        <f aca="false">IF('Burden x Vehicle Matrix'!AC12="","",'Burden x Vehicle Matrix'!AC12)</f>
        <v>n/a</v>
      </c>
      <c r="AD5" s="85" t="str">
        <f aca="false">IF('Burden x Vehicle Matrix'!AD12="","",'Burden x Vehicle Matrix'!AD12)</f>
        <v>n/a</v>
      </c>
      <c r="AE5" s="85" t="str">
        <f aca="false">IF('Burden x Vehicle Matrix'!AE12="","",'Burden x Vehicle Matrix'!AE12)</f>
        <v>n/a</v>
      </c>
      <c r="AF5" s="85" t="str">
        <f aca="false">IF('Burden x Vehicle Matrix'!AF12="","",'Burden x Vehicle Matrix'!AF12)</f>
        <v>n/a</v>
      </c>
      <c r="AG5" s="86" t="str">
        <f aca="false">IF('Burden x Vehicle Matrix'!AG12="","",'Burden x Vehicle Matrix'!AG12)</f>
        <v>n/a</v>
      </c>
      <c r="AH5" s="85" t="str">
        <f aca="false">IF('Burden x Vehicle Matrix'!AH12="","",'Burden x Vehicle Matrix'!AH12)</f>
        <v>n/a</v>
      </c>
      <c r="AI5" s="85" t="str">
        <f aca="false">IF('Burden x Vehicle Matrix'!AI12="","",'Burden x Vehicle Matrix'!AI12)</f>
        <v/>
      </c>
      <c r="AJ5" s="85" t="str">
        <f aca="false">IF('Burden x Vehicle Matrix'!AJ12="","",'Burden x Vehicle Matrix'!AJ12)</f>
        <v>n/a</v>
      </c>
      <c r="AK5" s="86" t="str">
        <f aca="false">IF('Burden x Vehicle Matrix'!AK12="","",'Burden x Vehicle Matrix'!AK12)</f>
        <v>n/a</v>
      </c>
      <c r="AL5" s="85" t="str">
        <f aca="false">IF('Burden x Vehicle Matrix'!AL12="","",'Burden x Vehicle Matrix'!AL12)</f>
        <v>n/a</v>
      </c>
      <c r="AM5" s="87" t="n">
        <v>4.75</v>
      </c>
      <c r="AN5" s="88" t="n">
        <v>0.435</v>
      </c>
      <c r="AO5" s="97" t="s">
        <v>38</v>
      </c>
      <c r="AP5" s="88" t="n">
        <v>0.267</v>
      </c>
    </row>
    <row r="6" customFormat="false" ht="15" hidden="false" customHeight="true" outlineLevel="0" collapsed="false">
      <c r="A6" s="98" t="s">
        <v>250</v>
      </c>
      <c r="B6" s="3"/>
      <c r="C6" s="99"/>
      <c r="D6" s="99"/>
      <c r="E6" s="99"/>
      <c r="F6" s="99"/>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row>
  </sheetData>
  <mergeCells count="10">
    <mergeCell ref="C3:F3"/>
    <mergeCell ref="G3:J3"/>
    <mergeCell ref="K3:N3"/>
    <mergeCell ref="O3:R3"/>
    <mergeCell ref="S3:V3"/>
    <mergeCell ref="W3:Z3"/>
    <mergeCell ref="AA3:AD3"/>
    <mergeCell ref="AE3:AH3"/>
    <mergeCell ref="AI3:AL3"/>
    <mergeCell ref="AM3:AP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1" width="28"/>
    <col collapsed="false" customWidth="true" hidden="false" outlineLevel="0" max="2" min="2" style="1" width="9"/>
    <col collapsed="false" customWidth="true" hidden="false" outlineLevel="0" max="6" min="3" style="1" width="10"/>
    <col collapsed="false" customWidth="true" hidden="false" outlineLevel="0" max="10" min="7" style="1" width="8"/>
    <col collapsed="false" customWidth="true" hidden="false" outlineLevel="0" max="14" min="11" style="1" width="11"/>
    <col collapsed="false" customWidth="true" hidden="false" outlineLevel="0" max="38" min="15" style="1" width="7.42"/>
  </cols>
  <sheetData>
    <row r="1" customFormat="false" ht="15.75" hidden="false" customHeight="true" outlineLevel="0" collapsed="false">
      <c r="A1" s="65" t="s">
        <v>251</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customFormat="false" ht="37.5" hidden="false" customHeight="true" outlineLevel="0" collapsed="false">
      <c r="A3" s="7"/>
      <c r="B3" s="7"/>
      <c r="C3" s="8" t="s">
        <v>161</v>
      </c>
      <c r="D3" s="8"/>
      <c r="E3" s="8"/>
      <c r="F3" s="8"/>
      <c r="G3" s="9" t="s">
        <v>110</v>
      </c>
      <c r="H3" s="9"/>
      <c r="I3" s="9"/>
      <c r="J3" s="9"/>
      <c r="K3" s="10" t="s">
        <v>162</v>
      </c>
      <c r="L3" s="10"/>
      <c r="M3" s="10"/>
      <c r="N3" s="10"/>
      <c r="O3" s="11" t="s">
        <v>6</v>
      </c>
      <c r="P3" s="11"/>
      <c r="Q3" s="11"/>
      <c r="R3" s="11"/>
      <c r="S3" s="11" t="s">
        <v>7</v>
      </c>
      <c r="T3" s="11"/>
      <c r="U3" s="11"/>
      <c r="V3" s="11"/>
      <c r="W3" s="11" t="s">
        <v>8</v>
      </c>
      <c r="X3" s="11"/>
      <c r="Y3" s="11"/>
      <c r="Z3" s="11"/>
      <c r="AA3" s="11" t="s">
        <v>9</v>
      </c>
      <c r="AB3" s="11"/>
      <c r="AC3" s="11"/>
      <c r="AD3" s="11"/>
      <c r="AE3" s="11" t="s">
        <v>163</v>
      </c>
      <c r="AF3" s="11"/>
      <c r="AG3" s="11"/>
      <c r="AH3" s="11"/>
      <c r="AI3" s="11" t="s">
        <v>11</v>
      </c>
      <c r="AJ3" s="11"/>
      <c r="AK3" s="11"/>
      <c r="AL3" s="11"/>
      <c r="AM3" s="12" t="s">
        <v>164</v>
      </c>
      <c r="AN3" s="12"/>
      <c r="AO3" s="12"/>
      <c r="AP3" s="12"/>
    </row>
    <row r="4" customFormat="false" ht="27.75" hidden="false" customHeight="true" outlineLevel="0" collapsed="false">
      <c r="A4" s="14" t="s">
        <v>165</v>
      </c>
      <c r="B4" s="14"/>
      <c r="C4" s="14" t="s">
        <v>15</v>
      </c>
      <c r="D4" s="14" t="s">
        <v>16</v>
      </c>
      <c r="E4" s="14" t="s">
        <v>17</v>
      </c>
      <c r="F4" s="14" t="s">
        <v>18</v>
      </c>
      <c r="G4" s="14" t="s">
        <v>15</v>
      </c>
      <c r="H4" s="14" t="s">
        <v>16</v>
      </c>
      <c r="I4" s="14" t="s">
        <v>17</v>
      </c>
      <c r="J4" s="14" t="s">
        <v>19</v>
      </c>
      <c r="K4" s="14" t="s">
        <v>20</v>
      </c>
      <c r="L4" s="14" t="s">
        <v>21</v>
      </c>
      <c r="M4" s="14" t="s">
        <v>166</v>
      </c>
      <c r="N4" s="14" t="s">
        <v>23</v>
      </c>
      <c r="O4" s="14" t="s">
        <v>24</v>
      </c>
      <c r="P4" s="14" t="s">
        <v>25</v>
      </c>
      <c r="Q4" s="14" t="s">
        <v>26</v>
      </c>
      <c r="R4" s="14" t="s">
        <v>27</v>
      </c>
      <c r="S4" s="14" t="s">
        <v>24</v>
      </c>
      <c r="T4" s="14" t="s">
        <v>25</v>
      </c>
      <c r="U4" s="14" t="s">
        <v>26</v>
      </c>
      <c r="V4" s="14" t="s">
        <v>27</v>
      </c>
      <c r="W4" s="14" t="s">
        <v>24</v>
      </c>
      <c r="X4" s="14" t="s">
        <v>25</v>
      </c>
      <c r="Y4" s="14" t="s">
        <v>26</v>
      </c>
      <c r="Z4" s="14" t="s">
        <v>27</v>
      </c>
      <c r="AA4" s="14" t="s">
        <v>24</v>
      </c>
      <c r="AB4" s="14" t="s">
        <v>25</v>
      </c>
      <c r="AC4" s="14" t="s">
        <v>26</v>
      </c>
      <c r="AD4" s="14" t="s">
        <v>27</v>
      </c>
      <c r="AE4" s="14" t="s">
        <v>24</v>
      </c>
      <c r="AF4" s="14" t="s">
        <v>25</v>
      </c>
      <c r="AG4" s="14" t="s">
        <v>26</v>
      </c>
      <c r="AH4" s="14" t="s">
        <v>27</v>
      </c>
      <c r="AI4" s="14" t="s">
        <v>24</v>
      </c>
      <c r="AJ4" s="14" t="s">
        <v>25</v>
      </c>
      <c r="AK4" s="14" t="s">
        <v>26</v>
      </c>
      <c r="AL4" s="14" t="s">
        <v>27</v>
      </c>
      <c r="AM4" s="15" t="s">
        <v>28</v>
      </c>
      <c r="AN4" s="15" t="s">
        <v>29</v>
      </c>
      <c r="AO4" s="15" t="s">
        <v>30</v>
      </c>
      <c r="AP4" s="15" t="s">
        <v>31</v>
      </c>
    </row>
    <row r="5" customFormat="false" ht="27.75" hidden="false" customHeight="true" outlineLevel="0" collapsed="false">
      <c r="A5" s="82" t="s">
        <v>169</v>
      </c>
      <c r="B5" s="83"/>
      <c r="C5" s="84" t="n">
        <f aca="false">IF('Burden x Vehicle Matrix'!C13="","",'Burden x Vehicle Matrix'!C13)</f>
        <v>93280</v>
      </c>
      <c r="D5" s="84" t="n">
        <f aca="false">IF('Burden x Vehicle Matrix'!D13="","",'Burden x Vehicle Matrix'!D13)</f>
        <v>2650954</v>
      </c>
      <c r="E5" s="84" t="n">
        <f aca="false">IF('Burden x Vehicle Matrix'!E13="","",'Burden x Vehicle Matrix'!E13)</f>
        <v>202223</v>
      </c>
      <c r="F5" s="84" t="n">
        <f aca="false">IF('Burden x Vehicle Matrix'!F13="","",'Burden x Vehicle Matrix'!F13)</f>
        <v>2946457</v>
      </c>
      <c r="G5" s="85" t="n">
        <f aca="false">IF('Burden x Vehicle Matrix'!G13="","",'Burden x Vehicle Matrix'!G13)</f>
        <v>0.8628</v>
      </c>
      <c r="H5" s="85" t="n">
        <f aca="false">IF('Burden x Vehicle Matrix'!H13="","",'Burden x Vehicle Matrix'!H13)</f>
        <v>0.923</v>
      </c>
      <c r="I5" s="85" t="n">
        <f aca="false">IF('Burden x Vehicle Matrix'!I13="","",'Burden x Vehicle Matrix'!I13)</f>
        <v>0.7823</v>
      </c>
      <c r="J5" s="85" t="n">
        <f aca="false">IF('Burden x Vehicle Matrix'!J13="","",'Burden x Vehicle Matrix'!J13)</f>
        <v>0.8451</v>
      </c>
      <c r="K5" s="85" t="str">
        <f aca="false">IF('Burden x Vehicle Matrix'!K13="","",'Burden x Vehicle Matrix'!K13)</f>
        <v>51.5% (2019)</v>
      </c>
      <c r="L5" s="85" t="str">
        <f aca="false">IF('Burden x Vehicle Matrix'!L13="","",'Burden x Vehicle Matrix'!L13)</f>
        <v>34.3% (2019)</v>
      </c>
      <c r="M5" s="85" t="str">
        <f aca="false">IF('Burden x Vehicle Matrix'!M13="","",'Burden x Vehicle Matrix'!M13)</f>
        <v>45.2% (2019, serum)</v>
      </c>
      <c r="N5" s="85" t="str">
        <f aca="false">IF('Burden x Vehicle Matrix'!N13="","",'Burden x Vehicle Matrix'!N13)</f>
        <v>22.1% (2019)</v>
      </c>
      <c r="O5" s="85" t="n">
        <f aca="false">IF('Burden x Vehicle Matrix'!O13="","",'Burden x Vehicle Matrix'!O13)</f>
        <v>0.25</v>
      </c>
      <c r="P5" s="85" t="n">
        <f aca="false">IF('Burden x Vehicle Matrix'!P13="","",'Burden x Vehicle Matrix'!P13)</f>
        <v>0.9</v>
      </c>
      <c r="Q5" s="86" t="n">
        <f aca="false">IF('Burden x Vehicle Matrix'!Q13="","",'Burden x Vehicle Matrix'!Q13)</f>
        <v>340</v>
      </c>
      <c r="R5" s="85" t="str">
        <f aca="false">IF('Burden x Vehicle Matrix'!R13="","",'Burden x Vehicle Matrix'!R13)</f>
        <v>&lt;1%</v>
      </c>
      <c r="S5" s="85" t="n">
        <f aca="false">IF('Burden x Vehicle Matrix'!S13="","",'Burden x Vehicle Matrix'!S13)</f>
        <v>0.65</v>
      </c>
      <c r="T5" s="85" t="n">
        <f aca="false">IF('Burden x Vehicle Matrix'!T13="","",'Burden x Vehicle Matrix'!T13)</f>
        <v>0.98</v>
      </c>
      <c r="U5" s="86" t="n">
        <f aca="false">IF('Burden x Vehicle Matrix'!U13="","",'Burden x Vehicle Matrix'!U13)</f>
        <v>60</v>
      </c>
      <c r="V5" s="85" t="n">
        <f aca="false">IF('Burden x Vehicle Matrix'!V13="","",'Burden x Vehicle Matrix'!V13)</f>
        <v>0.52</v>
      </c>
      <c r="W5" s="85" t="str">
        <f aca="false">IF('Burden x Vehicle Matrix'!W13="","",'Burden x Vehicle Matrix'!W13)</f>
        <v/>
      </c>
      <c r="X5" s="85" t="str">
        <f aca="false">IF('Burden x Vehicle Matrix'!X13="","",'Burden x Vehicle Matrix'!X13)</f>
        <v>n/a</v>
      </c>
      <c r="Y5" s="86" t="str">
        <f aca="false">IF('Burden x Vehicle Matrix'!Y13="","",'Burden x Vehicle Matrix'!Y13)</f>
        <v>n/a</v>
      </c>
      <c r="Z5" s="85" t="str">
        <f aca="false">IF('Burden x Vehicle Matrix'!Z13="","",'Burden x Vehicle Matrix'!Z13)</f>
        <v>n/a</v>
      </c>
      <c r="AA5" s="85" t="str">
        <f aca="false">IF('Burden x Vehicle Matrix'!AA13="","",'Burden x Vehicle Matrix'!AA13)</f>
        <v/>
      </c>
      <c r="AB5" s="85" t="str">
        <f aca="false">IF('Burden x Vehicle Matrix'!AB13="","",'Burden x Vehicle Matrix'!AB13)</f>
        <v>n/a</v>
      </c>
      <c r="AC5" s="86" t="str">
        <f aca="false">IF('Burden x Vehicle Matrix'!AC13="","",'Burden x Vehicle Matrix'!AC13)</f>
        <v>n/a</v>
      </c>
      <c r="AD5" s="85" t="str">
        <f aca="false">IF('Burden x Vehicle Matrix'!AD13="","",'Burden x Vehicle Matrix'!AD13)</f>
        <v>n/a</v>
      </c>
      <c r="AE5" s="85" t="str">
        <f aca="false">IF('Burden x Vehicle Matrix'!AE13="","",'Burden x Vehicle Matrix'!AE13)</f>
        <v>n/a</v>
      </c>
      <c r="AF5" s="85" t="n">
        <f aca="false">IF('Burden x Vehicle Matrix'!AF13="","",'Burden x Vehicle Matrix'!AF13)</f>
        <v>1</v>
      </c>
      <c r="AG5" s="86" t="str">
        <f aca="false">IF('Burden x Vehicle Matrix'!AG13="","",'Burden x Vehicle Matrix'!AG13)</f>
        <v>n/a</v>
      </c>
      <c r="AH5" s="85" t="str">
        <f aca="false">IF('Burden x Vehicle Matrix'!AH13="","",'Burden x Vehicle Matrix'!AH13)</f>
        <v>n/a</v>
      </c>
      <c r="AI5" s="85" t="str">
        <f aca="false">IF('Burden x Vehicle Matrix'!AI13="","",'Burden x Vehicle Matrix'!AI13)</f>
        <v/>
      </c>
      <c r="AJ5" s="85" t="str">
        <f aca="false">IF('Burden x Vehicle Matrix'!AJ13="","",'Burden x Vehicle Matrix'!AJ13)</f>
        <v>n/a</v>
      </c>
      <c r="AK5" s="86" t="str">
        <f aca="false">IF('Burden x Vehicle Matrix'!AK13="","",'Burden x Vehicle Matrix'!AK13)</f>
        <v>n/a</v>
      </c>
      <c r="AL5" s="85" t="str">
        <f aca="false">IF('Burden x Vehicle Matrix'!AL13="","",'Burden x Vehicle Matrix'!AL13)</f>
        <v>n/a</v>
      </c>
      <c r="AM5" s="87" t="n">
        <v>3.95</v>
      </c>
      <c r="AN5" s="88" t="n">
        <v>0.603</v>
      </c>
      <c r="AO5" s="97" t="s">
        <v>38</v>
      </c>
      <c r="AP5" s="88" t="n">
        <v>0.465</v>
      </c>
    </row>
    <row r="6" customFormat="false" ht="15" hidden="false" customHeight="true" outlineLevel="0" collapsed="false">
      <c r="A6" s="89" t="s">
        <v>226</v>
      </c>
      <c r="B6" s="90"/>
      <c r="C6" s="91"/>
      <c r="D6" s="91"/>
      <c r="E6" s="91"/>
      <c r="F6" s="91"/>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row>
    <row r="7" customFormat="false" ht="15" hidden="false" customHeight="true" outlineLevel="0" collapsed="false">
      <c r="A7" s="83" t="s">
        <v>185</v>
      </c>
      <c r="B7" s="83"/>
      <c r="C7" s="92"/>
      <c r="D7" s="92"/>
      <c r="E7" s="92"/>
      <c r="F7" s="92"/>
      <c r="G7" s="93"/>
      <c r="H7" s="93"/>
      <c r="I7" s="93"/>
      <c r="J7" s="93"/>
      <c r="K7" s="94" t="n">
        <v>0.293</v>
      </c>
      <c r="L7" s="94" t="n">
        <v>0.187</v>
      </c>
      <c r="M7" s="93"/>
      <c r="N7" s="93"/>
      <c r="O7" s="93"/>
      <c r="P7" s="93"/>
      <c r="Q7" s="93"/>
      <c r="R7" s="93"/>
      <c r="S7" s="93"/>
      <c r="T7" s="93"/>
      <c r="U7" s="93"/>
      <c r="V7" s="93"/>
      <c r="W7" s="93"/>
      <c r="X7" s="93"/>
      <c r="Y7" s="93"/>
      <c r="Z7" s="93"/>
      <c r="AA7" s="93"/>
      <c r="AB7" s="93"/>
      <c r="AC7" s="93"/>
      <c r="AD7" s="93"/>
      <c r="AE7" s="93"/>
      <c r="AF7" s="93"/>
      <c r="AG7" s="93"/>
      <c r="AH7" s="93"/>
      <c r="AI7" s="93"/>
      <c r="AJ7" s="93"/>
      <c r="AK7" s="93"/>
      <c r="AL7" s="93"/>
    </row>
    <row r="8" customFormat="false" ht="15" hidden="false" customHeight="true" outlineLevel="0" collapsed="false">
      <c r="A8" s="83" t="s">
        <v>184</v>
      </c>
      <c r="B8" s="83"/>
      <c r="C8" s="92"/>
      <c r="D8" s="92"/>
      <c r="E8" s="92"/>
      <c r="F8" s="92"/>
      <c r="G8" s="93"/>
      <c r="H8" s="93"/>
      <c r="I8" s="93"/>
      <c r="J8" s="93"/>
      <c r="K8" s="93"/>
      <c r="L8" s="94" t="n">
        <v>0.174</v>
      </c>
      <c r="M8" s="93"/>
      <c r="N8" s="93"/>
      <c r="O8" s="93"/>
      <c r="P8" s="93"/>
      <c r="Q8" s="93"/>
      <c r="R8" s="93"/>
      <c r="S8" s="93"/>
      <c r="T8" s="93"/>
      <c r="U8" s="93"/>
      <c r="V8" s="93"/>
      <c r="W8" s="93"/>
      <c r="X8" s="93"/>
      <c r="Y8" s="93"/>
      <c r="Z8" s="93"/>
      <c r="AA8" s="93"/>
      <c r="AB8" s="93"/>
      <c r="AC8" s="93"/>
      <c r="AD8" s="93"/>
      <c r="AE8" s="93"/>
      <c r="AF8" s="93"/>
      <c r="AG8" s="93"/>
      <c r="AH8" s="93"/>
      <c r="AI8" s="93"/>
      <c r="AJ8" s="93"/>
      <c r="AK8" s="93"/>
      <c r="AL8" s="93"/>
    </row>
    <row r="10" customFormat="false" ht="14.25" hidden="false" customHeight="true" outlineLevel="0" collapsed="false">
      <c r="A10" s="100" t="s">
        <v>252</v>
      </c>
    </row>
  </sheetData>
  <mergeCells count="10">
    <mergeCell ref="C3:F3"/>
    <mergeCell ref="G3:J3"/>
    <mergeCell ref="K3:N3"/>
    <mergeCell ref="O3:R3"/>
    <mergeCell ref="S3:V3"/>
    <mergeCell ref="W3:Z3"/>
    <mergeCell ref="AA3:AD3"/>
    <mergeCell ref="AE3:AH3"/>
    <mergeCell ref="AI3:AL3"/>
    <mergeCell ref="AM3:AP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1" width="28"/>
    <col collapsed="false" customWidth="true" hidden="false" outlineLevel="0" max="2" min="2" style="1" width="9"/>
    <col collapsed="false" customWidth="true" hidden="false" outlineLevel="0" max="6" min="3" style="1" width="10"/>
    <col collapsed="false" customWidth="true" hidden="false" outlineLevel="0" max="10" min="7" style="1" width="8"/>
    <col collapsed="false" customWidth="true" hidden="false" outlineLevel="0" max="14" min="11" style="1" width="11"/>
    <col collapsed="false" customWidth="true" hidden="false" outlineLevel="0" max="38" min="15" style="1" width="7.42"/>
  </cols>
  <sheetData>
    <row r="1" customFormat="false" ht="15.75" hidden="false" customHeight="true" outlineLevel="0" collapsed="false">
      <c r="A1" s="65" t="s">
        <v>253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customFormat="false" ht="37.5" hidden="false" customHeight="true" outlineLevel="0" collapsed="false">
      <c r="A3" s="7"/>
      <c r="B3" s="7"/>
      <c r="C3" s="8" t="s">
        <v>161</v>
      </c>
      <c r="D3" s="8"/>
      <c r="E3" s="8"/>
      <c r="F3" s="8"/>
      <c r="G3" s="9" t="s">
        <v>110</v>
      </c>
      <c r="H3" s="9"/>
      <c r="I3" s="9"/>
      <c r="J3" s="9"/>
      <c r="K3" s="10" t="s">
        <v>162</v>
      </c>
      <c r="L3" s="10"/>
      <c r="M3" s="10"/>
      <c r="N3" s="10"/>
      <c r="O3" s="11" t="s">
        <v>6</v>
      </c>
      <c r="P3" s="11"/>
      <c r="Q3" s="11"/>
      <c r="R3" s="11"/>
      <c r="S3" s="11" t="s">
        <v>7</v>
      </c>
      <c r="T3" s="11"/>
      <c r="U3" s="11"/>
      <c r="V3" s="11"/>
      <c r="W3" s="11" t="s">
        <v>8</v>
      </c>
      <c r="X3" s="11"/>
      <c r="Y3" s="11"/>
      <c r="Z3" s="11"/>
      <c r="AA3" s="11" t="s">
        <v>9</v>
      </c>
      <c r="AB3" s="11"/>
      <c r="AC3" s="11"/>
      <c r="AD3" s="11"/>
      <c r="AE3" s="11" t="s">
        <v>163</v>
      </c>
      <c r="AF3" s="11"/>
      <c r="AG3" s="11"/>
      <c r="AH3" s="11"/>
      <c r="AI3" s="11" t="s">
        <v>11</v>
      </c>
      <c r="AJ3" s="11"/>
      <c r="AK3" s="11"/>
      <c r="AL3" s="11"/>
      <c r="AM3" s="12" t="s">
        <v>164</v>
      </c>
      <c r="AN3" s="12"/>
      <c r="AO3" s="12"/>
      <c r="AP3" s="12"/>
    </row>
    <row r="4" customFormat="false" ht="27.75" hidden="false" customHeight="true" outlineLevel="0" collapsed="false">
      <c r="A4" s="14" t="s">
        <v>165</v>
      </c>
      <c r="B4" s="14"/>
      <c r="C4" s="14" t="s">
        <v>15</v>
      </c>
      <c r="D4" s="14" t="s">
        <v>16</v>
      </c>
      <c r="E4" s="14" t="s">
        <v>17</v>
      </c>
      <c r="F4" s="14" t="s">
        <v>18</v>
      </c>
      <c r="G4" s="14" t="s">
        <v>15</v>
      </c>
      <c r="H4" s="14" t="s">
        <v>16</v>
      </c>
      <c r="I4" s="14" t="s">
        <v>17</v>
      </c>
      <c r="J4" s="14" t="s">
        <v>19</v>
      </c>
      <c r="K4" s="14" t="s">
        <v>20</v>
      </c>
      <c r="L4" s="14" t="s">
        <v>21</v>
      </c>
      <c r="M4" s="14" t="s">
        <v>166</v>
      </c>
      <c r="N4" s="14" t="s">
        <v>23</v>
      </c>
      <c r="O4" s="14" t="s">
        <v>24</v>
      </c>
      <c r="P4" s="14" t="s">
        <v>25</v>
      </c>
      <c r="Q4" s="14" t="s">
        <v>26</v>
      </c>
      <c r="R4" s="14" t="s">
        <v>27</v>
      </c>
      <c r="S4" s="14" t="s">
        <v>24</v>
      </c>
      <c r="T4" s="14" t="s">
        <v>25</v>
      </c>
      <c r="U4" s="14" t="s">
        <v>26</v>
      </c>
      <c r="V4" s="14" t="s">
        <v>27</v>
      </c>
      <c r="W4" s="14" t="s">
        <v>24</v>
      </c>
      <c r="X4" s="14" t="s">
        <v>25</v>
      </c>
      <c r="Y4" s="14" t="s">
        <v>26</v>
      </c>
      <c r="Z4" s="14" t="s">
        <v>27</v>
      </c>
      <c r="AA4" s="14" t="s">
        <v>24</v>
      </c>
      <c r="AB4" s="14" t="s">
        <v>25</v>
      </c>
      <c r="AC4" s="14" t="s">
        <v>26</v>
      </c>
      <c r="AD4" s="14" t="s">
        <v>27</v>
      </c>
      <c r="AE4" s="14" t="s">
        <v>24</v>
      </c>
      <c r="AF4" s="14" t="s">
        <v>25</v>
      </c>
      <c r="AG4" s="14" t="s">
        <v>26</v>
      </c>
      <c r="AH4" s="14" t="s">
        <v>27</v>
      </c>
      <c r="AI4" s="14" t="s">
        <v>24</v>
      </c>
      <c r="AJ4" s="14" t="s">
        <v>25</v>
      </c>
      <c r="AK4" s="14" t="s">
        <v>26</v>
      </c>
      <c r="AL4" s="14" t="s">
        <v>27</v>
      </c>
      <c r="AM4" s="15" t="s">
        <v>28</v>
      </c>
      <c r="AN4" s="15" t="s">
        <v>29</v>
      </c>
      <c r="AO4" s="15" t="s">
        <v>30</v>
      </c>
      <c r="AP4" s="15" t="s">
        <v>31</v>
      </c>
    </row>
    <row r="5" customFormat="false" ht="27.75" hidden="false" customHeight="true" outlineLevel="0" collapsed="false">
      <c r="A5" s="82" t="s">
        <v>169</v>
      </c>
      <c r="B5" s="83"/>
      <c r="C5" s="84" t="n">
        <f aca="false">IF('Burden x Vehicle Matrix'!C14="","",'Burden x Vehicle Matrix'!C14)</f>
        <v>31614</v>
      </c>
      <c r="D5" s="84" t="n">
        <f aca="false">IF('Burden x Vehicle Matrix'!D14="","",'Burden x Vehicle Matrix'!D14)</f>
        <v>804646</v>
      </c>
      <c r="E5" s="84" t="n">
        <f aca="false">IF('Burden x Vehicle Matrix'!E14="","",'Burden x Vehicle Matrix'!E14)</f>
        <v>60295</v>
      </c>
      <c r="F5" s="84" t="n">
        <f aca="false">IF('Burden x Vehicle Matrix'!F14="","",'Burden x Vehicle Matrix'!F14)</f>
        <v>896555</v>
      </c>
      <c r="G5" s="85" t="n">
        <f aca="false">IF('Burden x Vehicle Matrix'!G14="","",'Burden x Vehicle Matrix'!G14)</f>
        <v>0.96</v>
      </c>
      <c r="H5" s="85" t="n">
        <f aca="false">IF('Burden x Vehicle Matrix'!H14="","",'Burden x Vehicle Matrix'!H14)</f>
        <v>0.65</v>
      </c>
      <c r="I5" s="85" t="n">
        <f aca="false">IF('Burden x Vehicle Matrix'!I14="","",'Burden x Vehicle Matrix'!I14)</f>
        <v>0.57</v>
      </c>
      <c r="J5" s="85" t="n">
        <f aca="false">IF('Burden x Vehicle Matrix'!J14="","",'Burden x Vehicle Matrix'!J14)</f>
        <v>0.69</v>
      </c>
      <c r="K5" s="85" t="n">
        <f aca="false">IF('Burden x Vehicle Matrix'!K14="","",'Burden x Vehicle Matrix'!K14)</f>
        <v>0.05</v>
      </c>
      <c r="L5" s="85" t="n">
        <f aca="false">IF('Burden x Vehicle Matrix'!L14="","",'Burden x Vehicle Matrix'!L14)</f>
        <v>0.3</v>
      </c>
      <c r="M5" s="85" t="n">
        <f aca="false">IF('Burden x Vehicle Matrix'!M14="","",'Burden x Vehicle Matrix'!M14)</f>
        <v>0.52</v>
      </c>
      <c r="N5" s="85" t="str">
        <f aca="false">IF('Burden x Vehicle Matrix'!N14="","",'Burden x Vehicle Matrix'!N14)</f>
        <v>n/a</v>
      </c>
      <c r="O5" s="85" t="n">
        <f aca="false">IF('Burden x Vehicle Matrix'!O14="","",'Burden x Vehicle Matrix'!O14)</f>
        <v>1</v>
      </c>
      <c r="P5" s="85" t="n">
        <f aca="false">IF('Burden x Vehicle Matrix'!P14="","",'Burden x Vehicle Matrix'!P14)</f>
        <v>0.529</v>
      </c>
      <c r="Q5" s="86" t="n">
        <f aca="false">IF('Burden x Vehicle Matrix'!Q14="","",'Burden x Vehicle Matrix'!Q14)</f>
        <v>25</v>
      </c>
      <c r="R5" s="85" t="n">
        <f aca="false">IF('Burden x Vehicle Matrix'!R14="","",'Burden x Vehicle Matrix'!R14)</f>
        <v>0.79</v>
      </c>
      <c r="S5" s="85" t="n">
        <f aca="false">IF('Burden x Vehicle Matrix'!S14="","",'Burden x Vehicle Matrix'!S14)</f>
        <v>1</v>
      </c>
      <c r="T5" s="85" t="str">
        <f aca="false">IF('Burden x Vehicle Matrix'!T14="","",'Burden x Vehicle Matrix'!T14)</f>
        <v>n/a</v>
      </c>
      <c r="U5" s="86" t="n">
        <f aca="false">IF('Burden x Vehicle Matrix'!U14="","",'Burden x Vehicle Matrix'!U14)</f>
        <v>22</v>
      </c>
      <c r="V5" s="85" t="n">
        <f aca="false">IF('Burden x Vehicle Matrix'!V14="","",'Burden x Vehicle Matrix'!V14)</f>
        <v>0.38</v>
      </c>
      <c r="W5" s="85" t="str">
        <f aca="false">IF('Burden x Vehicle Matrix'!W14="","",'Burden x Vehicle Matrix'!W14)</f>
        <v/>
      </c>
      <c r="X5" s="85" t="str">
        <f aca="false">IF('Burden x Vehicle Matrix'!X14="","",'Burden x Vehicle Matrix'!X14)</f>
        <v>n/a</v>
      </c>
      <c r="Y5" s="86" t="n">
        <f aca="false">IF('Burden x Vehicle Matrix'!Y14="","",'Burden x Vehicle Matrix'!Y14)</f>
        <v>370</v>
      </c>
      <c r="Z5" s="85" t="str">
        <f aca="false">IF('Burden x Vehicle Matrix'!Z14="","",'Burden x Vehicle Matrix'!Z14)</f>
        <v>n/a</v>
      </c>
      <c r="AA5" s="85" t="str">
        <f aca="false">IF('Burden x Vehicle Matrix'!AA14="","",'Burden x Vehicle Matrix'!AA14)</f>
        <v/>
      </c>
      <c r="AB5" s="85" t="str">
        <f aca="false">IF('Burden x Vehicle Matrix'!AB14="","",'Burden x Vehicle Matrix'!AB14)</f>
        <v>n/a</v>
      </c>
      <c r="AC5" s="86" t="str">
        <f aca="false">IF('Burden x Vehicle Matrix'!AC14="","",'Burden x Vehicle Matrix'!AC14)</f>
        <v>n/a</v>
      </c>
      <c r="AD5" s="85" t="str">
        <f aca="false">IF('Burden x Vehicle Matrix'!AD14="","",'Burden x Vehicle Matrix'!AD14)</f>
        <v>n/a</v>
      </c>
      <c r="AE5" s="85" t="str">
        <f aca="false">IF('Burden x Vehicle Matrix'!AE14="","",'Burden x Vehicle Matrix'!AE14)</f>
        <v>n/a</v>
      </c>
      <c r="AF5" s="85" t="n">
        <f aca="false">IF('Burden x Vehicle Matrix'!AF14="","",'Burden x Vehicle Matrix'!AF14)</f>
        <v>1</v>
      </c>
      <c r="AG5" s="86" t="str">
        <f aca="false">IF('Burden x Vehicle Matrix'!AG14="","",'Burden x Vehicle Matrix'!AG14)</f>
        <v>n/a</v>
      </c>
      <c r="AH5" s="85" t="str">
        <f aca="false">IF('Burden x Vehicle Matrix'!AH14="","",'Burden x Vehicle Matrix'!AH14)</f>
        <v>n/a</v>
      </c>
      <c r="AI5" s="85" t="str">
        <f aca="false">IF('Burden x Vehicle Matrix'!AI14="","",'Burden x Vehicle Matrix'!AI14)</f>
        <v/>
      </c>
      <c r="AJ5" s="85" t="str">
        <f aca="false">IF('Burden x Vehicle Matrix'!AJ14="","",'Burden x Vehicle Matrix'!AJ14)</f>
        <v>n/a</v>
      </c>
      <c r="AK5" s="86" t="str">
        <f aca="false">IF('Burden x Vehicle Matrix'!AK14="","",'Burden x Vehicle Matrix'!AK14)</f>
        <v>n/a</v>
      </c>
      <c r="AL5" s="85" t="str">
        <f aca="false">IF('Burden x Vehicle Matrix'!AL14="","",'Burden x Vehicle Matrix'!AL14)</f>
        <v>n/a</v>
      </c>
      <c r="AM5" s="87" t="n">
        <v>3.37</v>
      </c>
      <c r="AN5" s="88" t="n">
        <v>0.738</v>
      </c>
      <c r="AO5" s="97" t="s">
        <v>38</v>
      </c>
      <c r="AP5" s="88" t="n">
        <v>0.388</v>
      </c>
    </row>
    <row r="6" customFormat="false" ht="15" hidden="false" customHeight="true" outlineLevel="0" collapsed="false">
      <c r="A6" s="98"/>
      <c r="B6" s="3"/>
      <c r="C6" s="99"/>
      <c r="D6" s="99"/>
      <c r="E6" s="99"/>
      <c r="F6" s="99"/>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row>
    <row r="7" customFormat="false" ht="14.25" hidden="false" customHeight="true" outlineLevel="0" collapsed="false">
      <c r="A7" s="100" t="s">
        <v>252</v>
      </c>
    </row>
  </sheetData>
  <mergeCells count="10">
    <mergeCell ref="C3:F3"/>
    <mergeCell ref="G3:J3"/>
    <mergeCell ref="K3:N3"/>
    <mergeCell ref="O3:R3"/>
    <mergeCell ref="S3:V3"/>
    <mergeCell ref="W3:Z3"/>
    <mergeCell ref="AA3:AD3"/>
    <mergeCell ref="AE3:AH3"/>
    <mergeCell ref="AI3:AL3"/>
    <mergeCell ref="AM3:AP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L13" activeCellId="0" sqref="L13"/>
    </sheetView>
  </sheetViews>
  <sheetFormatPr defaultColWidth="8.71484375" defaultRowHeight="15" zeroHeight="false" outlineLevelRow="0" outlineLevelCol="0"/>
  <cols>
    <col collapsed="false" customWidth="true" hidden="false" outlineLevel="0" max="1" min="1" style="101" width="12"/>
    <col collapsed="false" customWidth="true" hidden="false" outlineLevel="0" max="2" min="2" style="101" width="13"/>
    <col collapsed="false" customWidth="true" hidden="false" outlineLevel="0" max="3" min="3" style="101" width="11"/>
    <col collapsed="false" customWidth="true" hidden="false" outlineLevel="0" max="4" min="4" style="101" width="12"/>
    <col collapsed="false" customWidth="true" hidden="false" outlineLevel="0" max="5" min="5" style="101" width="11"/>
    <col collapsed="false" customWidth="true" hidden="false" outlineLevel="0" max="6" min="6" style="102" width="14"/>
    <col collapsed="false" customWidth="true" hidden="false" outlineLevel="0" max="7" min="7" style="101" width="11"/>
    <col collapsed="false" customWidth="true" hidden="false" outlineLevel="0" max="8" min="8" style="101" width="12"/>
    <col collapsed="false" customWidth="true" hidden="false" outlineLevel="0" max="9" min="9" style="101" width="11"/>
    <col collapsed="false" customWidth="true" hidden="false" outlineLevel="0" max="10" min="10" style="101" width="14"/>
    <col collapsed="false" customWidth="true" hidden="false" outlineLevel="0" max="11" min="11" style="101" width="11"/>
    <col collapsed="false" customWidth="true" hidden="false" outlineLevel="0" max="12" min="12" style="101" width="12"/>
    <col collapsed="false" customWidth="true" hidden="false" outlineLevel="0" max="13" min="13" style="101" width="11"/>
    <col collapsed="false" customWidth="true" hidden="false" outlineLevel="0" max="14" min="14" style="101" width="14"/>
    <col collapsed="false" customWidth="false" hidden="false" outlineLevel="0" max="16384" min="15" style="101" width="8.71"/>
  </cols>
  <sheetData>
    <row r="1" customFormat="false" ht="15" hidden="false" customHeight="true" outlineLevel="0" collapsed="false">
      <c r="A1" s="103" t="s">
        <v>254</v>
      </c>
      <c r="G1" s="104" t="s">
        <v>255</v>
      </c>
      <c r="H1" s="105"/>
      <c r="I1" s="105"/>
      <c r="J1" s="105"/>
      <c r="N1" s="106" t="s">
        <v>256</v>
      </c>
    </row>
    <row r="2" customFormat="false" ht="15" hidden="false" customHeight="true" outlineLevel="0" collapsed="false">
      <c r="A2" s="103"/>
    </row>
    <row r="3" s="101" customFormat="true" ht="15" hidden="false" customHeight="true" outlineLevel="0" collapsed="false">
      <c r="A3" s="107" t="s">
        <v>257</v>
      </c>
      <c r="B3" s="103"/>
    </row>
    <row r="4" s="101" customFormat="true" ht="15" hidden="false" customHeight="true" outlineLevel="0" collapsed="false">
      <c r="A4" s="107"/>
      <c r="B4" s="103"/>
    </row>
    <row r="5" customFormat="false" ht="42" hidden="false" customHeight="true" outlineLevel="0" collapsed="false">
      <c r="A5" s="108" t="s">
        <v>258</v>
      </c>
      <c r="B5" s="108"/>
      <c r="C5" s="108"/>
      <c r="D5" s="108"/>
      <c r="E5" s="108"/>
      <c r="F5" s="108"/>
      <c r="G5" s="108"/>
      <c r="H5" s="108"/>
      <c r="I5" s="108"/>
      <c r="J5" s="108"/>
      <c r="K5" s="108"/>
      <c r="L5" s="108"/>
      <c r="M5" s="108"/>
      <c r="N5" s="108"/>
    </row>
    <row r="6" customFormat="false" ht="13.5" hidden="false" customHeight="true" outlineLevel="0" collapsed="false">
      <c r="F6" s="109"/>
    </row>
    <row r="7" s="3" customFormat="true" ht="52.5" hidden="false" customHeight="true" outlineLevel="0" collapsed="false">
      <c r="A7" s="110" t="s">
        <v>13</v>
      </c>
      <c r="B7" s="110" t="s">
        <v>259</v>
      </c>
      <c r="C7" s="110" t="s">
        <v>260</v>
      </c>
      <c r="D7" s="110" t="s">
        <v>261</v>
      </c>
      <c r="E7" s="110" t="s">
        <v>262</v>
      </c>
      <c r="F7" s="110" t="s">
        <v>263</v>
      </c>
      <c r="G7" s="110" t="s">
        <v>264</v>
      </c>
      <c r="H7" s="110" t="s">
        <v>265</v>
      </c>
      <c r="I7" s="110" t="s">
        <v>266</v>
      </c>
      <c r="J7" s="110" t="s">
        <v>267</v>
      </c>
      <c r="K7" s="110" t="s">
        <v>268</v>
      </c>
      <c r="L7" s="110" t="s">
        <v>269</v>
      </c>
      <c r="M7" s="110" t="s">
        <v>270</v>
      </c>
      <c r="N7" s="110" t="s">
        <v>271</v>
      </c>
    </row>
    <row r="8" s="3" customFormat="true" ht="10.5" hidden="false" customHeight="true" outlineLevel="0" collapsed="false">
      <c r="A8" s="111" t="s">
        <v>50</v>
      </c>
      <c r="B8" s="57" t="s">
        <v>6</v>
      </c>
      <c r="C8" s="112" t="n">
        <f aca="false">'Burden x Vehicle Matrix'!P9</f>
        <v>0.28</v>
      </c>
      <c r="D8" s="112" t="n">
        <f aca="false">'Burden x Vehicle Matrix'!O9</f>
        <v>1</v>
      </c>
      <c r="E8" s="112" t="n">
        <f aca="false">'Burden x Vehicle Matrix'!R9</f>
        <v>0.63</v>
      </c>
      <c r="F8" s="113" t="n">
        <f aca="false">IF(OR(ISTEXT(C8),ISTEXT(D8),ISTEXT(E8)),"n/a",C8*D8*E8)</f>
        <v>0.1764</v>
      </c>
      <c r="G8" s="114" t="n">
        <v>0.28</v>
      </c>
      <c r="H8" s="114" t="n">
        <v>1</v>
      </c>
      <c r="I8" s="114" t="n">
        <v>0.8</v>
      </c>
      <c r="J8" s="114" t="n">
        <f aca="false">IF(OR(ISTEXT(G8),ISTEXT(H8),ISTEXT(I8)),"n/a",G8*H8*I8)</f>
        <v>0.224</v>
      </c>
      <c r="K8" s="115" t="n">
        <v>0.28</v>
      </c>
      <c r="L8" s="115" t="n">
        <v>1</v>
      </c>
      <c r="M8" s="115" t="n">
        <v>0.85</v>
      </c>
      <c r="N8" s="115" t="n">
        <f aca="false">IF(OR(ISTEXT(K8),ISTEXT(L8),ISTEXT(M8)),"n/a",K8*L8*M8)</f>
        <v>0.238</v>
      </c>
    </row>
    <row r="9" s="3" customFormat="true" ht="10.5" hidden="false" customHeight="true" outlineLevel="0" collapsed="false">
      <c r="A9" s="57" t="s">
        <v>50</v>
      </c>
      <c r="B9" s="57" t="s">
        <v>7</v>
      </c>
      <c r="C9" s="112" t="n">
        <f aca="false">'Burden x Vehicle Matrix'!T9</f>
        <v>0.903</v>
      </c>
      <c r="D9" s="112" t="n">
        <f aca="false">'Burden x Vehicle Matrix'!S9</f>
        <v>0.329</v>
      </c>
      <c r="E9" s="112" t="n">
        <f aca="false">'Burden x Vehicle Matrix'!V9</f>
        <v>0.6</v>
      </c>
      <c r="F9" s="113" t="n">
        <f aca="false">IF(OR(ISTEXT(C9),ISTEXT(D9),ISTEXT(E9)),"n/a",C9*D9*E9)</f>
        <v>0.1782522</v>
      </c>
      <c r="G9" s="114" t="n">
        <v>0.903</v>
      </c>
      <c r="H9" s="114" t="n">
        <v>0.5</v>
      </c>
      <c r="I9" s="114" t="n">
        <v>0.8</v>
      </c>
      <c r="J9" s="114" t="n">
        <f aca="false">IF(OR(ISTEXT(G9),ISTEXT(H9),ISTEXT(I9)),"n/a",G9*H9*I9)</f>
        <v>0.3612</v>
      </c>
      <c r="K9" s="115" t="n">
        <v>0.903</v>
      </c>
      <c r="L9" s="115" t="n">
        <v>0.5</v>
      </c>
      <c r="M9" s="115" t="n">
        <v>0.85</v>
      </c>
      <c r="N9" s="115" t="n">
        <f aca="false">IF(OR(ISTEXT(K9),ISTEXT(L9),ISTEXT(M9)),"n/a",K9*L9*M9)</f>
        <v>0.383775</v>
      </c>
    </row>
    <row r="10" s="3" customFormat="true" ht="10.5" hidden="false" customHeight="true" outlineLevel="0" collapsed="false">
      <c r="A10" s="57" t="s">
        <v>50</v>
      </c>
      <c r="B10" s="57" t="s">
        <v>8</v>
      </c>
      <c r="C10" s="112" t="n">
        <f aca="false">'Burden x Vehicle Matrix'!X9</f>
        <v>0.54</v>
      </c>
      <c r="D10" s="112" t="str">
        <f aca="false">'Burden x Vehicle Matrix'!W9</f>
        <v>n/a</v>
      </c>
      <c r="E10" s="112" t="str">
        <f aca="false">'Burden x Vehicle Matrix'!Z9</f>
        <v>n/a</v>
      </c>
      <c r="F10" s="113" t="str">
        <f aca="false">IF(OR(ISTEXT(C10),ISTEXT(D10),ISTEXT(E10)),"n/a",C10*D10*E10)</f>
        <v>n/a</v>
      </c>
      <c r="G10" s="114" t="n">
        <v>0.54</v>
      </c>
      <c r="H10" s="116" t="n">
        <v>0.7</v>
      </c>
      <c r="I10" s="114" t="n">
        <v>0.5</v>
      </c>
      <c r="J10" s="114" t="n">
        <f aca="false">IF(OR(ISTEXT(G10),ISTEXT(H10),ISTEXT(I10)),"n/a",G10*H10*I10)</f>
        <v>0.189</v>
      </c>
      <c r="K10" s="115" t="n">
        <v>0.54</v>
      </c>
      <c r="L10" s="117" t="n">
        <v>0.9</v>
      </c>
      <c r="M10" s="115" t="n">
        <v>0.85</v>
      </c>
      <c r="N10" s="115" t="n">
        <f aca="false">IF(OR(ISTEXT(K10),ISTEXT(L10),ISTEXT(M10)),"n/a",K10*L10*M10)</f>
        <v>0.4131</v>
      </c>
    </row>
    <row r="11" s="3" customFormat="true" ht="10.5" hidden="false" customHeight="true" outlineLevel="0" collapsed="false">
      <c r="A11" s="57" t="s">
        <v>50</v>
      </c>
      <c r="B11" s="57" t="s">
        <v>9</v>
      </c>
      <c r="C11" s="118" t="n">
        <f aca="false">'Burden x Vehicle Matrix'!AB9</f>
        <v>0.574</v>
      </c>
      <c r="D11" s="118" t="n">
        <f aca="false">'Burden x Vehicle Matrix'!AA9</f>
        <v>0.05</v>
      </c>
      <c r="E11" s="118" t="str">
        <f aca="false">'Burden x Vehicle Matrix'!AD9</f>
        <v>n/a</v>
      </c>
      <c r="F11" s="119" t="str">
        <f aca="false">IF(OR(ISTEXT(C11),ISTEXT(D11),ISTEXT(E11)),"n/a",C11*D11*E11)</f>
        <v>n/a</v>
      </c>
      <c r="G11" s="120" t="n">
        <v>0.574</v>
      </c>
      <c r="H11" s="120" t="n">
        <v>0.05</v>
      </c>
      <c r="I11" s="120" t="s">
        <v>38</v>
      </c>
      <c r="J11" s="120" t="str">
        <f aca="false">IF(OR(ISTEXT(G11),ISTEXT(H11),ISTEXT(I11)),"n/a",G11*H11*I11)</f>
        <v>n/a</v>
      </c>
      <c r="K11" s="121"/>
      <c r="L11" s="121"/>
      <c r="M11" s="121"/>
      <c r="N11" s="121" t="n">
        <f aca="false">IF(OR(ISTEXT(K11),ISTEXT(L11),ISTEXT(M11)),"n/a",K11*L11*M11)</f>
        <v>0</v>
      </c>
    </row>
    <row r="12" s="3" customFormat="true" ht="10.5" hidden="false" customHeight="true" outlineLevel="0" collapsed="false">
      <c r="A12" s="57" t="s">
        <v>50</v>
      </c>
      <c r="B12" s="57" t="s">
        <v>163</v>
      </c>
      <c r="C12" s="112" t="n">
        <f aca="false">'Burden x Vehicle Matrix'!AF9</f>
        <v>0.992</v>
      </c>
      <c r="D12" s="112" t="str">
        <f aca="false">'Burden x Vehicle Matrix'!AE9</f>
        <v>n/a</v>
      </c>
      <c r="E12" s="112" t="str">
        <f aca="false">'Burden x Vehicle Matrix'!AH9</f>
        <v>n/a</v>
      </c>
      <c r="F12" s="113" t="str">
        <f aca="false">IF(OR(ISTEXT(C12),ISTEXT(D12),ISTEXT(E12)),"n/a",C12*D12*E12)</f>
        <v>n/a</v>
      </c>
      <c r="G12" s="114" t="n">
        <v>0.992</v>
      </c>
      <c r="H12" s="114" t="n">
        <v>0.9</v>
      </c>
      <c r="I12" s="114" t="n">
        <v>0.92</v>
      </c>
      <c r="J12" s="114" t="n">
        <f aca="false">IF(OR(ISTEXT(G12),ISTEXT(H12),ISTEXT(I12)),"n/a",G12*H12*I12)</f>
        <v>0.821376</v>
      </c>
      <c r="K12" s="115" t="n">
        <v>0.992</v>
      </c>
      <c r="L12" s="115" t="n">
        <v>0.9</v>
      </c>
      <c r="M12" s="115" t="n">
        <v>0.95</v>
      </c>
      <c r="N12" s="115" t="n">
        <f aca="false">IF(OR(ISTEXT(K12),ISTEXT(L12),ISTEXT(M12)),"n/a",K12*L12*M12)</f>
        <v>0.84816</v>
      </c>
    </row>
    <row r="13" s="3" customFormat="true" ht="10.5" hidden="false" customHeight="true" outlineLevel="0" collapsed="false">
      <c r="A13" s="57" t="s">
        <v>50</v>
      </c>
      <c r="B13" s="57" t="s">
        <v>11</v>
      </c>
      <c r="C13" s="112" t="n">
        <f aca="false">'Burden x Vehicle Matrix'!AJ9</f>
        <v>0.981</v>
      </c>
      <c r="D13" s="112" t="str">
        <f aca="false">'Burden x Vehicle Matrix'!AI9</f>
        <v>n/a</v>
      </c>
      <c r="E13" s="112" t="str">
        <f aca="false">'Burden x Vehicle Matrix'!AL9</f>
        <v>n/a</v>
      </c>
      <c r="F13" s="113" t="str">
        <f aca="false">IF(OR(ISTEXT(C13),ISTEXT(D13),ISTEXT(E13)),"n/a",C13*D13*E13)</f>
        <v>n/a</v>
      </c>
      <c r="G13" s="114" t="n">
        <v>0.981</v>
      </c>
      <c r="H13" s="122" t="n">
        <v>0.7</v>
      </c>
      <c r="I13" s="114" t="n">
        <v>0.7</v>
      </c>
      <c r="J13" s="114" t="n">
        <f aca="false">IF(OR(ISTEXT(G13),ISTEXT(H13),ISTEXT(I13)),"n/a",G13*H13*I13)</f>
        <v>0.48069</v>
      </c>
      <c r="K13" s="115" t="n">
        <v>0.981</v>
      </c>
      <c r="L13" s="123" t="n">
        <v>1</v>
      </c>
      <c r="M13" s="115" t="n">
        <v>0.85</v>
      </c>
      <c r="N13" s="115" t="n">
        <f aca="false">IF(OR(ISTEXT(K13),ISTEXT(L13),ISTEXT(M13)),"n/a",K13*L13*M13)</f>
        <v>0.83385</v>
      </c>
    </row>
    <row r="14" s="3" customFormat="true" ht="10.5" hidden="false" customHeight="true" outlineLevel="0" collapsed="false">
      <c r="A14" s="111" t="s">
        <v>32</v>
      </c>
      <c r="B14" s="57" t="s">
        <v>6</v>
      </c>
      <c r="C14" s="112" t="n">
        <f aca="false">'Burden x Vehicle Matrix'!P6</f>
        <v>0.4</v>
      </c>
      <c r="D14" s="112" t="n">
        <f aca="false">'Burden x Vehicle Matrix'!O6</f>
        <v>0.6</v>
      </c>
      <c r="E14" s="112" t="n">
        <f aca="false">'Burden x Vehicle Matrix'!R6</f>
        <v>0.4</v>
      </c>
      <c r="F14" s="113" t="n">
        <f aca="false">IF(OR(ISTEXT(C14),ISTEXT(D14),ISTEXT(E14)),"n/a",C14*D14*E14)</f>
        <v>0.096</v>
      </c>
      <c r="G14" s="114" t="n">
        <v>0.4</v>
      </c>
      <c r="H14" s="114" t="n">
        <v>0.75</v>
      </c>
      <c r="I14" s="114" t="n">
        <v>0.8</v>
      </c>
      <c r="J14" s="114" t="n">
        <f aca="false">IF(OR(ISTEXT(G14),ISTEXT(H14),ISTEXT(I14)),"n/a",G14*H14*I14)</f>
        <v>0.24</v>
      </c>
      <c r="K14" s="115" t="n">
        <v>0.4</v>
      </c>
      <c r="L14" s="115" t="n">
        <v>0.75</v>
      </c>
      <c r="M14" s="115" t="n">
        <v>0.85</v>
      </c>
      <c r="N14" s="115" t="n">
        <f aca="false">IF(OR(ISTEXT(K14),ISTEXT(L14),ISTEXT(M14)),"n/a",K14*L14*M14)</f>
        <v>0.255</v>
      </c>
    </row>
    <row r="15" s="3" customFormat="true" ht="10.5" hidden="false" customHeight="true" outlineLevel="0" collapsed="false">
      <c r="A15" s="57" t="s">
        <v>32</v>
      </c>
      <c r="B15" s="57" t="s">
        <v>7</v>
      </c>
      <c r="C15" s="112" t="n">
        <f aca="false">'Burden x Vehicle Matrix'!T6</f>
        <v>0.9</v>
      </c>
      <c r="D15" s="112" t="n">
        <f aca="false">'Burden x Vehicle Matrix'!S6</f>
        <v>1</v>
      </c>
      <c r="E15" s="112" t="n">
        <f aca="false">'Burden x Vehicle Matrix'!V6</f>
        <v>0.5</v>
      </c>
      <c r="F15" s="113" t="n">
        <f aca="false">IF(OR(ISTEXT(C15),ISTEXT(D15),ISTEXT(E15)),"n/a",C15*D15*E15)</f>
        <v>0.45</v>
      </c>
      <c r="G15" s="114" t="n">
        <v>0.9</v>
      </c>
      <c r="H15" s="114" t="n">
        <v>1</v>
      </c>
      <c r="I15" s="114" t="n">
        <v>0.8</v>
      </c>
      <c r="J15" s="114" t="n">
        <f aca="false">IF(OR(ISTEXT(G15),ISTEXT(H15),ISTEXT(I15)),"n/a",G15*H15*I15)</f>
        <v>0.72</v>
      </c>
      <c r="K15" s="115" t="n">
        <v>0.9</v>
      </c>
      <c r="L15" s="115" t="n">
        <v>1</v>
      </c>
      <c r="M15" s="115" t="n">
        <v>0.85</v>
      </c>
      <c r="N15" s="115" t="n">
        <f aca="false">IF(OR(ISTEXT(K15),ISTEXT(L15),ISTEXT(M15)),"n/a",K15*L15*M15)</f>
        <v>0.765</v>
      </c>
    </row>
    <row r="16" s="3" customFormat="true" ht="10.5" hidden="false" customHeight="true" outlineLevel="0" collapsed="false">
      <c r="A16" s="57" t="s">
        <v>32</v>
      </c>
      <c r="B16" s="57" t="s">
        <v>8</v>
      </c>
      <c r="C16" s="118" t="str">
        <f aca="false">'Burden x Vehicle Matrix'!X6</f>
        <v>n/a</v>
      </c>
      <c r="D16" s="118" t="str">
        <f aca="false">'Burden x Vehicle Matrix'!W6</f>
        <v>n/a</v>
      </c>
      <c r="E16" s="118" t="str">
        <f aca="false">'Burden x Vehicle Matrix'!Z6</f>
        <v>n/a</v>
      </c>
      <c r="F16" s="119" t="str">
        <f aca="false">IF(OR(ISTEXT(C16),ISTEXT(D16),ISTEXT(E16)),"n/a",C16*D16*E16)</f>
        <v>n/a</v>
      </c>
      <c r="G16" s="120"/>
      <c r="H16" s="120"/>
      <c r="I16" s="120"/>
      <c r="J16" s="120" t="n">
        <f aca="false">IF(OR(ISTEXT(G16),ISTEXT(H16),ISTEXT(I16)),"n/a",G16*H16*I16)</f>
        <v>0</v>
      </c>
      <c r="K16" s="121"/>
      <c r="L16" s="121"/>
      <c r="M16" s="121"/>
      <c r="N16" s="121" t="n">
        <f aca="false">IF(OR(ISTEXT(K16),ISTEXT(L16),ISTEXT(M16)),"n/a",K16*L16*M16)</f>
        <v>0</v>
      </c>
    </row>
    <row r="17" s="3" customFormat="true" ht="10.5" hidden="false" customHeight="true" outlineLevel="0" collapsed="false">
      <c r="A17" s="57" t="s">
        <v>32</v>
      </c>
      <c r="B17" s="57" t="s">
        <v>9</v>
      </c>
      <c r="C17" s="118" t="str">
        <f aca="false">'Burden x Vehicle Matrix'!AB6</f>
        <v>n/a</v>
      </c>
      <c r="D17" s="118" t="str">
        <f aca="false">'Burden x Vehicle Matrix'!AA6</f>
        <v>n/a</v>
      </c>
      <c r="E17" s="118" t="str">
        <f aca="false">'Burden x Vehicle Matrix'!AD6</f>
        <v>n/a</v>
      </c>
      <c r="F17" s="119" t="str">
        <f aca="false">IF(OR(ISTEXT(C17),ISTEXT(D17),ISTEXT(E17)),"n/a",C17*D17*E17)</f>
        <v>n/a</v>
      </c>
      <c r="G17" s="120"/>
      <c r="H17" s="120"/>
      <c r="I17" s="120"/>
      <c r="J17" s="120" t="n">
        <f aca="false">IF(OR(ISTEXT(G17),ISTEXT(H17),ISTEXT(I17)),"n/a",G17*H17*I17)</f>
        <v>0</v>
      </c>
      <c r="K17" s="121"/>
      <c r="L17" s="121"/>
      <c r="M17" s="121"/>
      <c r="N17" s="121" t="n">
        <f aca="false">IF(OR(ISTEXT(K17),ISTEXT(L17),ISTEXT(M17)),"n/a",K17*L17*M17)</f>
        <v>0</v>
      </c>
    </row>
    <row r="18" s="3" customFormat="true" ht="10.5" hidden="false" customHeight="true" outlineLevel="0" collapsed="false">
      <c r="A18" s="57" t="s">
        <v>32</v>
      </c>
      <c r="B18" s="57" t="s">
        <v>163</v>
      </c>
      <c r="C18" s="112" t="n">
        <f aca="false">'Burden x Vehicle Matrix'!AF6</f>
        <v>0.98</v>
      </c>
      <c r="D18" s="112" t="n">
        <f aca="false">'Burden x Vehicle Matrix'!AE6</f>
        <v>0.95</v>
      </c>
      <c r="E18" s="112" t="n">
        <f aca="false">'Burden x Vehicle Matrix'!AH6</f>
        <v>0</v>
      </c>
      <c r="F18" s="113" t="n">
        <f aca="false">IF(OR(ISTEXT(C18),ISTEXT(D18),ISTEXT(E18)),"n/a",C18*D18*E18)</f>
        <v>0</v>
      </c>
      <c r="G18" s="114" t="n">
        <v>0.98</v>
      </c>
      <c r="H18" s="114" t="n">
        <v>0.95</v>
      </c>
      <c r="I18" s="114" t="n">
        <v>0.8</v>
      </c>
      <c r="J18" s="114" t="n">
        <f aca="false">IF(OR(ISTEXT(G18),ISTEXT(H18),ISTEXT(I18)),"n/a",G18*H18*I18)</f>
        <v>0.7448</v>
      </c>
      <c r="K18" s="115" t="n">
        <v>0.98</v>
      </c>
      <c r="L18" s="115" t="n">
        <v>0.95</v>
      </c>
      <c r="M18" s="115" t="n">
        <v>0.85</v>
      </c>
      <c r="N18" s="115" t="n">
        <f aca="false">IF(OR(ISTEXT(K18),ISTEXT(L18),ISTEXT(M18)),"n/a",K18*L18*M18)</f>
        <v>0.79135</v>
      </c>
    </row>
    <row r="19" s="3" customFormat="true" ht="10.5" hidden="false" customHeight="true" outlineLevel="0" collapsed="false">
      <c r="A19" s="57" t="s">
        <v>32</v>
      </c>
      <c r="B19" s="57" t="s">
        <v>11</v>
      </c>
      <c r="C19" s="118" t="str">
        <f aca="false">'Burden x Vehicle Matrix'!AJ6</f>
        <v>n/a</v>
      </c>
      <c r="D19" s="118" t="str">
        <f aca="false">'Burden x Vehicle Matrix'!AI6</f>
        <v>n/a</v>
      </c>
      <c r="E19" s="118" t="str">
        <f aca="false">'Burden x Vehicle Matrix'!AL6</f>
        <v>n/a</v>
      </c>
      <c r="F19" s="119" t="str">
        <f aca="false">IF(OR(ISTEXT(C19),ISTEXT(D19),ISTEXT(E19)),"n/a",C19*D19*E19)</f>
        <v>n/a</v>
      </c>
      <c r="G19" s="120"/>
      <c r="H19" s="120"/>
      <c r="I19" s="120"/>
      <c r="J19" s="120" t="n">
        <f aca="false">IF(OR(ISTEXT(G19),ISTEXT(H19),ISTEXT(I19)),"n/a",G19*H19*I19)</f>
        <v>0</v>
      </c>
      <c r="K19" s="121"/>
      <c r="L19" s="121"/>
      <c r="M19" s="121"/>
      <c r="N19" s="121" t="n">
        <f aca="false">IF(OR(ISTEXT(K19),ISTEXT(L19),ISTEXT(M19)),"n/a",K19*L19*M19)</f>
        <v>0</v>
      </c>
    </row>
    <row r="20" s="3" customFormat="true" ht="10.5" hidden="false" customHeight="true" outlineLevel="0" collapsed="false">
      <c r="A20" s="111" t="s">
        <v>39</v>
      </c>
      <c r="B20" s="57" t="s">
        <v>6</v>
      </c>
      <c r="C20" s="112" t="n">
        <f aca="false">'Burden x Vehicle Matrix'!P7</f>
        <v>0.927</v>
      </c>
      <c r="D20" s="112" t="n">
        <f aca="false">'Burden x Vehicle Matrix'!O7</f>
        <v>0.15</v>
      </c>
      <c r="E20" s="112" t="n">
        <v>0.5</v>
      </c>
      <c r="F20" s="113" t="n">
        <f aca="false">IF(OR(ISTEXT(C20),ISTEXT(D20),ISTEXT(E20)),"n/a",C20*D20*E20)</f>
        <v>0.069525</v>
      </c>
      <c r="G20" s="114" t="n">
        <v>0.927</v>
      </c>
      <c r="H20" s="122" t="n">
        <v>0.15</v>
      </c>
      <c r="I20" s="122" t="n">
        <v>0.5</v>
      </c>
      <c r="J20" s="114" t="n">
        <f aca="false">IF(OR(ISTEXT(G20),ISTEXT(H20),ISTEXT(I20)),"n/a",G20*H20*I20)</f>
        <v>0.069525</v>
      </c>
      <c r="K20" s="115" t="n">
        <v>0.927</v>
      </c>
      <c r="L20" s="124" t="n">
        <v>0.15</v>
      </c>
      <c r="M20" s="115" t="n">
        <v>0.85</v>
      </c>
      <c r="N20" s="115" t="n">
        <f aca="false">IF(OR(ISTEXT(K20),ISTEXT(L20),ISTEXT(M20)),"n/a",K20*L20*M20)</f>
        <v>0.1181925</v>
      </c>
    </row>
    <row r="21" s="3" customFormat="true" ht="10.5" hidden="false" customHeight="true" outlineLevel="0" collapsed="false">
      <c r="A21" s="57" t="s">
        <v>39</v>
      </c>
      <c r="B21" s="57" t="s">
        <v>7</v>
      </c>
      <c r="C21" s="112" t="n">
        <f aca="false">'Burden x Vehicle Matrix'!T7</f>
        <v>0.999</v>
      </c>
      <c r="D21" s="112" t="n">
        <f aca="false">'Burden x Vehicle Matrix'!S7</f>
        <v>0.74</v>
      </c>
      <c r="E21" s="112" t="n">
        <f aca="false">'Burden x Vehicle Matrix'!V7</f>
        <v>0.5</v>
      </c>
      <c r="F21" s="113" t="n">
        <f aca="false">IF(OR(ISTEXT(C21),ISTEXT(D21),ISTEXT(E21)),"n/a",C21*D21*E21)</f>
        <v>0.36963</v>
      </c>
      <c r="G21" s="114" t="n">
        <v>0.999</v>
      </c>
      <c r="H21" s="122" t="n">
        <v>0.625</v>
      </c>
      <c r="I21" s="114" t="n">
        <v>0.75</v>
      </c>
      <c r="J21" s="114" t="n">
        <f aca="false">IF(OR(ISTEXT(G21),ISTEXT(H21),ISTEXT(I21)),"n/a",G21*H21*I21)</f>
        <v>0.46828125</v>
      </c>
      <c r="K21" s="115" t="n">
        <v>0.999</v>
      </c>
      <c r="L21" s="124" t="n">
        <v>0.625</v>
      </c>
      <c r="M21" s="115" t="n">
        <v>0.85</v>
      </c>
      <c r="N21" s="115" t="n">
        <f aca="false">IF(OR(ISTEXT(K21),ISTEXT(L21),ISTEXT(M21)),"n/a",K21*L21*M21)</f>
        <v>0.53071875</v>
      </c>
    </row>
    <row r="22" s="3" customFormat="true" ht="10.5" hidden="false" customHeight="true" outlineLevel="0" collapsed="false">
      <c r="A22" s="57" t="s">
        <v>39</v>
      </c>
      <c r="B22" s="57" t="s">
        <v>8</v>
      </c>
      <c r="C22" s="112" t="n">
        <f aca="false">'Burden x Vehicle Matrix'!X7</f>
        <v>0.988</v>
      </c>
      <c r="D22" s="112" t="n">
        <f aca="false">'Burden x Vehicle Matrix'!W7</f>
        <v>0.5</v>
      </c>
      <c r="E22" s="112" t="n">
        <f aca="false">'Burden x Vehicle Matrix'!Z7</f>
        <v>0.5</v>
      </c>
      <c r="F22" s="113" t="n">
        <f aca="false">IF(OR(ISTEXT(C22),ISTEXT(D22),ISTEXT(E22)),"n/a",C22*D22*E22)</f>
        <v>0.247</v>
      </c>
      <c r="G22" s="114" t="n">
        <v>0.988</v>
      </c>
      <c r="H22" s="122" t="n">
        <v>0.480645</v>
      </c>
      <c r="I22" s="114" t="n">
        <v>0.75</v>
      </c>
      <c r="J22" s="114" t="n">
        <f aca="false">IF(OR(ISTEXT(G22),ISTEXT(H22),ISTEXT(I22)),"n/a",G22*H22*I22)</f>
        <v>0.356157945</v>
      </c>
      <c r="K22" s="115" t="n">
        <v>0.988</v>
      </c>
      <c r="L22" s="124" t="n">
        <v>0.528711</v>
      </c>
      <c r="M22" s="115" t="n">
        <v>0.85</v>
      </c>
      <c r="N22" s="115" t="n">
        <f aca="false">IF(OR(ISTEXT(K22),ISTEXT(L22),ISTEXT(M22)),"n/a",K22*L22*M22)</f>
        <v>0.4440114978</v>
      </c>
    </row>
    <row r="23" s="3" customFormat="true" ht="10.5" hidden="false" customHeight="true" outlineLevel="0" collapsed="false">
      <c r="A23" s="57" t="s">
        <v>39</v>
      </c>
      <c r="B23" s="57" t="s">
        <v>9</v>
      </c>
      <c r="C23" s="118" t="str">
        <f aca="false">'Burden x Vehicle Matrix'!AB7</f>
        <v>n/a</v>
      </c>
      <c r="D23" s="118" t="str">
        <f aca="false">'Burden x Vehicle Matrix'!AA7</f>
        <v>n/a</v>
      </c>
      <c r="E23" s="118" t="str">
        <f aca="false">'Burden x Vehicle Matrix'!AD7</f>
        <v>n/a</v>
      </c>
      <c r="F23" s="119" t="str">
        <f aca="false">IF(OR(ISTEXT(C23),ISTEXT(D23),ISTEXT(E23)),"n/a",C23*D23*E23)</f>
        <v>n/a</v>
      </c>
      <c r="G23" s="120"/>
      <c r="H23" s="120"/>
      <c r="I23" s="120"/>
      <c r="J23" s="120" t="n">
        <f aca="false">IF(OR(ISTEXT(G23),ISTEXT(H23),ISTEXT(I23)),"n/a",G23*H23*I23)</f>
        <v>0</v>
      </c>
      <c r="K23" s="121"/>
      <c r="L23" s="121"/>
      <c r="M23" s="121"/>
      <c r="N23" s="121" t="n">
        <f aca="false">IF(OR(ISTEXT(K23),ISTEXT(L23),ISTEXT(M23)),"n/a",K23*L23*M23)</f>
        <v>0</v>
      </c>
    </row>
    <row r="24" s="3" customFormat="true" ht="10.5" hidden="false" customHeight="true" outlineLevel="0" collapsed="false">
      <c r="A24" s="57" t="s">
        <v>39</v>
      </c>
      <c r="B24" s="57" t="s">
        <v>163</v>
      </c>
      <c r="C24" s="112" t="n">
        <f aca="false">'Burden x Vehicle Matrix'!AF7</f>
        <v>1</v>
      </c>
      <c r="D24" s="112" t="n">
        <f aca="false">'Burden x Vehicle Matrix'!AE7</f>
        <v>0.035</v>
      </c>
      <c r="E24" s="112" t="n">
        <f aca="false">'Burden x Vehicle Matrix'!AH7</f>
        <v>0.33</v>
      </c>
      <c r="F24" s="113" t="n">
        <f aca="false">IF(OR(ISTEXT(C24),ISTEXT(D24),ISTEXT(E24)),"n/a",C24*D24*E24)</f>
        <v>0.01155</v>
      </c>
      <c r="G24" s="114" t="n">
        <v>1</v>
      </c>
      <c r="H24" s="122" t="n">
        <v>0.196397128538535</v>
      </c>
      <c r="I24" s="114" t="n">
        <v>0.5</v>
      </c>
      <c r="J24" s="114" t="n">
        <f aca="false">IF(OR(ISTEXT(G24),ISTEXT(H24),ISTEXT(I24)),"n/a",G24*H24*I24)</f>
        <v>0.0981985642692675</v>
      </c>
      <c r="K24" s="115" t="n">
        <v>1</v>
      </c>
      <c r="L24" s="124" t="n">
        <v>0.331843424082351</v>
      </c>
      <c r="M24" s="115" t="n">
        <v>0.85</v>
      </c>
      <c r="N24" s="115" t="n">
        <f aca="false">IF(OR(ISTEXT(K24),ISTEXT(L24),ISTEXT(M24)),"n/a",K24*L24*M24)</f>
        <v>0.282066910469998</v>
      </c>
    </row>
    <row r="25" s="3" customFormat="true" ht="10.5" hidden="false" customHeight="true" outlineLevel="0" collapsed="false">
      <c r="A25" s="57" t="s">
        <v>39</v>
      </c>
      <c r="B25" s="57" t="s">
        <v>11</v>
      </c>
      <c r="C25" s="118" t="str">
        <f aca="false">'Burden x Vehicle Matrix'!AJ7</f>
        <v>n/a</v>
      </c>
      <c r="D25" s="118" t="str">
        <f aca="false">'Burden x Vehicle Matrix'!AI7</f>
        <v>n/a</v>
      </c>
      <c r="E25" s="118" t="str">
        <f aca="false">'Burden x Vehicle Matrix'!AL7</f>
        <v>n/a</v>
      </c>
      <c r="F25" s="119" t="str">
        <f aca="false">IF(OR(ISTEXT(C25),ISTEXT(D25),ISTEXT(E25)),"n/a",C25*D25*E25)</f>
        <v>n/a</v>
      </c>
      <c r="G25" s="120"/>
      <c r="H25" s="120"/>
      <c r="I25" s="120"/>
      <c r="J25" s="120" t="n">
        <f aca="false">IF(OR(ISTEXT(G25),ISTEXT(H25),ISTEXT(I25)),"n/a",G25*H25*I25)</f>
        <v>0</v>
      </c>
      <c r="K25" s="121"/>
      <c r="L25" s="121"/>
      <c r="M25" s="121"/>
      <c r="N25" s="121" t="n">
        <f aca="false">IF(OR(ISTEXT(K25),ISTEXT(L25),ISTEXT(M25)),"n/a",K25*L25*M25)</f>
        <v>0</v>
      </c>
    </row>
    <row r="26" s="3" customFormat="true" ht="10.5" hidden="false" customHeight="true" outlineLevel="0" collapsed="false">
      <c r="A26" s="111" t="s">
        <v>45</v>
      </c>
      <c r="B26" s="57" t="s">
        <v>6</v>
      </c>
      <c r="C26" s="118" t="n">
        <f aca="false">'Burden x Vehicle Matrix'!P8</f>
        <v>0.47</v>
      </c>
      <c r="D26" s="118" t="n">
        <f aca="false">'Burden x Vehicle Matrix'!O8</f>
        <v>0.95</v>
      </c>
      <c r="E26" s="118" t="n">
        <f aca="false">'Burden x Vehicle Matrix'!R8</f>
        <v>0.6</v>
      </c>
      <c r="F26" s="119" t="n">
        <f aca="false">IF(OR(ISTEXT(C26),ISTEXT(D26),ISTEXT(E26)),"n/a",C26*D26*E26)</f>
        <v>0.2679</v>
      </c>
      <c r="G26" s="120"/>
      <c r="H26" s="120"/>
      <c r="I26" s="120" t="n">
        <v>0.85</v>
      </c>
      <c r="J26" s="120" t="n">
        <f aca="false">IF(OR(ISTEXT(G26),ISTEXT(H26),ISTEXT(I26)),"n/a",G26*H26*I26)</f>
        <v>0</v>
      </c>
      <c r="K26" s="121"/>
      <c r="L26" s="121"/>
      <c r="M26" s="121" t="n">
        <v>0.85</v>
      </c>
      <c r="N26" s="121" t="n">
        <f aca="false">IF(OR(ISTEXT(K26),ISTEXT(L26),ISTEXT(M26)),"n/a",K26*L26*M26)</f>
        <v>0</v>
      </c>
    </row>
    <row r="27" s="3" customFormat="true" ht="10.5" hidden="false" customHeight="true" outlineLevel="0" collapsed="false">
      <c r="A27" s="57" t="s">
        <v>45</v>
      </c>
      <c r="B27" s="57" t="s">
        <v>7</v>
      </c>
      <c r="C27" s="118" t="n">
        <f aca="false">'Burden x Vehicle Matrix'!T8</f>
        <v>0.69</v>
      </c>
      <c r="D27" s="118" t="n">
        <f aca="false">'Burden x Vehicle Matrix'!S8</f>
        <v>0.95</v>
      </c>
      <c r="E27" s="118" t="n">
        <f aca="false">'Burden x Vehicle Matrix'!V8</f>
        <v>0.55</v>
      </c>
      <c r="F27" s="119" t="n">
        <f aca="false">IF(OR(ISTEXT(C27),ISTEXT(D27),ISTEXT(E27)),"n/a",C27*D27*E27)</f>
        <v>0.360525</v>
      </c>
      <c r="G27" s="120"/>
      <c r="H27" s="120"/>
      <c r="I27" s="120" t="n">
        <v>0.85</v>
      </c>
      <c r="J27" s="120" t="n">
        <f aca="false">IF(OR(ISTEXT(G27),ISTEXT(H27),ISTEXT(I27)),"n/a",G27*H27*I27)</f>
        <v>0</v>
      </c>
      <c r="K27" s="121"/>
      <c r="L27" s="121"/>
      <c r="M27" s="121" t="n">
        <v>0.85</v>
      </c>
      <c r="N27" s="121" t="n">
        <f aca="false">IF(OR(ISTEXT(K27),ISTEXT(L27),ISTEXT(M27)),"n/a",K27*L27*M27)</f>
        <v>0</v>
      </c>
    </row>
    <row r="28" s="3" customFormat="true" ht="10.5" hidden="false" customHeight="true" outlineLevel="0" collapsed="false">
      <c r="A28" s="57" t="s">
        <v>45</v>
      </c>
      <c r="B28" s="57" t="s">
        <v>8</v>
      </c>
      <c r="C28" s="118" t="str">
        <f aca="false">'Burden x Vehicle Matrix'!X8</f>
        <v>n/a</v>
      </c>
      <c r="D28" s="118" t="n">
        <f aca="false">'Burden x Vehicle Matrix'!W8</f>
        <v>0.74</v>
      </c>
      <c r="E28" s="118" t="str">
        <f aca="false">'Burden x Vehicle Matrix'!Z8</f>
        <v>n/a</v>
      </c>
      <c r="F28" s="119" t="str">
        <f aca="false">IF(OR(ISTEXT(C28),ISTEXT(D28),ISTEXT(E28)),"n/a",C28*D28*E28)</f>
        <v>n/a</v>
      </c>
      <c r="G28" s="120"/>
      <c r="H28" s="120"/>
      <c r="I28" s="120" t="n">
        <v>0.03</v>
      </c>
      <c r="J28" s="120" t="n">
        <f aca="false">IF(OR(ISTEXT(G28),ISTEXT(H28),ISTEXT(I28)),"n/a",G28*H28*I28)</f>
        <v>0</v>
      </c>
      <c r="K28" s="121"/>
      <c r="L28" s="121"/>
      <c r="M28" s="121" t="n">
        <v>0.05</v>
      </c>
      <c r="N28" s="121" t="n">
        <f aca="false">IF(OR(ISTEXT(K28),ISTEXT(L28),ISTEXT(M28)),"n/a",K28*L28*M28)</f>
        <v>0</v>
      </c>
    </row>
    <row r="29" s="3" customFormat="true" ht="10.5" hidden="false" customHeight="true" outlineLevel="0" collapsed="false">
      <c r="A29" s="57" t="s">
        <v>45</v>
      </c>
      <c r="B29" s="57" t="s">
        <v>9</v>
      </c>
      <c r="C29" s="118" t="n">
        <f aca="false">'Burden x Vehicle Matrix'!AB8</f>
        <v>0.74</v>
      </c>
      <c r="D29" s="118" t="n">
        <f aca="false">'Burden x Vehicle Matrix'!AA8</f>
        <v>0.5</v>
      </c>
      <c r="E29" s="118" t="n">
        <f aca="false">'Burden x Vehicle Matrix'!AD8</f>
        <v>0.64</v>
      </c>
      <c r="F29" s="119" t="n">
        <f aca="false">IF(OR(ISTEXT(C29),ISTEXT(D29),ISTEXT(E29)),"n/a",C29*D29*E29)</f>
        <v>0.2368</v>
      </c>
      <c r="G29" s="120"/>
      <c r="H29" s="120"/>
      <c r="I29" s="120" t="n">
        <v>0.7</v>
      </c>
      <c r="J29" s="120" t="n">
        <f aca="false">IF(OR(ISTEXT(G29),ISTEXT(H29),ISTEXT(I29)),"n/a",G29*H29*I29)</f>
        <v>0</v>
      </c>
      <c r="K29" s="121"/>
      <c r="L29" s="121"/>
      <c r="M29" s="121" t="n">
        <v>0.7</v>
      </c>
      <c r="N29" s="121" t="n">
        <f aca="false">IF(OR(ISTEXT(K29),ISTEXT(L29),ISTEXT(M29)),"n/a",K29*L29*M29)</f>
        <v>0</v>
      </c>
    </row>
    <row r="30" s="3" customFormat="true" ht="10.5" hidden="false" customHeight="true" outlineLevel="0" collapsed="false">
      <c r="A30" s="57" t="s">
        <v>45</v>
      </c>
      <c r="B30" s="57" t="s">
        <v>163</v>
      </c>
      <c r="C30" s="118" t="str">
        <f aca="false">'Burden x Vehicle Matrix'!AF8</f>
        <v>n/a</v>
      </c>
      <c r="D30" s="118" t="str">
        <f aca="false">'Burden x Vehicle Matrix'!AE8</f>
        <v>n/a</v>
      </c>
      <c r="E30" s="118" t="str">
        <f aca="false">'Burden x Vehicle Matrix'!AH8</f>
        <v>n/a</v>
      </c>
      <c r="F30" s="119" t="str">
        <f aca="false">IF(OR(ISTEXT(C30),ISTEXT(D30),ISTEXT(E30)),"n/a",C30*D30*E30)</f>
        <v>n/a</v>
      </c>
      <c r="G30" s="120"/>
      <c r="H30" s="120"/>
      <c r="I30" s="120"/>
      <c r="J30" s="120" t="n">
        <f aca="false">IF(OR(ISTEXT(G30),ISTEXT(H30),ISTEXT(I30)),"n/a",G30*H30*I30)</f>
        <v>0</v>
      </c>
      <c r="K30" s="121"/>
      <c r="L30" s="121"/>
      <c r="M30" s="121"/>
      <c r="N30" s="121" t="n">
        <f aca="false">IF(OR(ISTEXT(K30),ISTEXT(L30),ISTEXT(M30)),"n/a",K30*L30*M30)</f>
        <v>0</v>
      </c>
    </row>
    <row r="31" s="3" customFormat="true" ht="10.5" hidden="false" customHeight="true" outlineLevel="0" collapsed="false">
      <c r="A31" s="57" t="s">
        <v>45</v>
      </c>
      <c r="B31" s="57" t="s">
        <v>11</v>
      </c>
      <c r="C31" s="118" t="str">
        <f aca="false">'Burden x Vehicle Matrix'!AJ8</f>
        <v>n/a</v>
      </c>
      <c r="D31" s="118" t="str">
        <f aca="false">'Burden x Vehicle Matrix'!AI8</f>
        <v>n/a</v>
      </c>
      <c r="E31" s="118" t="str">
        <f aca="false">'Burden x Vehicle Matrix'!AL8</f>
        <v>n/a</v>
      </c>
      <c r="F31" s="119" t="str">
        <f aca="false">IF(OR(ISTEXT(C31),ISTEXT(D31),ISTEXT(E31)),"n/a",C31*D31*E31)</f>
        <v>n/a</v>
      </c>
      <c r="G31" s="120"/>
      <c r="H31" s="120"/>
      <c r="I31" s="120"/>
      <c r="J31" s="120" t="n">
        <f aca="false">IF(OR(ISTEXT(G31),ISTEXT(H31),ISTEXT(I31)),"n/a",G31*H31*I31)</f>
        <v>0</v>
      </c>
      <c r="K31" s="121"/>
      <c r="L31" s="121"/>
      <c r="M31" s="121"/>
      <c r="N31" s="121" t="n">
        <f aca="false">IF(OR(ISTEXT(K31),ISTEXT(L31),ISTEXT(M31)),"n/a",K31*L31*M31)</f>
        <v>0</v>
      </c>
    </row>
    <row r="32" s="3" customFormat="true" ht="10.5" hidden="false" customHeight="true" outlineLevel="0" collapsed="false">
      <c r="A32" s="111" t="s">
        <v>58</v>
      </c>
      <c r="B32" s="57" t="s">
        <v>6</v>
      </c>
      <c r="C32" s="118" t="n">
        <f aca="false">'Burden x Vehicle Matrix'!P11</f>
        <v>0.61</v>
      </c>
      <c r="D32" s="118" t="n">
        <f aca="false">'Burden x Vehicle Matrix'!O11</f>
        <v>0.49</v>
      </c>
      <c r="E32" s="118" t="n">
        <f aca="false">'Burden x Vehicle Matrix'!R11</f>
        <v>0.01</v>
      </c>
      <c r="F32" s="119" t="n">
        <f aca="false">IF(OR(ISTEXT(C32),ISTEXT(D32),ISTEXT(E32)),"n/a",C32*D32*E32)</f>
        <v>0.002989</v>
      </c>
      <c r="G32" s="120"/>
      <c r="H32" s="120"/>
      <c r="I32" s="120" t="n">
        <v>0.02</v>
      </c>
      <c r="J32" s="120" t="n">
        <f aca="false">IF(OR(ISTEXT(G32),ISTEXT(H32),ISTEXT(I32)),"n/a",G32*H32*I32)</f>
        <v>0</v>
      </c>
      <c r="K32" s="121"/>
      <c r="L32" s="121"/>
      <c r="M32" s="121" t="n">
        <v>0.1</v>
      </c>
      <c r="N32" s="121" t="n">
        <f aca="false">IF(OR(ISTEXT(K32),ISTEXT(L32),ISTEXT(M32)),"n/a",K32*L32*M32)</f>
        <v>0</v>
      </c>
    </row>
    <row r="33" s="3" customFormat="true" ht="10.5" hidden="false" customHeight="true" outlineLevel="0" collapsed="false">
      <c r="A33" s="57" t="s">
        <v>58</v>
      </c>
      <c r="B33" s="57" t="s">
        <v>7</v>
      </c>
      <c r="C33" s="118" t="n">
        <f aca="false">'Burden x Vehicle Matrix'!T11</f>
        <v>1</v>
      </c>
      <c r="D33" s="118" t="n">
        <f aca="false">'Burden x Vehicle Matrix'!S11</f>
        <v>0.34</v>
      </c>
      <c r="E33" s="118" t="n">
        <f aca="false">'Burden x Vehicle Matrix'!V11</f>
        <v>0.98</v>
      </c>
      <c r="F33" s="119" t="n">
        <f aca="false">IF(OR(ISTEXT(C33),ISTEXT(D33),ISTEXT(E33)),"n/a",C33*D33*E33)</f>
        <v>0.3332</v>
      </c>
      <c r="G33" s="120"/>
      <c r="H33" s="120"/>
      <c r="I33" s="120" t="n">
        <v>0.98</v>
      </c>
      <c r="J33" s="120" t="n">
        <f aca="false">IF(OR(ISTEXT(G33),ISTEXT(H33),ISTEXT(I33)),"n/a",G33*H33*I33)</f>
        <v>0</v>
      </c>
      <c r="K33" s="121"/>
      <c r="L33" s="121"/>
      <c r="M33" s="121" t="n">
        <v>0.98</v>
      </c>
      <c r="N33" s="121" t="n">
        <f aca="false">IF(OR(ISTEXT(K33),ISTEXT(L33),ISTEXT(M33)),"n/a",K33*L33*M33)</f>
        <v>0</v>
      </c>
    </row>
    <row r="34" s="3" customFormat="true" ht="10.5" hidden="false" customHeight="true" outlineLevel="0" collapsed="false">
      <c r="A34" s="57" t="s">
        <v>58</v>
      </c>
      <c r="B34" s="57" t="s">
        <v>8</v>
      </c>
      <c r="C34" s="118" t="n">
        <f aca="false">'Burden x Vehicle Matrix'!X11</f>
        <v>1</v>
      </c>
      <c r="D34" s="118" t="str">
        <f aca="false">'Burden x Vehicle Matrix'!W11</f>
        <v>n/a</v>
      </c>
      <c r="E34" s="118" t="n">
        <f aca="false">'Burden x Vehicle Matrix'!Z11</f>
        <v>0.03</v>
      </c>
      <c r="F34" s="119" t="str">
        <f aca="false">IF(OR(ISTEXT(C34),ISTEXT(D34),ISTEXT(E34)),"n/a",C34*D34*E34)</f>
        <v>n/a</v>
      </c>
      <c r="G34" s="120"/>
      <c r="H34" s="120"/>
      <c r="I34" s="120" t="n">
        <v>0.05</v>
      </c>
      <c r="J34" s="120" t="n">
        <f aca="false">IF(OR(ISTEXT(G34),ISTEXT(H34),ISTEXT(I34)),"n/a",G34*H34*I34)</f>
        <v>0</v>
      </c>
      <c r="K34" s="121"/>
      <c r="L34" s="121"/>
      <c r="M34" s="121" t="n">
        <v>0.1</v>
      </c>
      <c r="N34" s="121" t="n">
        <f aca="false">IF(OR(ISTEXT(K34),ISTEXT(L34),ISTEXT(M34)),"n/a",K34*L34*M34)</f>
        <v>0</v>
      </c>
    </row>
    <row r="35" s="3" customFormat="true" ht="10.5" hidden="false" customHeight="true" outlineLevel="0" collapsed="false">
      <c r="A35" s="57" t="s">
        <v>58</v>
      </c>
      <c r="B35" s="57" t="s">
        <v>9</v>
      </c>
      <c r="C35" s="118" t="str">
        <f aca="false">'Burden x Vehicle Matrix'!AB11</f>
        <v>n/a</v>
      </c>
      <c r="D35" s="118" t="n">
        <f aca="false">'Burden x Vehicle Matrix'!AA11</f>
        <v>0</v>
      </c>
      <c r="E35" s="118" t="str">
        <f aca="false">'Burden x Vehicle Matrix'!AD11</f>
        <v>n/a</v>
      </c>
      <c r="F35" s="119" t="str">
        <f aca="false">IF(OR(ISTEXT(C35),ISTEXT(D35),ISTEXT(E35)),"n/a",C35*D35*E35)</f>
        <v>n/a</v>
      </c>
      <c r="G35" s="120"/>
      <c r="H35" s="120"/>
      <c r="I35" s="120"/>
      <c r="J35" s="120" t="n">
        <f aca="false">IF(OR(ISTEXT(G35),ISTEXT(H35),ISTEXT(I35)),"n/a",G35*H35*I35)</f>
        <v>0</v>
      </c>
      <c r="K35" s="121"/>
      <c r="L35" s="121"/>
      <c r="M35" s="121"/>
      <c r="N35" s="121" t="n">
        <f aca="false">IF(OR(ISTEXT(K35),ISTEXT(L35),ISTEXT(M35)),"n/a",K35*L35*M35)</f>
        <v>0</v>
      </c>
    </row>
    <row r="36" s="3" customFormat="true" ht="10.5" hidden="false" customHeight="true" outlineLevel="0" collapsed="false">
      <c r="A36" s="57" t="s">
        <v>58</v>
      </c>
      <c r="B36" s="57" t="s">
        <v>163</v>
      </c>
      <c r="C36" s="118" t="n">
        <f aca="false">'Burden x Vehicle Matrix'!AF11</f>
        <v>1</v>
      </c>
      <c r="D36" s="118" t="str">
        <f aca="false">'Burden x Vehicle Matrix'!AE11</f>
        <v>n/a</v>
      </c>
      <c r="E36" s="118" t="str">
        <f aca="false">'Burden x Vehicle Matrix'!AH11</f>
        <v>n/a</v>
      </c>
      <c r="F36" s="119" t="str">
        <f aca="false">IF(OR(ISTEXT(C36),ISTEXT(D36),ISTEXT(E36)),"n/a",C36*D36*E36)</f>
        <v>n/a</v>
      </c>
      <c r="G36" s="122" t="n">
        <v>0.98</v>
      </c>
      <c r="H36" s="122" t="n">
        <v>1</v>
      </c>
      <c r="I36" s="120"/>
      <c r="J36" s="122" t="n">
        <v>0.76</v>
      </c>
      <c r="K36" s="124" t="n">
        <v>0.98</v>
      </c>
      <c r="L36" s="124" t="n">
        <v>1</v>
      </c>
      <c r="M36" s="121"/>
      <c r="N36" s="124" t="n">
        <v>0.85</v>
      </c>
    </row>
    <row r="37" s="3" customFormat="true" ht="10.5" hidden="false" customHeight="true" outlineLevel="0" collapsed="false">
      <c r="A37" s="57" t="s">
        <v>58</v>
      </c>
      <c r="B37" s="57" t="s">
        <v>11</v>
      </c>
      <c r="C37" s="118" t="str">
        <f aca="false">'Burden x Vehicle Matrix'!AJ11</f>
        <v>n/a</v>
      </c>
      <c r="D37" s="118" t="n">
        <f aca="false">'Burden x Vehicle Matrix'!AI11</f>
        <v>0</v>
      </c>
      <c r="E37" s="118" t="str">
        <f aca="false">'Burden x Vehicle Matrix'!AL11</f>
        <v>n/a</v>
      </c>
      <c r="F37" s="119" t="str">
        <f aca="false">IF(OR(ISTEXT(C37),ISTEXT(D37),ISTEXT(E37)),"n/a",C37*D37*E37)</f>
        <v>n/a</v>
      </c>
      <c r="G37" s="120"/>
      <c r="H37" s="120"/>
      <c r="I37" s="120"/>
      <c r="J37" s="120" t="n">
        <f aca="false">IF(OR(ISTEXT(G37),ISTEXT(H37),ISTEXT(I37)),"n/a",G37*H37*I37)</f>
        <v>0</v>
      </c>
      <c r="K37" s="121"/>
      <c r="L37" s="121"/>
      <c r="M37" s="121"/>
      <c r="N37" s="121" t="n">
        <f aca="false">IF(OR(ISTEXT(K37),ISTEXT(L37),ISTEXT(M37)),"n/a",K37*L37*M37)</f>
        <v>0</v>
      </c>
    </row>
    <row r="38" s="3" customFormat="true" ht="10.5" hidden="false" customHeight="true" outlineLevel="0" collapsed="false">
      <c r="A38" s="111" t="s">
        <v>64</v>
      </c>
      <c r="B38" s="57" t="s">
        <v>6</v>
      </c>
      <c r="C38" s="118" t="n">
        <f aca="false">'Burden x Vehicle Matrix'!P12</f>
        <v>0.61</v>
      </c>
      <c r="D38" s="118" t="n">
        <f aca="false">'Burden x Vehicle Matrix'!O12</f>
        <v>1</v>
      </c>
      <c r="E38" s="118" t="n">
        <f aca="false">'Burden x Vehicle Matrix'!R12</f>
        <v>0.9</v>
      </c>
      <c r="F38" s="119" t="n">
        <f aca="false">IF(OR(ISTEXT(C38),ISTEXT(D38),ISTEXT(E38)),"n/a",C38*D38*E38)</f>
        <v>0.549</v>
      </c>
      <c r="G38" s="120"/>
      <c r="H38" s="120"/>
      <c r="I38" s="120" t="n">
        <v>0.95</v>
      </c>
      <c r="J38" s="120" t="n">
        <f aca="false">IF(OR(ISTEXT(G38),ISTEXT(H38),ISTEXT(I38)),"n/a",G38*H38*I38)</f>
        <v>0</v>
      </c>
      <c r="K38" s="121"/>
      <c r="L38" s="121"/>
      <c r="M38" s="121" t="n">
        <v>0.95</v>
      </c>
      <c r="N38" s="121" t="n">
        <f aca="false">IF(OR(ISTEXT(K38),ISTEXT(L38),ISTEXT(M38)),"n/a",K38*L38*M38)</f>
        <v>0</v>
      </c>
    </row>
    <row r="39" s="3" customFormat="true" ht="10.5" hidden="false" customHeight="true" outlineLevel="0" collapsed="false">
      <c r="A39" s="57" t="s">
        <v>64</v>
      </c>
      <c r="B39" s="57" t="s">
        <v>7</v>
      </c>
      <c r="C39" s="118" t="n">
        <f aca="false">'Burden x Vehicle Matrix'!T12</f>
        <v>0.99</v>
      </c>
      <c r="D39" s="118" t="n">
        <f aca="false">'Burden x Vehicle Matrix'!S12</f>
        <v>0.57</v>
      </c>
      <c r="E39" s="118" t="n">
        <f aca="false">'Burden x Vehicle Matrix'!V12</f>
        <v>0.85</v>
      </c>
      <c r="F39" s="119" t="n">
        <f aca="false">IF(OR(ISTEXT(C39),ISTEXT(D39),ISTEXT(E39)),"n/a",C39*D39*E39)</f>
        <v>0.479655</v>
      </c>
      <c r="G39" s="120"/>
      <c r="H39" s="120"/>
      <c r="I39" s="120" t="n">
        <v>0.85</v>
      </c>
      <c r="J39" s="120" t="n">
        <f aca="false">IF(OR(ISTEXT(G39),ISTEXT(H39),ISTEXT(I39)),"n/a",G39*H39*I39)</f>
        <v>0</v>
      </c>
      <c r="K39" s="121"/>
      <c r="L39" s="121"/>
      <c r="M39" s="121" t="n">
        <v>0.85</v>
      </c>
      <c r="N39" s="121" t="n">
        <f aca="false">IF(OR(ISTEXT(K39),ISTEXT(L39),ISTEXT(M39)),"n/a",K39*L39*M39)</f>
        <v>0</v>
      </c>
    </row>
    <row r="40" s="3" customFormat="true" ht="10.5" hidden="false" customHeight="true" outlineLevel="0" collapsed="false">
      <c r="A40" s="57" t="s">
        <v>64</v>
      </c>
      <c r="B40" s="57" t="s">
        <v>8</v>
      </c>
      <c r="C40" s="118" t="n">
        <f aca="false">'Burden x Vehicle Matrix'!X12</f>
        <v>0</v>
      </c>
      <c r="D40" s="118" t="str">
        <f aca="false">'Burden x Vehicle Matrix'!W12</f>
        <v>n/a</v>
      </c>
      <c r="E40" s="118" t="n">
        <f aca="false">'Burden x Vehicle Matrix'!Z12</f>
        <v>0.04</v>
      </c>
      <c r="F40" s="119" t="str">
        <f aca="false">IF(OR(ISTEXT(C40),ISTEXT(D40),ISTEXT(E40)),"n/a",C40*D40*E40)</f>
        <v>n/a</v>
      </c>
      <c r="G40" s="120"/>
      <c r="H40" s="120"/>
      <c r="I40" s="120" t="n">
        <v>0.1</v>
      </c>
      <c r="J40" s="120" t="n">
        <f aca="false">IF(OR(ISTEXT(G40),ISTEXT(H40),ISTEXT(I40)),"n/a",G40*H40*I40)</f>
        <v>0</v>
      </c>
      <c r="K40" s="121"/>
      <c r="L40" s="121"/>
      <c r="M40" s="121" t="n">
        <v>0.2</v>
      </c>
      <c r="N40" s="121" t="n">
        <f aca="false">IF(OR(ISTEXT(K40),ISTEXT(L40),ISTEXT(M40)),"n/a",K40*L40*M40)</f>
        <v>0</v>
      </c>
    </row>
    <row r="41" s="3" customFormat="true" ht="10.5" hidden="false" customHeight="true" outlineLevel="0" collapsed="false">
      <c r="A41" s="57" t="s">
        <v>64</v>
      </c>
      <c r="B41" s="57" t="s">
        <v>9</v>
      </c>
      <c r="C41" s="118" t="str">
        <f aca="false">'Burden x Vehicle Matrix'!AB12</f>
        <v>n/a</v>
      </c>
      <c r="D41" s="118" t="n">
        <f aca="false">'Burden x Vehicle Matrix'!AA12</f>
        <v>0</v>
      </c>
      <c r="E41" s="118" t="str">
        <f aca="false">'Burden x Vehicle Matrix'!AD12</f>
        <v>n/a</v>
      </c>
      <c r="F41" s="119" t="str">
        <f aca="false">IF(OR(ISTEXT(C41),ISTEXT(D41),ISTEXT(E41)),"n/a",C41*D41*E41)</f>
        <v>n/a</v>
      </c>
      <c r="G41" s="120"/>
      <c r="H41" s="120"/>
      <c r="I41" s="120"/>
      <c r="J41" s="120" t="n">
        <f aca="false">IF(OR(ISTEXT(G41),ISTEXT(H41),ISTEXT(I41)),"n/a",G41*H41*I41)</f>
        <v>0</v>
      </c>
      <c r="K41" s="121"/>
      <c r="L41" s="121"/>
      <c r="M41" s="121"/>
      <c r="N41" s="121" t="n">
        <f aca="false">IF(OR(ISTEXT(K41),ISTEXT(L41),ISTEXT(M41)),"n/a",K41*L41*M41)</f>
        <v>0</v>
      </c>
    </row>
    <row r="42" s="3" customFormat="true" ht="10.5" hidden="false" customHeight="true" outlineLevel="0" collapsed="false">
      <c r="A42" s="57" t="s">
        <v>64</v>
      </c>
      <c r="B42" s="57" t="s">
        <v>163</v>
      </c>
      <c r="C42" s="118" t="str">
        <f aca="false">'Burden x Vehicle Matrix'!AF12</f>
        <v>n/a</v>
      </c>
      <c r="D42" s="118" t="str">
        <f aca="false">'Burden x Vehicle Matrix'!AE12</f>
        <v>n/a</v>
      </c>
      <c r="E42" s="118" t="str">
        <f aca="false">'Burden x Vehicle Matrix'!AH12</f>
        <v>n/a</v>
      </c>
      <c r="F42" s="119" t="str">
        <f aca="false">IF(OR(ISTEXT(C42),ISTEXT(D42),ISTEXT(E42)),"n/a",C42*D42*E42)</f>
        <v>n/a</v>
      </c>
      <c r="G42" s="120"/>
      <c r="H42" s="120"/>
      <c r="I42" s="120"/>
      <c r="J42" s="120" t="n">
        <f aca="false">IF(OR(ISTEXT(G42),ISTEXT(H42),ISTEXT(I42)),"n/a",G42*H42*I42)</f>
        <v>0</v>
      </c>
      <c r="K42" s="121"/>
      <c r="L42" s="121"/>
      <c r="M42" s="121"/>
      <c r="N42" s="121" t="n">
        <f aca="false">IF(OR(ISTEXT(K42),ISTEXT(L42),ISTEXT(M42)),"n/a",K42*L42*M42)</f>
        <v>0</v>
      </c>
    </row>
    <row r="43" s="3" customFormat="true" ht="10.5" hidden="false" customHeight="true" outlineLevel="0" collapsed="false">
      <c r="A43" s="57" t="s">
        <v>64</v>
      </c>
      <c r="B43" s="57" t="s">
        <v>11</v>
      </c>
      <c r="C43" s="118" t="str">
        <f aca="false">'Burden x Vehicle Matrix'!AJ12</f>
        <v>n/a</v>
      </c>
      <c r="D43" s="118" t="n">
        <f aca="false">'Burden x Vehicle Matrix'!AI12</f>
        <v>0</v>
      </c>
      <c r="E43" s="118" t="str">
        <f aca="false">'Burden x Vehicle Matrix'!AL12</f>
        <v>n/a</v>
      </c>
      <c r="F43" s="119" t="str">
        <f aca="false">IF(OR(ISTEXT(C43),ISTEXT(D43),ISTEXT(E43)),"n/a",C43*D43*E43)</f>
        <v>n/a</v>
      </c>
      <c r="G43" s="120"/>
      <c r="H43" s="120"/>
      <c r="I43" s="120"/>
      <c r="J43" s="120" t="n">
        <f aca="false">IF(OR(ISTEXT(G43),ISTEXT(H43),ISTEXT(I43)),"n/a",G43*H43*I43)</f>
        <v>0</v>
      </c>
      <c r="K43" s="121"/>
      <c r="L43" s="121"/>
      <c r="M43" s="121"/>
      <c r="N43" s="121" t="n">
        <f aca="false">IF(OR(ISTEXT(K43),ISTEXT(L43),ISTEXT(M43)),"n/a",K43*L43*M43)</f>
        <v>0</v>
      </c>
    </row>
    <row r="44" s="3" customFormat="true" ht="10.5" hidden="false" customHeight="true" outlineLevel="0" collapsed="false">
      <c r="A44" s="111" t="s">
        <v>67</v>
      </c>
      <c r="B44" s="57" t="s">
        <v>6</v>
      </c>
      <c r="C44" s="118" t="n">
        <f aca="false">'Burden x Vehicle Matrix'!P13</f>
        <v>0.9</v>
      </c>
      <c r="D44" s="118" t="n">
        <f aca="false">'Burden x Vehicle Matrix'!O13</f>
        <v>0.25</v>
      </c>
      <c r="E44" s="118" t="str">
        <f aca="false">'Burden x Vehicle Matrix'!R13</f>
        <v>&lt;1%</v>
      </c>
      <c r="F44" s="119" t="str">
        <f aca="false">IF(OR(ISTEXT(C44),ISTEXT(D44),ISTEXT(E44)),"n/a",C44*D44*E44)</f>
        <v>n/a</v>
      </c>
      <c r="G44" s="120"/>
      <c r="H44" s="120"/>
      <c r="I44" s="120" t="n">
        <v>0.02</v>
      </c>
      <c r="J44" s="120" t="n">
        <f aca="false">IF(OR(ISTEXT(G44),ISTEXT(H44),ISTEXT(I44)),"n/a",G44*H44*I44)</f>
        <v>0</v>
      </c>
      <c r="K44" s="121"/>
      <c r="L44" s="121"/>
      <c r="M44" s="121" t="n">
        <v>0.1</v>
      </c>
      <c r="N44" s="121" t="n">
        <f aca="false">IF(OR(ISTEXT(K44),ISTEXT(L44),ISTEXT(M44)),"n/a",K44*L44*M44)</f>
        <v>0</v>
      </c>
    </row>
    <row r="45" s="3" customFormat="true" ht="10.5" hidden="false" customHeight="true" outlineLevel="0" collapsed="false">
      <c r="A45" s="57" t="s">
        <v>67</v>
      </c>
      <c r="B45" s="57" t="s">
        <v>7</v>
      </c>
      <c r="C45" s="118" t="n">
        <f aca="false">'Burden x Vehicle Matrix'!T13</f>
        <v>0.98</v>
      </c>
      <c r="D45" s="118" t="n">
        <f aca="false">'Burden x Vehicle Matrix'!S13</f>
        <v>0.65</v>
      </c>
      <c r="E45" s="118" t="n">
        <f aca="false">'Burden x Vehicle Matrix'!V13</f>
        <v>0.52</v>
      </c>
      <c r="F45" s="119" t="n">
        <f aca="false">IF(OR(ISTEXT(C45),ISTEXT(D45),ISTEXT(E45)),"n/a",C45*D45*E45)</f>
        <v>0.33124</v>
      </c>
      <c r="G45" s="120"/>
      <c r="H45" s="120"/>
      <c r="I45" s="120" t="n">
        <v>0.75</v>
      </c>
      <c r="J45" s="120" t="n">
        <f aca="false">IF(OR(ISTEXT(G45),ISTEXT(H45),ISTEXT(I45)),"n/a",G45*H45*I45)</f>
        <v>0</v>
      </c>
      <c r="K45" s="121"/>
      <c r="L45" s="121"/>
      <c r="M45" s="121" t="n">
        <v>0.75</v>
      </c>
      <c r="N45" s="121" t="n">
        <f aca="false">IF(OR(ISTEXT(K45),ISTEXT(L45),ISTEXT(M45)),"n/a",K45*L45*M45)</f>
        <v>0</v>
      </c>
    </row>
    <row r="46" s="3" customFormat="true" ht="10.5" hidden="false" customHeight="true" outlineLevel="0" collapsed="false">
      <c r="A46" s="57" t="s">
        <v>67</v>
      </c>
      <c r="B46" s="57" t="s">
        <v>8</v>
      </c>
      <c r="C46" s="118" t="str">
        <f aca="false">'Burden x Vehicle Matrix'!X13</f>
        <v>n/a</v>
      </c>
      <c r="D46" s="118" t="n">
        <f aca="false">'Burden x Vehicle Matrix'!W13</f>
        <v>0</v>
      </c>
      <c r="E46" s="118" t="str">
        <f aca="false">'Burden x Vehicle Matrix'!Z13</f>
        <v>n/a</v>
      </c>
      <c r="F46" s="119" t="str">
        <f aca="false">IF(OR(ISTEXT(C46),ISTEXT(D46),ISTEXT(E46)),"n/a",C46*D46*E46)</f>
        <v>n/a</v>
      </c>
      <c r="G46" s="120"/>
      <c r="H46" s="120"/>
      <c r="I46" s="120"/>
      <c r="J46" s="120" t="n">
        <f aca="false">IF(OR(ISTEXT(G46),ISTEXT(H46),ISTEXT(I46)),"n/a",G46*H46*I46)</f>
        <v>0</v>
      </c>
      <c r="K46" s="121"/>
      <c r="L46" s="121"/>
      <c r="M46" s="121"/>
      <c r="N46" s="121" t="n">
        <f aca="false">IF(OR(ISTEXT(K46),ISTEXT(L46),ISTEXT(M46)),"n/a",K46*L46*M46)</f>
        <v>0</v>
      </c>
    </row>
    <row r="47" s="3" customFormat="true" ht="10.5" hidden="false" customHeight="true" outlineLevel="0" collapsed="false">
      <c r="A47" s="57" t="s">
        <v>67</v>
      </c>
      <c r="B47" s="57" t="s">
        <v>9</v>
      </c>
      <c r="C47" s="118" t="str">
        <f aca="false">'Burden x Vehicle Matrix'!AB13</f>
        <v>n/a</v>
      </c>
      <c r="D47" s="118" t="n">
        <f aca="false">'Burden x Vehicle Matrix'!AA13</f>
        <v>0</v>
      </c>
      <c r="E47" s="118" t="str">
        <f aca="false">'Burden x Vehicle Matrix'!AD13</f>
        <v>n/a</v>
      </c>
      <c r="F47" s="119" t="str">
        <f aca="false">IF(OR(ISTEXT(C47),ISTEXT(D47),ISTEXT(E47)),"n/a",C47*D47*E47)</f>
        <v>n/a</v>
      </c>
      <c r="G47" s="120"/>
      <c r="H47" s="120"/>
      <c r="I47" s="120"/>
      <c r="J47" s="120" t="n">
        <f aca="false">IF(OR(ISTEXT(G47),ISTEXT(H47),ISTEXT(I47)),"n/a",G47*H47*I47)</f>
        <v>0</v>
      </c>
      <c r="K47" s="121"/>
      <c r="L47" s="121"/>
      <c r="M47" s="121"/>
      <c r="N47" s="121" t="n">
        <f aca="false">IF(OR(ISTEXT(K47),ISTEXT(L47),ISTEXT(M47)),"n/a",K47*L47*M47)</f>
        <v>0</v>
      </c>
    </row>
    <row r="48" s="3" customFormat="true" ht="10.5" hidden="false" customHeight="true" outlineLevel="0" collapsed="false">
      <c r="A48" s="57" t="s">
        <v>67</v>
      </c>
      <c r="B48" s="57" t="s">
        <v>163</v>
      </c>
      <c r="C48" s="118" t="n">
        <f aca="false">'Burden x Vehicle Matrix'!AF13</f>
        <v>1</v>
      </c>
      <c r="D48" s="118" t="str">
        <f aca="false">'Burden x Vehicle Matrix'!AE13</f>
        <v>n/a</v>
      </c>
      <c r="E48" s="118" t="str">
        <f aca="false">'Burden x Vehicle Matrix'!AH13</f>
        <v>n/a</v>
      </c>
      <c r="F48" s="119" t="str">
        <f aca="false">IF(OR(ISTEXT(C48),ISTEXT(D48),ISTEXT(E48)),"n/a",C48*D48*E48)</f>
        <v>n/a</v>
      </c>
      <c r="G48" s="122" t="n">
        <v>0.98</v>
      </c>
      <c r="H48" s="122" t="n">
        <v>0.25</v>
      </c>
      <c r="I48" s="120"/>
      <c r="J48" s="122" t="n">
        <v>0.796</v>
      </c>
      <c r="K48" s="124" t="n">
        <v>0.98</v>
      </c>
      <c r="L48" s="124" t="n">
        <v>0.25</v>
      </c>
      <c r="M48" s="121"/>
      <c r="N48" s="124" t="n">
        <v>0.85</v>
      </c>
    </row>
    <row r="49" s="3" customFormat="true" ht="10.5" hidden="false" customHeight="true" outlineLevel="0" collapsed="false">
      <c r="A49" s="57" t="s">
        <v>67</v>
      </c>
      <c r="B49" s="57" t="s">
        <v>11</v>
      </c>
      <c r="C49" s="118" t="str">
        <f aca="false">'Burden x Vehicle Matrix'!AJ13</f>
        <v>n/a</v>
      </c>
      <c r="D49" s="118" t="n">
        <f aca="false">'Burden x Vehicle Matrix'!AI13</f>
        <v>0</v>
      </c>
      <c r="E49" s="118" t="str">
        <f aca="false">'Burden x Vehicle Matrix'!AL13</f>
        <v>n/a</v>
      </c>
      <c r="F49" s="119" t="str">
        <f aca="false">IF(OR(ISTEXT(C49),ISTEXT(D49),ISTEXT(E49)),"n/a",C49*D49*E49)</f>
        <v>n/a</v>
      </c>
      <c r="G49" s="120"/>
      <c r="H49" s="120"/>
      <c r="I49" s="120"/>
      <c r="J49" s="120" t="n">
        <f aca="false">IF(OR(ISTEXT(G49),ISTEXT(H49),ISTEXT(I49)),"n/a",G49*H49*I49)</f>
        <v>0</v>
      </c>
      <c r="K49" s="121"/>
      <c r="L49" s="121"/>
      <c r="M49" s="121"/>
      <c r="N49" s="121" t="n">
        <f aca="false">IF(OR(ISTEXT(K49),ISTEXT(L49),ISTEXT(M49)),"n/a",K49*L49*M49)</f>
        <v>0</v>
      </c>
    </row>
    <row r="50" s="3" customFormat="true" ht="10.5" hidden="false" customHeight="true" outlineLevel="0" collapsed="false">
      <c r="A50" s="111" t="s">
        <v>73</v>
      </c>
      <c r="B50" s="57" t="s">
        <v>6</v>
      </c>
      <c r="C50" s="118" t="n">
        <f aca="false">'Burden x Vehicle Matrix'!P14</f>
        <v>0.529</v>
      </c>
      <c r="D50" s="118" t="n">
        <f aca="false">'Burden x Vehicle Matrix'!O14</f>
        <v>1</v>
      </c>
      <c r="E50" s="118" t="n">
        <f aca="false">'Burden x Vehicle Matrix'!R14</f>
        <v>0.79</v>
      </c>
      <c r="F50" s="119" t="n">
        <f aca="false">IF(OR(ISTEXT(C50),ISTEXT(D50),ISTEXT(E50)),"n/a",C50*D50*E50)</f>
        <v>0.41791</v>
      </c>
      <c r="G50" s="120"/>
      <c r="H50" s="120"/>
      <c r="I50" s="120" t="n">
        <v>0.85</v>
      </c>
      <c r="J50" s="120" t="n">
        <f aca="false">IF(OR(ISTEXT(G50),ISTEXT(H50),ISTEXT(I50)),"n/a",G50*H50*I50)</f>
        <v>0</v>
      </c>
      <c r="K50" s="121"/>
      <c r="L50" s="121"/>
      <c r="M50" s="121" t="n">
        <v>0.9</v>
      </c>
      <c r="N50" s="121" t="n">
        <f aca="false">IF(OR(ISTEXT(K50),ISTEXT(L50),ISTEXT(M50)),"n/a",K50*L50*M50)</f>
        <v>0</v>
      </c>
    </row>
    <row r="51" s="3" customFormat="true" ht="10.5" hidden="false" customHeight="true" outlineLevel="0" collapsed="false">
      <c r="A51" s="57" t="s">
        <v>73</v>
      </c>
      <c r="B51" s="57" t="s">
        <v>7</v>
      </c>
      <c r="C51" s="118" t="str">
        <f aca="false">'Burden x Vehicle Matrix'!T14</f>
        <v>n/a</v>
      </c>
      <c r="D51" s="118" t="n">
        <f aca="false">'Burden x Vehicle Matrix'!S14</f>
        <v>1</v>
      </c>
      <c r="E51" s="118" t="n">
        <f aca="false">'Burden x Vehicle Matrix'!V14</f>
        <v>0.38</v>
      </c>
      <c r="F51" s="119" t="str">
        <f aca="false">IF(OR(ISTEXT(C51),ISTEXT(D51),ISTEXT(E51)),"n/a",C51*D51*E51)</f>
        <v>n/a</v>
      </c>
      <c r="G51" s="120"/>
      <c r="H51" s="120"/>
      <c r="I51" s="120" t="n">
        <v>0.75</v>
      </c>
      <c r="J51" s="120" t="n">
        <f aca="false">IF(OR(ISTEXT(G51),ISTEXT(H51),ISTEXT(I51)),"n/a",G51*H51*I51)</f>
        <v>0</v>
      </c>
      <c r="K51" s="121"/>
      <c r="L51" s="121"/>
      <c r="M51" s="121" t="n">
        <v>0.85</v>
      </c>
      <c r="N51" s="121" t="n">
        <f aca="false">IF(OR(ISTEXT(K51),ISTEXT(L51),ISTEXT(M51)),"n/a",K51*L51*M51)</f>
        <v>0</v>
      </c>
    </row>
    <row r="52" s="3" customFormat="true" ht="10.5" hidden="false" customHeight="true" outlineLevel="0" collapsed="false">
      <c r="A52" s="57" t="s">
        <v>73</v>
      </c>
      <c r="B52" s="57" t="s">
        <v>8</v>
      </c>
      <c r="C52" s="118" t="str">
        <f aca="false">'Burden x Vehicle Matrix'!X14</f>
        <v>n/a</v>
      </c>
      <c r="D52" s="118" t="n">
        <f aca="false">'Burden x Vehicle Matrix'!W14</f>
        <v>0</v>
      </c>
      <c r="E52" s="118" t="str">
        <f aca="false">'Burden x Vehicle Matrix'!Z14</f>
        <v>n/a</v>
      </c>
      <c r="F52" s="119" t="str">
        <f aca="false">IF(OR(ISTEXT(C52),ISTEXT(D52),ISTEXT(E52)),"n/a",C52*D52*E52)</f>
        <v>n/a</v>
      </c>
      <c r="G52" s="120"/>
      <c r="H52" s="120"/>
      <c r="I52" s="120"/>
      <c r="J52" s="120" t="n">
        <f aca="false">IF(OR(ISTEXT(G52),ISTEXT(H52),ISTEXT(I52)),"n/a",G52*H52*I52)</f>
        <v>0</v>
      </c>
      <c r="K52" s="121"/>
      <c r="L52" s="121"/>
      <c r="M52" s="121"/>
      <c r="N52" s="121" t="n">
        <f aca="false">IF(OR(ISTEXT(K52),ISTEXT(L52),ISTEXT(M52)),"n/a",K52*L52*M52)</f>
        <v>0</v>
      </c>
    </row>
    <row r="53" s="3" customFormat="true" ht="10.5" hidden="false" customHeight="true" outlineLevel="0" collapsed="false">
      <c r="A53" s="57" t="s">
        <v>73</v>
      </c>
      <c r="B53" s="57" t="s">
        <v>9</v>
      </c>
      <c r="C53" s="118" t="str">
        <f aca="false">'Burden x Vehicle Matrix'!AB14</f>
        <v>n/a</v>
      </c>
      <c r="D53" s="118" t="n">
        <f aca="false">'Burden x Vehicle Matrix'!AA14</f>
        <v>0</v>
      </c>
      <c r="E53" s="118" t="str">
        <f aca="false">'Burden x Vehicle Matrix'!AD14</f>
        <v>n/a</v>
      </c>
      <c r="F53" s="119" t="str">
        <f aca="false">IF(OR(ISTEXT(C53),ISTEXT(D53),ISTEXT(E53)),"n/a",C53*D53*E53)</f>
        <v>n/a</v>
      </c>
      <c r="G53" s="120"/>
      <c r="H53" s="120"/>
      <c r="I53" s="120" t="n">
        <v>0.15</v>
      </c>
      <c r="J53" s="120" t="n">
        <f aca="false">IF(OR(ISTEXT(G53),ISTEXT(H53),ISTEXT(I53)),"n/a",G53*H53*I53)</f>
        <v>0</v>
      </c>
      <c r="K53" s="121"/>
      <c r="L53" s="121"/>
      <c r="M53" s="121" t="n">
        <v>0.25</v>
      </c>
      <c r="N53" s="121" t="n">
        <f aca="false">IF(OR(ISTEXT(K53),ISTEXT(L53),ISTEXT(M53)),"n/a",K53*L53*M53)</f>
        <v>0</v>
      </c>
    </row>
    <row r="54" s="3" customFormat="true" ht="10.5" hidden="false" customHeight="true" outlineLevel="0" collapsed="false">
      <c r="A54" s="57" t="s">
        <v>73</v>
      </c>
      <c r="B54" s="57" t="s">
        <v>163</v>
      </c>
      <c r="C54" s="118" t="n">
        <f aca="false">'Burden x Vehicle Matrix'!AF14</f>
        <v>1</v>
      </c>
      <c r="D54" s="118" t="str">
        <f aca="false">'Burden x Vehicle Matrix'!AE14</f>
        <v>n/a</v>
      </c>
      <c r="E54" s="118" t="str">
        <f aca="false">'Burden x Vehicle Matrix'!AH14</f>
        <v>n/a</v>
      </c>
      <c r="F54" s="119" t="str">
        <f aca="false">IF(OR(ISTEXT(C54),ISTEXT(D54),ISTEXT(E54)),"n/a",C54*D54*E54)</f>
        <v>n/a</v>
      </c>
      <c r="G54" s="122" t="n">
        <v>0.98</v>
      </c>
      <c r="H54" s="122" t="n">
        <v>0.75</v>
      </c>
      <c r="I54" s="120"/>
      <c r="J54" s="122" t="n">
        <v>0.61</v>
      </c>
      <c r="K54" s="124" t="n">
        <v>0.98</v>
      </c>
      <c r="L54" s="124" t="n">
        <v>0.75</v>
      </c>
      <c r="M54" s="121"/>
      <c r="N54" s="124" t="n">
        <v>0.7</v>
      </c>
    </row>
    <row r="55" s="3" customFormat="true" ht="10.5" hidden="false" customHeight="true" outlineLevel="0" collapsed="false">
      <c r="A55" s="57" t="s">
        <v>73</v>
      </c>
      <c r="B55" s="57" t="s">
        <v>11</v>
      </c>
      <c r="C55" s="118" t="str">
        <f aca="false">'Burden x Vehicle Matrix'!AJ14</f>
        <v>n/a</v>
      </c>
      <c r="D55" s="118" t="n">
        <f aca="false">'Burden x Vehicle Matrix'!AI14</f>
        <v>0</v>
      </c>
      <c r="E55" s="118" t="str">
        <f aca="false">'Burden x Vehicle Matrix'!AL14</f>
        <v>n/a</v>
      </c>
      <c r="F55" s="119" t="str">
        <f aca="false">IF(OR(ISTEXT(C55),ISTEXT(D55),ISTEXT(E55)),"n/a",C55*D55*E55)</f>
        <v>n/a</v>
      </c>
      <c r="G55" s="120"/>
      <c r="H55" s="120"/>
      <c r="I55" s="120"/>
      <c r="J55" s="120" t="n">
        <f aca="false">IF(OR(ISTEXT(G55),ISTEXT(H55),ISTEXT(I55)),"n/a",G55*H55*I55)</f>
        <v>0</v>
      </c>
      <c r="K55" s="121"/>
      <c r="L55" s="121"/>
      <c r="M55" s="121"/>
      <c r="N55" s="121" t="n">
        <f aca="false">IF(OR(ISTEXT(K55),ISTEXT(L55),ISTEXT(M55)),"n/a",K55*L55*M55)</f>
        <v>0</v>
      </c>
    </row>
  </sheetData>
  <mergeCells count="1">
    <mergeCell ref="A5:N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B8" activePane="bottomLeft" state="frozen"/>
      <selection pane="topLeft" activeCell="A1" activeCellId="0" sqref="A1"/>
      <selection pane="bottomLeft" activeCell="A16" activeCellId="0" sqref="A16"/>
    </sheetView>
  </sheetViews>
  <sheetFormatPr defaultColWidth="8.71484375" defaultRowHeight="14.25" zeroHeight="false" outlineLevelRow="0" outlineLevelCol="0"/>
  <cols>
    <col collapsed="false" customWidth="true" hidden="false" outlineLevel="0" max="1" min="1" style="101" width="12"/>
    <col collapsed="false" customWidth="true" hidden="false" outlineLevel="0" max="9" min="2" style="101" width="15.57"/>
    <col collapsed="false" customWidth="true" hidden="false" outlineLevel="0" max="10" min="10" style="101" width="17.15"/>
    <col collapsed="false" customWidth="false" hidden="false" outlineLevel="0" max="11" min="11" style="101" width="8.71"/>
    <col collapsed="false" customWidth="true" hidden="false" outlineLevel="0" max="17" min="12" style="101" width="15.57"/>
    <col collapsed="false" customWidth="true" hidden="false" outlineLevel="0" max="18" min="18" style="101" width="17.15"/>
    <col collapsed="false" customWidth="false" hidden="false" outlineLevel="0" max="19" min="19" style="101" width="8.71"/>
    <col collapsed="false" customWidth="true" hidden="false" outlineLevel="0" max="25" min="20" style="101" width="15.57"/>
    <col collapsed="false" customWidth="true" hidden="false" outlineLevel="0" max="26" min="26" style="101" width="17.15"/>
    <col collapsed="false" customWidth="false" hidden="false" outlineLevel="0" max="16384" min="27" style="101" width="8.71"/>
  </cols>
  <sheetData>
    <row r="1" customFormat="false" ht="15" hidden="false" customHeight="true" outlineLevel="0" collapsed="false">
      <c r="A1" s="103" t="s">
        <v>272</v>
      </c>
      <c r="B1" s="103"/>
    </row>
    <row r="2" customFormat="false" ht="15" hidden="false" customHeight="true" outlineLevel="0" collapsed="false">
      <c r="A2" s="103"/>
      <c r="B2" s="103"/>
      <c r="F2" s="104" t="s">
        <v>273</v>
      </c>
      <c r="G2" s="104"/>
      <c r="H2" s="105"/>
      <c r="I2" s="105"/>
      <c r="J2" s="105"/>
    </row>
    <row r="3" customFormat="false" ht="15" hidden="false" customHeight="true" outlineLevel="0" collapsed="false">
      <c r="A3" s="107" t="s">
        <v>274</v>
      </c>
      <c r="B3" s="103"/>
    </row>
    <row r="4" customFormat="false" ht="15" hidden="false" customHeight="true" outlineLevel="0" collapsed="false">
      <c r="A4" s="103"/>
      <c r="B4" s="103"/>
    </row>
    <row r="5" customFormat="false" ht="18" hidden="false" customHeight="true" outlineLevel="0" collapsed="false">
      <c r="A5" s="125" t="s">
        <v>275</v>
      </c>
      <c r="B5" s="126"/>
    </row>
    <row r="6" s="102" customFormat="true" ht="31.5" hidden="false" customHeight="true" outlineLevel="0" collapsed="false">
      <c r="D6" s="127" t="s">
        <v>276</v>
      </c>
      <c r="E6" s="127"/>
      <c r="F6" s="127"/>
      <c r="G6" s="127"/>
      <c r="H6" s="127"/>
      <c r="I6" s="127"/>
      <c r="J6" s="127"/>
      <c r="L6" s="127" t="n">
        <v>2031</v>
      </c>
      <c r="M6" s="127"/>
      <c r="N6" s="127"/>
      <c r="O6" s="127"/>
      <c r="P6" s="127"/>
      <c r="Q6" s="127"/>
      <c r="R6" s="127"/>
      <c r="T6" s="127" t="n">
        <v>2035</v>
      </c>
      <c r="U6" s="127"/>
      <c r="V6" s="127"/>
      <c r="W6" s="127"/>
      <c r="X6" s="127"/>
      <c r="Y6" s="127"/>
      <c r="Z6" s="127"/>
    </row>
    <row r="7" customFormat="false" ht="27.75" hidden="false" customHeight="true" outlineLevel="0" collapsed="false">
      <c r="A7" s="110" t="s">
        <v>13</v>
      </c>
      <c r="B7" s="110" t="s">
        <v>277</v>
      </c>
      <c r="C7" s="110" t="s">
        <v>259</v>
      </c>
      <c r="D7" s="110" t="s">
        <v>260</v>
      </c>
      <c r="E7" s="110" t="s">
        <v>261</v>
      </c>
      <c r="F7" s="110" t="s">
        <v>262</v>
      </c>
      <c r="G7" s="110" t="s">
        <v>263</v>
      </c>
      <c r="H7" s="128" t="s">
        <v>278</v>
      </c>
      <c r="I7" s="128" t="s">
        <v>279</v>
      </c>
      <c r="J7" s="128" t="s">
        <v>280</v>
      </c>
      <c r="L7" s="110" t="s">
        <v>260</v>
      </c>
      <c r="M7" s="110" t="s">
        <v>261</v>
      </c>
      <c r="N7" s="110" t="s">
        <v>262</v>
      </c>
      <c r="O7" s="110" t="s">
        <v>263</v>
      </c>
      <c r="P7" s="128" t="s">
        <v>278</v>
      </c>
      <c r="Q7" s="128" t="s">
        <v>279</v>
      </c>
      <c r="R7" s="128" t="s">
        <v>280</v>
      </c>
      <c r="T7" s="110" t="s">
        <v>260</v>
      </c>
      <c r="U7" s="110" t="s">
        <v>261</v>
      </c>
      <c r="V7" s="110" t="s">
        <v>262</v>
      </c>
      <c r="W7" s="110" t="s">
        <v>263</v>
      </c>
      <c r="X7" s="128" t="s">
        <v>278</v>
      </c>
      <c r="Y7" s="128" t="s">
        <v>279</v>
      </c>
      <c r="Z7" s="128" t="s">
        <v>280</v>
      </c>
    </row>
    <row r="8" s="3" customFormat="true" ht="10.5" hidden="false" customHeight="true" outlineLevel="0" collapsed="false">
      <c r="A8" s="111" t="s">
        <v>50</v>
      </c>
      <c r="B8" s="129" t="n">
        <v>242400000</v>
      </c>
      <c r="C8" s="57" t="s">
        <v>6</v>
      </c>
      <c r="D8" s="112" t="n">
        <f aca="false">'Burden x Vehicle Matrix'!P9</f>
        <v>0.28</v>
      </c>
      <c r="E8" s="112" t="n">
        <f aca="false">'Burden x Vehicle Matrix'!O9</f>
        <v>1</v>
      </c>
      <c r="F8" s="112" t="n">
        <f aca="false">'Burden x Vehicle Matrix'!R9</f>
        <v>0.63</v>
      </c>
      <c r="G8" s="112" t="n">
        <f aca="false">IF(OR(ISTEXT(D8),ISTEXT(E8),ISTEXT(F8)),"n/a",D8*E8*F8)</f>
        <v>0.1764</v>
      </c>
      <c r="H8" s="130" t="n">
        <f aca="false">IFERROR($B$8*D8,"-")</f>
        <v>67872000</v>
      </c>
      <c r="I8" s="130" t="n">
        <f aca="false">IFERROR($B$8*D8*E8,"-")</f>
        <v>67872000</v>
      </c>
      <c r="J8" s="130" t="n">
        <f aca="false">IFERROR($B$8*D8*E8*F8,"-")</f>
        <v>42759360</v>
      </c>
      <c r="L8" s="112" t="n">
        <f aca="false">'Coverage Over Time'!G8</f>
        <v>0.28</v>
      </c>
      <c r="M8" s="112" t="n">
        <f aca="false">'Coverage Over Time'!H8</f>
        <v>1</v>
      </c>
      <c r="N8" s="112" t="n">
        <v>0.8</v>
      </c>
      <c r="O8" s="112" t="n">
        <v>0.224</v>
      </c>
      <c r="P8" s="130" t="n">
        <f aca="false">IFERROR($B$8*L8,"-")</f>
        <v>67872000</v>
      </c>
      <c r="Q8" s="130" t="n">
        <f aca="false">IFERROR($B$8*L8*M8,"-")</f>
        <v>67872000</v>
      </c>
      <c r="R8" s="130" t="n">
        <f aca="false">IFERROR($B$8*L8*M8*N8,"-")</f>
        <v>54297600</v>
      </c>
      <c r="T8" s="112" t="n">
        <v>0.28</v>
      </c>
      <c r="U8" s="112" t="n">
        <v>1</v>
      </c>
      <c r="V8" s="112" t="n">
        <v>0.85</v>
      </c>
      <c r="W8" s="112" t="n">
        <v>0.238</v>
      </c>
      <c r="X8" s="130" t="n">
        <f aca="false">IFERROR($B$8*T8,"-")</f>
        <v>67872000</v>
      </c>
      <c r="Y8" s="130" t="n">
        <f aca="false">IFERROR($B$8*T8*U8,"-")</f>
        <v>67872000</v>
      </c>
      <c r="Z8" s="130" t="n">
        <f aca="false">IFERROR($B$8*T8*U8*V8,"-")</f>
        <v>57691200</v>
      </c>
    </row>
    <row r="9" s="3" customFormat="true" ht="9.75" hidden="false" customHeight="true" outlineLevel="0" collapsed="false">
      <c r="A9" s="57" t="s">
        <v>50</v>
      </c>
      <c r="B9" s="57"/>
      <c r="C9" s="57" t="s">
        <v>7</v>
      </c>
      <c r="D9" s="112" t="n">
        <f aca="false">'Burden x Vehicle Matrix'!T9</f>
        <v>0.903</v>
      </c>
      <c r="E9" s="112" t="n">
        <f aca="false">'Burden x Vehicle Matrix'!S9</f>
        <v>0.329</v>
      </c>
      <c r="F9" s="112" t="n">
        <f aca="false">'Burden x Vehicle Matrix'!V9</f>
        <v>0.6</v>
      </c>
      <c r="G9" s="112" t="n">
        <f aca="false">IF(OR(ISTEXT(D9),ISTEXT(E9),ISTEXT(F9)),"n/a",D9*E9*F9)</f>
        <v>0.1782522</v>
      </c>
      <c r="H9" s="130" t="n">
        <f aca="false">IFERROR($B$8*D9,"-")</f>
        <v>218887200</v>
      </c>
      <c r="I9" s="130" t="n">
        <f aca="false">IFERROR($B$8*D9*E9,"-")</f>
        <v>72013888.8</v>
      </c>
      <c r="J9" s="130" t="n">
        <f aca="false">IFERROR($B$8*D9*E9*F9,"-")</f>
        <v>43208333.28</v>
      </c>
      <c r="L9" s="112" t="n">
        <f aca="false">D9</f>
        <v>0.903</v>
      </c>
      <c r="M9" s="112" t="n">
        <f aca="false">'Coverage Over Time'!H9</f>
        <v>0.5</v>
      </c>
      <c r="N9" s="112" t="n">
        <v>0.8</v>
      </c>
      <c r="O9" s="112" t="n">
        <v>0.3612</v>
      </c>
      <c r="P9" s="130" t="n">
        <f aca="false">IFERROR($B$8*L9,"-")</f>
        <v>218887200</v>
      </c>
      <c r="Q9" s="130" t="n">
        <f aca="false">IFERROR($B$8*L9*M9,"-")</f>
        <v>109443600</v>
      </c>
      <c r="R9" s="130" t="n">
        <f aca="false">IFERROR($B$8*L9*M9*N9,"-")</f>
        <v>87554880</v>
      </c>
      <c r="T9" s="112" t="n">
        <v>0.903</v>
      </c>
      <c r="U9" s="112" t="n">
        <v>0.5</v>
      </c>
      <c r="V9" s="112" t="n">
        <v>0.85</v>
      </c>
      <c r="W9" s="112" t="n">
        <v>0.383775</v>
      </c>
      <c r="X9" s="130" t="n">
        <f aca="false">IFERROR($B$8*T9,"-")</f>
        <v>218887200</v>
      </c>
      <c r="Y9" s="130" t="n">
        <f aca="false">IFERROR($B$8*T9*U9,"-")</f>
        <v>109443600</v>
      </c>
      <c r="Z9" s="130" t="n">
        <f aca="false">IFERROR($B$8*T9*U9*V9,"-")</f>
        <v>93027060</v>
      </c>
    </row>
    <row r="10" s="3" customFormat="true" ht="9.75" hidden="false" customHeight="true" outlineLevel="0" collapsed="false">
      <c r="A10" s="57" t="s">
        <v>50</v>
      </c>
      <c r="B10" s="57"/>
      <c r="C10" s="57" t="s">
        <v>8</v>
      </c>
      <c r="D10" s="112" t="n">
        <f aca="false">'Burden x Vehicle Matrix'!X9</f>
        <v>0.54</v>
      </c>
      <c r="E10" s="112" t="str">
        <f aca="false">'Burden x Vehicle Matrix'!W9</f>
        <v>n/a</v>
      </c>
      <c r="F10" s="112" t="str">
        <f aca="false">'Burden x Vehicle Matrix'!Z9</f>
        <v>n/a</v>
      </c>
      <c r="G10" s="112" t="str">
        <f aca="false">IF(OR(ISTEXT(D10),ISTEXT(E10),ISTEXT(F10)),"n/a",D10*E10*F10)</f>
        <v>n/a</v>
      </c>
      <c r="H10" s="130" t="n">
        <f aca="false">IFERROR($B$8*D10,"-")</f>
        <v>130896000</v>
      </c>
      <c r="I10" s="130" t="str">
        <f aca="false">IFERROR($B$8*D10*E10,"-")</f>
        <v>-</v>
      </c>
      <c r="J10" s="130" t="str">
        <f aca="false">IFERROR($B$8*D10*E10*F10,"-")</f>
        <v>-</v>
      </c>
      <c r="L10" s="112" t="n">
        <f aca="false">'Coverage Over Time'!G10</f>
        <v>0.54</v>
      </c>
      <c r="M10" s="112" t="n">
        <f aca="false">'Coverage Over Time'!H10</f>
        <v>0.7</v>
      </c>
      <c r="N10" s="112" t="n">
        <f aca="false">'Coverage Over Time'!I10</f>
        <v>0.5</v>
      </c>
      <c r="O10" s="131" t="n">
        <f aca="false">'Coverage Over Time'!J10</f>
        <v>0.189</v>
      </c>
      <c r="P10" s="130" t="n">
        <f aca="false">IFERROR($B$8*L10,"-")</f>
        <v>130896000</v>
      </c>
      <c r="Q10" s="130" t="n">
        <f aca="false">IFERROR($B$8*L10*M10,"-")</f>
        <v>91627200</v>
      </c>
      <c r="R10" s="130" t="n">
        <f aca="false">IFERROR($B$8*L10*M10*N10,"-")</f>
        <v>45813600</v>
      </c>
      <c r="T10" s="112" t="n">
        <f aca="false">'Coverage Over Time'!K10</f>
        <v>0.54</v>
      </c>
      <c r="U10" s="131" t="n">
        <f aca="false">'Coverage Over Time'!L10</f>
        <v>0.9</v>
      </c>
      <c r="V10" s="112" t="n">
        <f aca="false">'Coverage Over Time'!M10</f>
        <v>0.85</v>
      </c>
      <c r="W10" s="131" t="n">
        <f aca="false">'Coverage Over Time'!N10</f>
        <v>0.4131</v>
      </c>
      <c r="X10" s="130" t="n">
        <f aca="false">IFERROR($B$8*T10,"-")</f>
        <v>130896000</v>
      </c>
      <c r="Y10" s="132" t="n">
        <f aca="false">IFERROR($B$8*T10*U10,"-")</f>
        <v>117806400</v>
      </c>
      <c r="Z10" s="132" t="n">
        <f aca="false">IFERROR($B$8*T10*U10*V10,"-")</f>
        <v>100135440</v>
      </c>
    </row>
    <row r="11" s="3" customFormat="true" ht="9.75" hidden="false" customHeight="true" outlineLevel="0" collapsed="false">
      <c r="A11" s="57" t="s">
        <v>50</v>
      </c>
      <c r="B11" s="57"/>
      <c r="C11" s="57" t="s">
        <v>9</v>
      </c>
      <c r="D11" s="118" t="n">
        <f aca="false">'Burden x Vehicle Matrix'!AB9</f>
        <v>0.574</v>
      </c>
      <c r="E11" s="118" t="n">
        <f aca="false">'Burden x Vehicle Matrix'!AA9</f>
        <v>0.05</v>
      </c>
      <c r="F11" s="118" t="str">
        <f aca="false">'Burden x Vehicle Matrix'!AD9</f>
        <v>n/a</v>
      </c>
      <c r="G11" s="118" t="str">
        <f aca="false">IF(OR(ISTEXT(D11),ISTEXT(E11),ISTEXT(F11)),"n/a",D11*E11*F11)</f>
        <v>n/a</v>
      </c>
      <c r="H11" s="133" t="n">
        <f aca="false">IFERROR($B$8*D11,"-")</f>
        <v>139137600</v>
      </c>
      <c r="I11" s="133" t="n">
        <f aca="false">IFERROR($B$8*D11*E11,"-")</f>
        <v>6956880</v>
      </c>
      <c r="J11" s="133" t="str">
        <f aca="false">IFERROR($B$8*D11*E11*F11,"-")</f>
        <v>-</v>
      </c>
      <c r="L11" s="118" t="n">
        <f aca="false">D11</f>
        <v>0.574</v>
      </c>
      <c r="M11" s="118" t="n">
        <v>0.05</v>
      </c>
      <c r="N11" s="118" t="s">
        <v>38</v>
      </c>
      <c r="O11" s="118" t="s">
        <v>38</v>
      </c>
      <c r="P11" s="133" t="n">
        <f aca="false">IFERROR($B$8*L11,"-")</f>
        <v>139137600</v>
      </c>
      <c r="Q11" s="133" t="n">
        <f aca="false">IFERROR($B$8*L11*M11,"-")</f>
        <v>6956880</v>
      </c>
      <c r="R11" s="133" t="str">
        <f aca="false">IFERROR($B$8*L11*M11*N11,"-")</f>
        <v>-</v>
      </c>
      <c r="T11" s="118" t="n">
        <f aca="false">L11</f>
        <v>0.574</v>
      </c>
      <c r="U11" s="118" t="n">
        <f aca="false">M11</f>
        <v>0.05</v>
      </c>
      <c r="V11" s="118" t="str">
        <f aca="false">N11</f>
        <v>n/a</v>
      </c>
      <c r="W11" s="118" t="s">
        <v>38</v>
      </c>
      <c r="X11" s="133" t="n">
        <f aca="false">IFERROR($B$8*T11,"-")</f>
        <v>139137600</v>
      </c>
      <c r="Y11" s="133" t="n">
        <f aca="false">IFERROR($B$8*T11*U11,"-")</f>
        <v>6956880</v>
      </c>
      <c r="Z11" s="133" t="str">
        <f aca="false">IFERROR($B$8*T11*U11*V11,"-")</f>
        <v>-</v>
      </c>
    </row>
    <row r="12" s="3" customFormat="true" ht="9.75" hidden="false" customHeight="true" outlineLevel="0" collapsed="false">
      <c r="A12" s="57" t="s">
        <v>50</v>
      </c>
      <c r="B12" s="57"/>
      <c r="C12" s="57" t="s">
        <v>281</v>
      </c>
      <c r="D12" s="112" t="n">
        <f aca="false">'Burden x Vehicle Matrix'!AF9</f>
        <v>0.992</v>
      </c>
      <c r="E12" s="112" t="str">
        <f aca="false">'Burden x Vehicle Matrix'!AE9</f>
        <v>n/a</v>
      </c>
      <c r="F12" s="112" t="str">
        <f aca="false">'Burden x Vehicle Matrix'!AH9</f>
        <v>n/a</v>
      </c>
      <c r="G12" s="112" t="str">
        <f aca="false">IF(OR(ISTEXT(D12),ISTEXT(E12),ISTEXT(F12)),"n/a",D12*E12*F12)</f>
        <v>n/a</v>
      </c>
      <c r="H12" s="130" t="n">
        <f aca="false">IFERROR($B$8*D12,"-")</f>
        <v>240460800</v>
      </c>
      <c r="I12" s="130" t="str">
        <f aca="false">IFERROR($B$8*D12*E12,"-")</f>
        <v>-</v>
      </c>
      <c r="J12" s="130" t="str">
        <f aca="false">IFERROR($B$8*D12*E12*F12,"-")</f>
        <v>-</v>
      </c>
      <c r="L12" s="112" t="n">
        <f aca="false">D12</f>
        <v>0.992</v>
      </c>
      <c r="M12" s="112" t="n">
        <v>0.9</v>
      </c>
      <c r="N12" s="112" t="n">
        <v>0.92</v>
      </c>
      <c r="O12" s="112" t="n">
        <v>0.821376</v>
      </c>
      <c r="P12" s="130" t="n">
        <f aca="false">IFERROR($B$8*L12,"-")</f>
        <v>240460800</v>
      </c>
      <c r="Q12" s="130" t="n">
        <f aca="false">IFERROR($B$8*L12*M12,"-")</f>
        <v>216414720</v>
      </c>
      <c r="R12" s="130" t="n">
        <f aca="false">IFERROR($B$8*L12*M12*N12,"-")</f>
        <v>199101542.4</v>
      </c>
      <c r="T12" s="112" t="n">
        <v>0.992</v>
      </c>
      <c r="U12" s="112" t="n">
        <v>0.9</v>
      </c>
      <c r="V12" s="112" t="n">
        <v>0.95</v>
      </c>
      <c r="W12" s="112" t="n">
        <v>0.84816</v>
      </c>
      <c r="X12" s="130" t="n">
        <f aca="false">IFERROR($B$8*T12,"-")</f>
        <v>240460800</v>
      </c>
      <c r="Y12" s="130" t="n">
        <f aca="false">IFERROR($B$8*T12*U12,"-")</f>
        <v>216414720</v>
      </c>
      <c r="Z12" s="130" t="n">
        <f aca="false">IFERROR($B$8*T12*U12*V12,"-")</f>
        <v>205593984</v>
      </c>
    </row>
    <row r="13" s="3" customFormat="true" ht="9.75" hidden="false" customHeight="true" outlineLevel="0" collapsed="false">
      <c r="A13" s="57" t="s">
        <v>50</v>
      </c>
      <c r="B13" s="57"/>
      <c r="C13" s="57" t="s">
        <v>11</v>
      </c>
      <c r="D13" s="112" t="n">
        <f aca="false">'Burden x Vehicle Matrix'!AJ9</f>
        <v>0.981</v>
      </c>
      <c r="E13" s="112" t="str">
        <f aca="false">'Burden x Vehicle Matrix'!AI9</f>
        <v>n/a</v>
      </c>
      <c r="F13" s="112" t="str">
        <f aca="false">'Burden x Vehicle Matrix'!AL9</f>
        <v>n/a</v>
      </c>
      <c r="G13" s="112" t="str">
        <f aca="false">IF(OR(ISTEXT(D13),ISTEXT(E13),ISTEXT(F13)),"n/a",D13*E13*F13)</f>
        <v>n/a</v>
      </c>
      <c r="H13" s="130" t="n">
        <f aca="false">IFERROR($B$8*D13,"-")</f>
        <v>237794400</v>
      </c>
      <c r="I13" s="130" t="str">
        <f aca="false">IFERROR($B$8*D13*E13,"-")</f>
        <v>-</v>
      </c>
      <c r="J13" s="130" t="str">
        <f aca="false">IFERROR($B$8*D13*E13*F13,"-")</f>
        <v>-</v>
      </c>
      <c r="L13" s="112" t="n">
        <f aca="false">'Coverage Over Time'!G13</f>
        <v>0.981</v>
      </c>
      <c r="M13" s="131" t="n">
        <f aca="false">'Coverage Over Time'!H13</f>
        <v>0.7</v>
      </c>
      <c r="N13" s="112" t="n">
        <f aca="false">'Coverage Over Time'!I13</f>
        <v>0.7</v>
      </c>
      <c r="O13" s="131" t="n">
        <f aca="false">'Coverage Over Time'!J13</f>
        <v>0.48069</v>
      </c>
      <c r="P13" s="130" t="n">
        <f aca="false">IFERROR($B$8*L13,"-")</f>
        <v>237794400</v>
      </c>
      <c r="Q13" s="132" t="n">
        <f aca="false">IFERROR($B$8*L13*M13,"-")</f>
        <v>166456080</v>
      </c>
      <c r="R13" s="132" t="n">
        <f aca="false">IFERROR($B$8*L13*M13*N13,"-")</f>
        <v>116519256</v>
      </c>
      <c r="T13" s="112" t="n">
        <f aca="false">'Coverage Over Time'!K13</f>
        <v>0.981</v>
      </c>
      <c r="U13" s="112" t="n">
        <f aca="false">'Coverage Over Time'!L13</f>
        <v>1</v>
      </c>
      <c r="V13" s="112" t="n">
        <f aca="false">'Coverage Over Time'!M13</f>
        <v>0.85</v>
      </c>
      <c r="W13" s="112" t="n">
        <f aca="false">'Coverage Over Time'!N13</f>
        <v>0.83385</v>
      </c>
      <c r="X13" s="130" t="n">
        <f aca="false">IFERROR($B$8*T13,"-")</f>
        <v>237794400</v>
      </c>
      <c r="Y13" s="130" t="n">
        <f aca="false">IFERROR($B$8*T13*U13,"-")</f>
        <v>237794400</v>
      </c>
      <c r="Z13" s="130" t="n">
        <f aca="false">IFERROR($B$8*T13*U13*V13,"-")</f>
        <v>202125240</v>
      </c>
    </row>
    <row r="14" s="3" customFormat="true" ht="10.5" hidden="false" customHeight="true" outlineLevel="0" collapsed="false">
      <c r="A14" s="111" t="s">
        <v>32</v>
      </c>
      <c r="B14" s="129" t="n">
        <v>138900000</v>
      </c>
      <c r="C14" s="57" t="s">
        <v>6</v>
      </c>
      <c r="D14" s="112" t="n">
        <f aca="false">'Burden x Vehicle Matrix'!P6</f>
        <v>0.4</v>
      </c>
      <c r="E14" s="112" t="n">
        <f aca="false">'Burden x Vehicle Matrix'!O6</f>
        <v>0.6</v>
      </c>
      <c r="F14" s="112" t="n">
        <f aca="false">'Burden x Vehicle Matrix'!R6</f>
        <v>0.4</v>
      </c>
      <c r="G14" s="112" t="n">
        <f aca="false">IF(OR(ISTEXT(D14),ISTEXT(E14),ISTEXT(F14)),"n/a",D14*E14*F14)</f>
        <v>0.096</v>
      </c>
      <c r="H14" s="130" t="n">
        <f aca="false">IFERROR($B$14*D14,"-")</f>
        <v>55560000</v>
      </c>
      <c r="I14" s="130" t="n">
        <f aca="false">IFERROR($B$14*D14*E14,"-")</f>
        <v>33336000</v>
      </c>
      <c r="J14" s="130" t="n">
        <f aca="false">IFERROR($B$14*D14*E14*F14,"-")</f>
        <v>13334400</v>
      </c>
      <c r="L14" s="112" t="n">
        <f aca="false">D14</f>
        <v>0.4</v>
      </c>
      <c r="M14" s="112" t="n">
        <v>0.75</v>
      </c>
      <c r="N14" s="112" t="n">
        <v>0.8</v>
      </c>
      <c r="O14" s="112" t="n">
        <v>0.24</v>
      </c>
      <c r="P14" s="130" t="n">
        <f aca="false">IFERROR($B$14*L14,"-")</f>
        <v>55560000</v>
      </c>
      <c r="Q14" s="130" t="n">
        <f aca="false">IFERROR($B$14*L14*M14,"-")</f>
        <v>41670000</v>
      </c>
      <c r="R14" s="130" t="n">
        <f aca="false">IFERROR($B$14*L14*M14*N14,"-")</f>
        <v>33336000</v>
      </c>
      <c r="T14" s="112" t="n">
        <v>0.4</v>
      </c>
      <c r="U14" s="112" t="n">
        <v>0.75</v>
      </c>
      <c r="V14" s="112" t="n">
        <v>0.85</v>
      </c>
      <c r="W14" s="112" t="n">
        <v>0.255</v>
      </c>
      <c r="X14" s="130" t="n">
        <f aca="false">IFERROR($B$14*T14,"-")</f>
        <v>55560000</v>
      </c>
      <c r="Y14" s="130" t="n">
        <f aca="false">IFERROR($B$14*T14*U14,"-")</f>
        <v>41670000</v>
      </c>
      <c r="Z14" s="130" t="n">
        <f aca="false">IFERROR($B$14*T14*U14*V14,"-")</f>
        <v>35419500</v>
      </c>
    </row>
    <row r="15" s="3" customFormat="true" ht="9.75" hidden="false" customHeight="true" outlineLevel="0" collapsed="false">
      <c r="A15" s="57" t="s">
        <v>32</v>
      </c>
      <c r="B15" s="57"/>
      <c r="C15" s="57" t="s">
        <v>7</v>
      </c>
      <c r="D15" s="112" t="n">
        <f aca="false">'Burden x Vehicle Matrix'!T6</f>
        <v>0.9</v>
      </c>
      <c r="E15" s="112" t="n">
        <f aca="false">'Burden x Vehicle Matrix'!S6</f>
        <v>1</v>
      </c>
      <c r="F15" s="112" t="n">
        <f aca="false">'Burden x Vehicle Matrix'!V6</f>
        <v>0.5</v>
      </c>
      <c r="G15" s="112" t="n">
        <f aca="false">IF(OR(ISTEXT(D15),ISTEXT(E15),ISTEXT(F15)),"n/a",D15*E15*F15)</f>
        <v>0.45</v>
      </c>
      <c r="H15" s="130" t="n">
        <f aca="false">IFERROR($B$14*D15,"-")</f>
        <v>125010000</v>
      </c>
      <c r="I15" s="130" t="n">
        <f aca="false">IFERROR($B$14*D15*E15,"-")</f>
        <v>125010000</v>
      </c>
      <c r="J15" s="130" t="n">
        <f aca="false">IFERROR($B$14*D15*E15*F15,"-")</f>
        <v>62505000</v>
      </c>
      <c r="L15" s="112" t="n">
        <f aca="false">D15</f>
        <v>0.9</v>
      </c>
      <c r="M15" s="112" t="n">
        <v>1</v>
      </c>
      <c r="N15" s="112" t="n">
        <v>0.8</v>
      </c>
      <c r="O15" s="112" t="n">
        <v>0.72</v>
      </c>
      <c r="P15" s="130" t="n">
        <f aca="false">IFERROR($B$14*L15,"-")</f>
        <v>125010000</v>
      </c>
      <c r="Q15" s="130" t="n">
        <f aca="false">IFERROR($B$14*L15*M15,"-")</f>
        <v>125010000</v>
      </c>
      <c r="R15" s="130" t="n">
        <f aca="false">IFERROR($B$14*L15*M15*N15,"-")</f>
        <v>100008000</v>
      </c>
      <c r="T15" s="112" t="n">
        <v>0.9</v>
      </c>
      <c r="U15" s="112" t="n">
        <v>1</v>
      </c>
      <c r="V15" s="112" t="n">
        <v>0.85</v>
      </c>
      <c r="W15" s="112" t="n">
        <v>0.765</v>
      </c>
      <c r="X15" s="130" t="n">
        <f aca="false">IFERROR($B$14*T15,"-")</f>
        <v>125010000</v>
      </c>
      <c r="Y15" s="130" t="n">
        <f aca="false">IFERROR($B$14*T15*U15,"-")</f>
        <v>125010000</v>
      </c>
      <c r="Z15" s="130" t="n">
        <f aca="false">IFERROR($B$14*T15*U15*V15,"-")</f>
        <v>106258500</v>
      </c>
    </row>
    <row r="16" s="3" customFormat="true" ht="9.75" hidden="false" customHeight="true" outlineLevel="0" collapsed="false">
      <c r="A16" s="57" t="s">
        <v>32</v>
      </c>
      <c r="B16" s="57"/>
      <c r="C16" s="57" t="s">
        <v>8</v>
      </c>
      <c r="D16" s="118" t="str">
        <f aca="false">'Burden x Vehicle Matrix'!X6</f>
        <v>n/a</v>
      </c>
      <c r="E16" s="118" t="str">
        <f aca="false">'Burden x Vehicle Matrix'!W6</f>
        <v>n/a</v>
      </c>
      <c r="F16" s="118" t="str">
        <f aca="false">'Burden x Vehicle Matrix'!Z6</f>
        <v>n/a</v>
      </c>
      <c r="G16" s="118" t="str">
        <f aca="false">IF(OR(ISTEXT(D16),ISTEXT(E16),ISTEXT(F16)),"n/a",D16*E16*F16)</f>
        <v>n/a</v>
      </c>
      <c r="H16" s="133" t="str">
        <f aca="false">IFERROR($B$14*D16,"-")</f>
        <v>-</v>
      </c>
      <c r="I16" s="133" t="str">
        <f aca="false">IFERROR($B$14*D16*E16,"-")</f>
        <v>-</v>
      </c>
      <c r="J16" s="133" t="str">
        <f aca="false">IFERROR($B$14*D16*E16*F16,"-")</f>
        <v>-</v>
      </c>
      <c r="L16" s="118" t="str">
        <f aca="false">D16</f>
        <v>n/a</v>
      </c>
      <c r="M16" s="118" t="s">
        <v>38</v>
      </c>
      <c r="N16" s="118" t="s">
        <v>38</v>
      </c>
      <c r="O16" s="118" t="s">
        <v>38</v>
      </c>
      <c r="P16" s="133" t="str">
        <f aca="false">IFERROR($B$14*L16,"-")</f>
        <v>-</v>
      </c>
      <c r="Q16" s="133" t="str">
        <f aca="false">IFERROR($B$14*L16*M16,"-")</f>
        <v>-</v>
      </c>
      <c r="R16" s="133" t="str">
        <f aca="false">IFERROR($B$14*L16*M16*N16,"-")</f>
        <v>-</v>
      </c>
      <c r="T16" s="118" t="s">
        <v>38</v>
      </c>
      <c r="U16" s="118" t="s">
        <v>38</v>
      </c>
      <c r="V16" s="118" t="s">
        <v>38</v>
      </c>
      <c r="W16" s="118" t="s">
        <v>38</v>
      </c>
      <c r="X16" s="133" t="str">
        <f aca="false">IFERROR($B$14*T16,"-")</f>
        <v>-</v>
      </c>
      <c r="Y16" s="133" t="str">
        <f aca="false">IFERROR($B$14*T16*U16,"-")</f>
        <v>-</v>
      </c>
      <c r="Z16" s="133" t="str">
        <f aca="false">IFERROR($B$14*T16*U16*V16,"-")</f>
        <v>-</v>
      </c>
    </row>
    <row r="17" s="3" customFormat="true" ht="9.75" hidden="false" customHeight="true" outlineLevel="0" collapsed="false">
      <c r="A17" s="57" t="s">
        <v>32</v>
      </c>
      <c r="B17" s="57"/>
      <c r="C17" s="57" t="s">
        <v>9</v>
      </c>
      <c r="D17" s="118" t="str">
        <f aca="false">'Burden x Vehicle Matrix'!AB6</f>
        <v>n/a</v>
      </c>
      <c r="E17" s="118" t="str">
        <f aca="false">'Burden x Vehicle Matrix'!AA6</f>
        <v>n/a</v>
      </c>
      <c r="F17" s="118" t="str">
        <f aca="false">'Burden x Vehicle Matrix'!AD6</f>
        <v>n/a</v>
      </c>
      <c r="G17" s="118" t="str">
        <f aca="false">IF(OR(ISTEXT(D17),ISTEXT(E17),ISTEXT(F17)),"n/a",D17*E17*F17)</f>
        <v>n/a</v>
      </c>
      <c r="H17" s="133" t="str">
        <f aca="false">IFERROR($B$14*D17,"-")</f>
        <v>-</v>
      </c>
      <c r="I17" s="133" t="str">
        <f aca="false">IFERROR($B$14*D17*E17,"-")</f>
        <v>-</v>
      </c>
      <c r="J17" s="133" t="str">
        <f aca="false">IFERROR($B$14*D17*E17*F17,"-")</f>
        <v>-</v>
      </c>
      <c r="L17" s="118" t="str">
        <f aca="false">D17</f>
        <v>n/a</v>
      </c>
      <c r="M17" s="118" t="s">
        <v>38</v>
      </c>
      <c r="N17" s="118" t="s">
        <v>38</v>
      </c>
      <c r="O17" s="118" t="s">
        <v>38</v>
      </c>
      <c r="P17" s="133" t="str">
        <f aca="false">IFERROR($B$14*L17,"-")</f>
        <v>-</v>
      </c>
      <c r="Q17" s="133" t="str">
        <f aca="false">IFERROR($B$14*L17*M17,"-")</f>
        <v>-</v>
      </c>
      <c r="R17" s="133" t="str">
        <f aca="false">IFERROR($B$14*L17*M17*N17,"-")</f>
        <v>-</v>
      </c>
      <c r="T17" s="118" t="s">
        <v>38</v>
      </c>
      <c r="U17" s="118" t="s">
        <v>38</v>
      </c>
      <c r="V17" s="118" t="s">
        <v>38</v>
      </c>
      <c r="W17" s="118" t="s">
        <v>38</v>
      </c>
      <c r="X17" s="133" t="str">
        <f aca="false">IFERROR($B$14*T17,"-")</f>
        <v>-</v>
      </c>
      <c r="Y17" s="133" t="str">
        <f aca="false">IFERROR($B$14*T17*U17,"-")</f>
        <v>-</v>
      </c>
      <c r="Z17" s="133" t="str">
        <f aca="false">IFERROR($B$14*T17*U17*V17,"-")</f>
        <v>-</v>
      </c>
    </row>
    <row r="18" s="3" customFormat="true" ht="9.75" hidden="false" customHeight="true" outlineLevel="0" collapsed="false">
      <c r="A18" s="57" t="s">
        <v>32</v>
      </c>
      <c r="B18" s="57"/>
      <c r="C18" s="57" t="s">
        <v>281</v>
      </c>
      <c r="D18" s="112" t="n">
        <f aca="false">'Burden x Vehicle Matrix'!AF6</f>
        <v>0.98</v>
      </c>
      <c r="E18" s="112" t="n">
        <f aca="false">'Burden x Vehicle Matrix'!AE6</f>
        <v>0.95</v>
      </c>
      <c r="F18" s="112" t="n">
        <f aca="false">'Burden x Vehicle Matrix'!AH6</f>
        <v>0</v>
      </c>
      <c r="G18" s="112" t="n">
        <f aca="false">IF(OR(ISTEXT(D18),ISTEXT(E18),ISTEXT(F18)),"n/a",D18*E18*F18)</f>
        <v>0</v>
      </c>
      <c r="H18" s="130" t="n">
        <f aca="false">IFERROR($B$14*D18,"-")</f>
        <v>136122000</v>
      </c>
      <c r="I18" s="130" t="n">
        <f aca="false">IFERROR($B$14*D18*E18,"-")</f>
        <v>129315900</v>
      </c>
      <c r="J18" s="130" t="n">
        <f aca="false">IFERROR($B$14*D18*E18*F18,"-")</f>
        <v>0</v>
      </c>
      <c r="L18" s="112" t="n">
        <f aca="false">D18</f>
        <v>0.98</v>
      </c>
      <c r="M18" s="112" t="n">
        <v>0.95</v>
      </c>
      <c r="N18" s="112" t="n">
        <v>0.8</v>
      </c>
      <c r="O18" s="112" t="n">
        <v>0.7448</v>
      </c>
      <c r="P18" s="130" t="n">
        <f aca="false">IFERROR($B$14*L18,"-")</f>
        <v>136122000</v>
      </c>
      <c r="Q18" s="130" t="n">
        <f aca="false">IFERROR($B$14*L18*M18,"-")</f>
        <v>129315900</v>
      </c>
      <c r="R18" s="130" t="n">
        <f aca="false">IFERROR($B$14*L18*M18*N18,"-")</f>
        <v>103452720</v>
      </c>
      <c r="T18" s="112" t="n">
        <v>0.98</v>
      </c>
      <c r="U18" s="112" t="n">
        <v>0.95</v>
      </c>
      <c r="V18" s="112" t="n">
        <v>0.85</v>
      </c>
      <c r="W18" s="112" t="n">
        <v>0.79135</v>
      </c>
      <c r="X18" s="130" t="n">
        <f aca="false">IFERROR($B$14*T18,"-")</f>
        <v>136122000</v>
      </c>
      <c r="Y18" s="130" t="n">
        <f aca="false">IFERROR($B$14*T18*U18,"-")</f>
        <v>129315900</v>
      </c>
      <c r="Z18" s="130" t="n">
        <f aca="false">IFERROR($B$14*T18*U18*V18,"-")</f>
        <v>109918515</v>
      </c>
    </row>
    <row r="19" s="3" customFormat="true" ht="9.75" hidden="false" customHeight="true" outlineLevel="0" collapsed="false">
      <c r="A19" s="57" t="s">
        <v>32</v>
      </c>
      <c r="B19" s="57"/>
      <c r="C19" s="57" t="s">
        <v>11</v>
      </c>
      <c r="D19" s="118" t="str">
        <f aca="false">'Burden x Vehicle Matrix'!AJ6</f>
        <v>n/a</v>
      </c>
      <c r="E19" s="118" t="str">
        <f aca="false">'Burden x Vehicle Matrix'!AI6</f>
        <v>n/a</v>
      </c>
      <c r="F19" s="118" t="str">
        <f aca="false">'Burden x Vehicle Matrix'!AL6</f>
        <v>n/a</v>
      </c>
      <c r="G19" s="118" t="str">
        <f aca="false">IF(OR(ISTEXT(D19),ISTEXT(E19),ISTEXT(F19)),"n/a",D19*E19*F19)</f>
        <v>n/a</v>
      </c>
      <c r="H19" s="133" t="str">
        <f aca="false">IFERROR($B$14*D19,"-")</f>
        <v>-</v>
      </c>
      <c r="I19" s="133" t="str">
        <f aca="false">IFERROR($B$14*D19*E19,"-")</f>
        <v>-</v>
      </c>
      <c r="J19" s="133" t="str">
        <f aca="false">IFERROR($B$14*D19*E19*F19,"-")</f>
        <v>-</v>
      </c>
      <c r="L19" s="118" t="str">
        <f aca="false">D19</f>
        <v>n/a</v>
      </c>
      <c r="M19" s="118" t="s">
        <v>38</v>
      </c>
      <c r="N19" s="118" t="s">
        <v>38</v>
      </c>
      <c r="O19" s="118" t="s">
        <v>38</v>
      </c>
      <c r="P19" s="133" t="str">
        <f aca="false">IFERROR($B$14*L19,"-")</f>
        <v>-</v>
      </c>
      <c r="Q19" s="133" t="str">
        <f aca="false">IFERROR($B$14*L19*M19,"-")</f>
        <v>-</v>
      </c>
      <c r="R19" s="133" t="str">
        <f aca="false">IFERROR($B$14*L19*M19*N19,"-")</f>
        <v>-</v>
      </c>
      <c r="T19" s="118" t="s">
        <v>38</v>
      </c>
      <c r="U19" s="118" t="s">
        <v>38</v>
      </c>
      <c r="V19" s="118" t="s">
        <v>38</v>
      </c>
      <c r="W19" s="118" t="s">
        <v>38</v>
      </c>
      <c r="X19" s="133" t="str">
        <f aca="false">IFERROR($B$14*T19,"-")</f>
        <v>-</v>
      </c>
      <c r="Y19" s="133" t="str">
        <f aca="false">IFERROR($B$14*T19*U19,"-")</f>
        <v>-</v>
      </c>
      <c r="Z19" s="133" t="str">
        <f aca="false">IFERROR($B$14*T19*U19*V19,"-")</f>
        <v>-</v>
      </c>
    </row>
    <row r="20" s="3" customFormat="true" ht="10.5" hidden="false" customHeight="true" outlineLevel="0" collapsed="false">
      <c r="A20" s="111" t="s">
        <v>39</v>
      </c>
      <c r="B20" s="129" t="n">
        <v>1476600000</v>
      </c>
      <c r="C20" s="57" t="s">
        <v>6</v>
      </c>
      <c r="D20" s="112" t="n">
        <f aca="false">'Burden x Vehicle Matrix'!P7</f>
        <v>0.927</v>
      </c>
      <c r="E20" s="112" t="n">
        <f aca="false">'Burden x Vehicle Matrix'!O7</f>
        <v>0.15</v>
      </c>
      <c r="F20" s="112" t="n">
        <f aca="false">'Burden x Vehicle Matrix'!R7</f>
        <v>0.05</v>
      </c>
      <c r="G20" s="112" t="n">
        <f aca="false">IF(OR(ISTEXT(D20),ISTEXT(E20),ISTEXT(F20)),"n/a",D20*E20*F20)</f>
        <v>0.0069525</v>
      </c>
      <c r="H20" s="130" t="n">
        <f aca="false">IFERROR($B$20*D20,"-")</f>
        <v>1368808200</v>
      </c>
      <c r="I20" s="130" t="n">
        <f aca="false">IFERROR($B$20*D20*E20,"-")</f>
        <v>205321230</v>
      </c>
      <c r="J20" s="130" t="n">
        <f aca="false">IFERROR($B$20*D20*E20*F20,"-")</f>
        <v>10266061.5</v>
      </c>
      <c r="L20" s="112" t="n">
        <f aca="false">'Coverage Over Time'!G20</f>
        <v>0.927</v>
      </c>
      <c r="M20" s="112" t="n">
        <f aca="false">'Coverage Over Time'!H20</f>
        <v>0.15</v>
      </c>
      <c r="N20" s="112" t="n">
        <f aca="false">'Coverage Over Time'!I20</f>
        <v>0.5</v>
      </c>
      <c r="O20" s="112" t="n">
        <f aca="false">'Coverage Over Time'!J20</f>
        <v>0.069525</v>
      </c>
      <c r="P20" s="130" t="n">
        <f aca="false">IFERROR($B$20*L20,"-")</f>
        <v>1368808200</v>
      </c>
      <c r="Q20" s="130" t="n">
        <f aca="false">IFERROR($B$20*L20*M20,"-")</f>
        <v>205321230</v>
      </c>
      <c r="R20" s="130" t="n">
        <f aca="false">IFERROR($B$20*L20*M20*N20,"-")</f>
        <v>102660615</v>
      </c>
      <c r="T20" s="112" t="n">
        <f aca="false">'Coverage Over Time'!K20</f>
        <v>0.927</v>
      </c>
      <c r="U20" s="112" t="n">
        <f aca="false">'Coverage Over Time'!L20</f>
        <v>0.15</v>
      </c>
      <c r="V20" s="112" t="n">
        <f aca="false">'Coverage Over Time'!M20</f>
        <v>0.85</v>
      </c>
      <c r="W20" s="112" t="n">
        <f aca="false">'Coverage Over Time'!N20</f>
        <v>0.1181925</v>
      </c>
      <c r="X20" s="130" t="n">
        <f aca="false">IFERROR($B$20*T20,"-")</f>
        <v>1368808200</v>
      </c>
      <c r="Y20" s="130" t="n">
        <f aca="false">IFERROR($B$20*T20*U20,"-")</f>
        <v>205321230</v>
      </c>
      <c r="Z20" s="130" t="n">
        <f aca="false">IFERROR($B$20*T20*U20*V20,"-")</f>
        <v>174523045.5</v>
      </c>
    </row>
    <row r="21" s="3" customFormat="true" ht="9.75" hidden="false" customHeight="true" outlineLevel="0" collapsed="false">
      <c r="A21" s="57" t="s">
        <v>39</v>
      </c>
      <c r="B21" s="57"/>
      <c r="C21" s="57" t="s">
        <v>7</v>
      </c>
      <c r="D21" s="112" t="n">
        <f aca="false">'Burden x Vehicle Matrix'!T7</f>
        <v>0.999</v>
      </c>
      <c r="E21" s="112" t="n">
        <f aca="false">'Burden x Vehicle Matrix'!S7</f>
        <v>0.74</v>
      </c>
      <c r="F21" s="112" t="n">
        <f aca="false">'Burden x Vehicle Matrix'!V7</f>
        <v>0.5</v>
      </c>
      <c r="G21" s="112" t="n">
        <f aca="false">IF(OR(ISTEXT(D21),ISTEXT(E21),ISTEXT(F21)),"n/a",D21*E21*F21)</f>
        <v>0.36963</v>
      </c>
      <c r="H21" s="130" t="n">
        <f aca="false">IFERROR($B$20*D21,"-")</f>
        <v>1475123400</v>
      </c>
      <c r="I21" s="130" t="n">
        <f aca="false">IFERROR($B$20*D21*E21,"-")</f>
        <v>1091591316</v>
      </c>
      <c r="J21" s="130" t="n">
        <f aca="false">IFERROR($B$20*D21*E21*F21,"-")</f>
        <v>545795658</v>
      </c>
      <c r="L21" s="112" t="n">
        <f aca="false">'Coverage Over Time'!G21</f>
        <v>0.999</v>
      </c>
      <c r="M21" s="112" t="n">
        <f aca="false">'Coverage Over Time'!H21</f>
        <v>0.625</v>
      </c>
      <c r="N21" s="131" t="n">
        <f aca="false">'Coverage Over Time'!I21</f>
        <v>0.75</v>
      </c>
      <c r="O21" s="131" t="n">
        <f aca="false">'Coverage Over Time'!J21</f>
        <v>0.46828125</v>
      </c>
      <c r="P21" s="130" t="n">
        <f aca="false">IFERROR($B$20*L21,"-")</f>
        <v>1475123400</v>
      </c>
      <c r="Q21" s="130" t="n">
        <f aca="false">IFERROR($B$20*L21*M21,"-")</f>
        <v>921952125</v>
      </c>
      <c r="R21" s="132" t="n">
        <f aca="false">IFERROR($B$20*L21*M21*N21,"-")</f>
        <v>691464093.75</v>
      </c>
      <c r="T21" s="112" t="n">
        <f aca="false">'Coverage Over Time'!K21</f>
        <v>0.999</v>
      </c>
      <c r="U21" s="112" t="n">
        <f aca="false">'Coverage Over Time'!L21</f>
        <v>0.625</v>
      </c>
      <c r="V21" s="112" t="n">
        <f aca="false">'Coverage Over Time'!M21</f>
        <v>0.85</v>
      </c>
      <c r="W21" s="112" t="n">
        <f aca="false">'Coverage Over Time'!N21</f>
        <v>0.53071875</v>
      </c>
      <c r="X21" s="130" t="n">
        <f aca="false">IFERROR($B$20*T21,"-")</f>
        <v>1475123400</v>
      </c>
      <c r="Y21" s="130" t="n">
        <f aca="false">IFERROR($B$20*T21*U21,"-")</f>
        <v>921952125</v>
      </c>
      <c r="Z21" s="130" t="n">
        <f aca="false">IFERROR($B$20*T21*U21*V21,"-")</f>
        <v>783659306.25</v>
      </c>
    </row>
    <row r="22" s="3" customFormat="true" ht="9.75" hidden="false" customHeight="true" outlineLevel="0" collapsed="false">
      <c r="A22" s="57" t="s">
        <v>39</v>
      </c>
      <c r="B22" s="57"/>
      <c r="C22" s="57" t="s">
        <v>8</v>
      </c>
      <c r="D22" s="112" t="n">
        <f aca="false">'Burden x Vehicle Matrix'!X7</f>
        <v>0.988</v>
      </c>
      <c r="E22" s="112" t="n">
        <f aca="false">'Burden x Vehicle Matrix'!W7</f>
        <v>0.5</v>
      </c>
      <c r="F22" s="112" t="n">
        <f aca="false">'Burden x Vehicle Matrix'!Z7</f>
        <v>0.5</v>
      </c>
      <c r="G22" s="112" t="n">
        <f aca="false">IF(OR(ISTEXT(D22),ISTEXT(E22),ISTEXT(F22)),"n/a",D22*E22*F22)</f>
        <v>0.247</v>
      </c>
      <c r="H22" s="130" t="n">
        <f aca="false">IFERROR($B$20*D22,"-")</f>
        <v>1458880800</v>
      </c>
      <c r="I22" s="130" t="n">
        <f aca="false">IFERROR($B$20*D22*E22,"-")</f>
        <v>729440400</v>
      </c>
      <c r="J22" s="130" t="n">
        <f aca="false">IFERROR($B$20*D22*E22*F22,"-")</f>
        <v>364720200</v>
      </c>
      <c r="L22" s="112" t="n">
        <f aca="false">'Coverage Over Time'!G22</f>
        <v>0.988</v>
      </c>
      <c r="M22" s="131" t="n">
        <f aca="false">'Coverage Over Time'!H22</f>
        <v>0.480645</v>
      </c>
      <c r="N22" s="112" t="n">
        <f aca="false">'Coverage Over Time'!I22</f>
        <v>0.75</v>
      </c>
      <c r="O22" s="131" t="n">
        <f aca="false">'Coverage Over Time'!J22</f>
        <v>0.356157945</v>
      </c>
      <c r="P22" s="130" t="n">
        <f aca="false">IFERROR($B$20*L22,"-")</f>
        <v>1458880800</v>
      </c>
      <c r="Q22" s="132" t="n">
        <f aca="false">IFERROR($B$20*L22*M22,"-")</f>
        <v>701203762.116</v>
      </c>
      <c r="R22" s="132" t="n">
        <f aca="false">IFERROR($B$20*L22*M22*N22,"-")</f>
        <v>525902821.587</v>
      </c>
      <c r="T22" s="112" t="n">
        <f aca="false">'Coverage Over Time'!K22</f>
        <v>0.988</v>
      </c>
      <c r="U22" s="131" t="n">
        <f aca="false">'Coverage Over Time'!L22</f>
        <v>0.528711</v>
      </c>
      <c r="V22" s="112" t="n">
        <f aca="false">'Coverage Over Time'!M22</f>
        <v>0.85</v>
      </c>
      <c r="W22" s="131" t="n">
        <f aca="false">'Coverage Over Time'!N22</f>
        <v>0.4440114978</v>
      </c>
      <c r="X22" s="130" t="n">
        <f aca="false">IFERROR($B$20*T22,"-")</f>
        <v>1458880800</v>
      </c>
      <c r="Y22" s="132" t="n">
        <f aca="false">IFERROR($B$20*T22*U22,"-")</f>
        <v>771326326.6488</v>
      </c>
      <c r="Z22" s="132" t="n">
        <f aca="false">IFERROR($B$20*T22*U22*V22,"-")</f>
        <v>655627377.65148</v>
      </c>
    </row>
    <row r="23" s="3" customFormat="true" ht="9.75" hidden="false" customHeight="true" outlineLevel="0" collapsed="false">
      <c r="A23" s="57" t="s">
        <v>39</v>
      </c>
      <c r="B23" s="57"/>
      <c r="C23" s="57" t="s">
        <v>9</v>
      </c>
      <c r="D23" s="118" t="str">
        <f aca="false">'Burden x Vehicle Matrix'!AB7</f>
        <v>n/a</v>
      </c>
      <c r="E23" s="118" t="str">
        <f aca="false">'Burden x Vehicle Matrix'!AA7</f>
        <v>n/a</v>
      </c>
      <c r="F23" s="118" t="str">
        <f aca="false">'Burden x Vehicle Matrix'!AD7</f>
        <v>n/a</v>
      </c>
      <c r="G23" s="118" t="str">
        <f aca="false">IF(OR(ISTEXT(D23),ISTEXT(E23),ISTEXT(F23)),"n/a",D23*E23*F23)</f>
        <v>n/a</v>
      </c>
      <c r="H23" s="133" t="str">
        <f aca="false">IFERROR($B$20*D23,"-")</f>
        <v>-</v>
      </c>
      <c r="I23" s="133" t="str">
        <f aca="false">IFERROR($B$20*D23*E23,"-")</f>
        <v>-</v>
      </c>
      <c r="J23" s="133" t="str">
        <f aca="false">IFERROR($B$20*D23*E23*F23,"-")</f>
        <v>-</v>
      </c>
      <c r="L23" s="118" t="s">
        <v>38</v>
      </c>
      <c r="M23" s="118" t="s">
        <v>38</v>
      </c>
      <c r="N23" s="118" t="s">
        <v>38</v>
      </c>
      <c r="O23" s="118" t="s">
        <v>38</v>
      </c>
      <c r="P23" s="133" t="str">
        <f aca="false">IFERROR($B$20*L23,"-")</f>
        <v>-</v>
      </c>
      <c r="Q23" s="133" t="str">
        <f aca="false">IFERROR($B$20*L23*M23,"-")</f>
        <v>-</v>
      </c>
      <c r="R23" s="133" t="str">
        <f aca="false">IFERROR($B$20*L23*M23*N23,"-")</f>
        <v>-</v>
      </c>
      <c r="T23" s="118" t="s">
        <v>38</v>
      </c>
      <c r="U23" s="118" t="s">
        <v>38</v>
      </c>
      <c r="V23" s="118" t="s">
        <v>38</v>
      </c>
      <c r="W23" s="118" t="s">
        <v>38</v>
      </c>
      <c r="X23" s="133" t="str">
        <f aca="false">IFERROR($B$20*T23,"-")</f>
        <v>-</v>
      </c>
      <c r="Y23" s="133" t="str">
        <f aca="false">IFERROR($B$20*T23*U23,"-")</f>
        <v>-</v>
      </c>
      <c r="Z23" s="133" t="str">
        <f aca="false">IFERROR($B$20*T23*U23*V23,"-")</f>
        <v>-</v>
      </c>
    </row>
    <row r="24" s="3" customFormat="true" ht="9.75" hidden="false" customHeight="true" outlineLevel="0" collapsed="false">
      <c r="A24" s="57" t="s">
        <v>39</v>
      </c>
      <c r="B24" s="57"/>
      <c r="C24" s="57" t="s">
        <v>281</v>
      </c>
      <c r="D24" s="112" t="n">
        <f aca="false">'Burden x Vehicle Matrix'!AF7</f>
        <v>1</v>
      </c>
      <c r="E24" s="112" t="n">
        <f aca="false">'Burden x Vehicle Matrix'!AE7</f>
        <v>0.035</v>
      </c>
      <c r="F24" s="112" t="n">
        <f aca="false">'Burden x Vehicle Matrix'!AH7</f>
        <v>0.33</v>
      </c>
      <c r="G24" s="112" t="n">
        <f aca="false">IF(OR(ISTEXT(D24),ISTEXT(E24),ISTEXT(F24)),"n/a",D24*E24*F24)</f>
        <v>0.01155</v>
      </c>
      <c r="H24" s="130" t="n">
        <f aca="false">IFERROR($B$20*D24,"-")</f>
        <v>1476600000</v>
      </c>
      <c r="I24" s="134" t="n">
        <f aca="false">IFERROR($B$20*D24*E24,"-")</f>
        <v>51681000</v>
      </c>
      <c r="J24" s="130" t="n">
        <f aca="false">IFERROR($B$20*D24*E24*F24,"-")</f>
        <v>17054730</v>
      </c>
      <c r="L24" s="112" t="n">
        <f aca="false">'Coverage Over Time'!G24</f>
        <v>1</v>
      </c>
      <c r="M24" s="112" t="n">
        <f aca="false">'Coverage Over Time'!H24</f>
        <v>0.196397128538535</v>
      </c>
      <c r="N24" s="112" t="n">
        <f aca="false">'Coverage Over Time'!I24</f>
        <v>0.5</v>
      </c>
      <c r="O24" s="112" t="n">
        <f aca="false">'Coverage Over Time'!J24</f>
        <v>0.0981985642692675</v>
      </c>
      <c r="P24" s="130" t="n">
        <f aca="false">IFERROR($B$20*L24,"-")</f>
        <v>1476600000</v>
      </c>
      <c r="Q24" s="134" t="n">
        <f aca="false">IFERROR($B$20*L24*M24,"-")</f>
        <v>290000000.000001</v>
      </c>
      <c r="R24" s="130" t="n">
        <f aca="false">IFERROR($B$20*L24*M24*N24,"-")</f>
        <v>145000000</v>
      </c>
      <c r="T24" s="112" t="n">
        <f aca="false">'Coverage Over Time'!K24</f>
        <v>1</v>
      </c>
      <c r="U24" s="112" t="n">
        <f aca="false">'Coverage Over Time'!L24</f>
        <v>0.331843424082351</v>
      </c>
      <c r="V24" s="112" t="n">
        <f aca="false">'Coverage Over Time'!M24</f>
        <v>0.85</v>
      </c>
      <c r="W24" s="112" t="n">
        <f aca="false">'Coverage Over Time'!N24</f>
        <v>0.282066910469998</v>
      </c>
      <c r="X24" s="130" t="n">
        <f aca="false">IFERROR($B$20*T24,"-")</f>
        <v>1476600000</v>
      </c>
      <c r="Y24" s="134" t="n">
        <f aca="false">IFERROR($B$20*T24*U24,"-")</f>
        <v>490000000</v>
      </c>
      <c r="Z24" s="130" t="n">
        <f aca="false">IFERROR($B$20*T24*U24*V24,"-")</f>
        <v>416500000</v>
      </c>
    </row>
    <row r="25" s="3" customFormat="true" ht="9.75" hidden="false" customHeight="true" outlineLevel="0" collapsed="false">
      <c r="A25" s="57" t="s">
        <v>39</v>
      </c>
      <c r="B25" s="57"/>
      <c r="C25" s="57" t="s">
        <v>11</v>
      </c>
      <c r="D25" s="118" t="str">
        <f aca="false">'Burden x Vehicle Matrix'!AJ7</f>
        <v>n/a</v>
      </c>
      <c r="E25" s="118" t="str">
        <f aca="false">'Burden x Vehicle Matrix'!AI7</f>
        <v>n/a</v>
      </c>
      <c r="F25" s="118" t="str">
        <f aca="false">'Burden x Vehicle Matrix'!AL7</f>
        <v>n/a</v>
      </c>
      <c r="G25" s="118" t="str">
        <f aca="false">IF(OR(ISTEXT(D25),ISTEXT(E25),ISTEXT(F25)),"n/a",D25*E25*F25)</f>
        <v>n/a</v>
      </c>
      <c r="H25" s="133" t="str">
        <f aca="false">IFERROR($B$20*D25,"-")</f>
        <v>-</v>
      </c>
      <c r="I25" s="133" t="str">
        <f aca="false">IFERROR($B$20*D25*E25,"-")</f>
        <v>-</v>
      </c>
      <c r="J25" s="133" t="str">
        <f aca="false">IFERROR($B$20*D25*E25*F25,"-")</f>
        <v>-</v>
      </c>
      <c r="L25" s="118" t="str">
        <f aca="false">D25</f>
        <v>n/a</v>
      </c>
      <c r="M25" s="118" t="str">
        <f aca="false">E25</f>
        <v>n/a</v>
      </c>
      <c r="N25" s="118" t="str">
        <f aca="false">F25</f>
        <v>n/a</v>
      </c>
      <c r="O25" s="118" t="str">
        <f aca="false">G25</f>
        <v>n/a</v>
      </c>
      <c r="P25" s="133" t="str">
        <f aca="false">IFERROR($B$20*L25,"-")</f>
        <v>-</v>
      </c>
      <c r="Q25" s="133" t="str">
        <f aca="false">IFERROR($B$20*L25*M25,"-")</f>
        <v>-</v>
      </c>
      <c r="R25" s="133" t="str">
        <f aca="false">IFERROR($B$20*L25*M25*N25,"-")</f>
        <v>-</v>
      </c>
      <c r="T25" s="118" t="str">
        <f aca="false">L25</f>
        <v>n/a</v>
      </c>
      <c r="U25" s="118" t="str">
        <f aca="false">M25</f>
        <v>n/a</v>
      </c>
      <c r="V25" s="118" t="str">
        <f aca="false">N25</f>
        <v>n/a</v>
      </c>
      <c r="W25" s="118" t="str">
        <f aca="false">O25</f>
        <v>n/a</v>
      </c>
      <c r="X25" s="133" t="str">
        <f aca="false">IFERROR($B$20*T25,"-")</f>
        <v>-</v>
      </c>
      <c r="Y25" s="133" t="str">
        <f aca="false">IFERROR($B$20*T25*U25,"-")</f>
        <v>-</v>
      </c>
      <c r="Z25" s="133" t="str">
        <f aca="false">IFERROR($B$20*T25*U25*V25,"-")</f>
        <v>-</v>
      </c>
    </row>
    <row r="26" s="3" customFormat="true" ht="10.5" hidden="false" customHeight="true" outlineLevel="0" collapsed="false">
      <c r="A26" s="111" t="s">
        <v>45</v>
      </c>
      <c r="B26" s="99" t="n">
        <v>58636412</v>
      </c>
      <c r="C26" s="57" t="s">
        <v>6</v>
      </c>
      <c r="D26" s="118" t="n">
        <f aca="false">'Burden x Vehicle Matrix'!P8</f>
        <v>0.47</v>
      </c>
      <c r="E26" s="118" t="n">
        <f aca="false">'Burden x Vehicle Matrix'!O8</f>
        <v>0.95</v>
      </c>
      <c r="F26" s="118" t="n">
        <f aca="false">'Burden x Vehicle Matrix'!R8</f>
        <v>0.6</v>
      </c>
      <c r="G26" s="118" t="n">
        <f aca="false">IF(OR(ISTEXT(D26),ISTEXT(E26),ISTEXT(F26)),"n/a",D26*E26*F26)</f>
        <v>0.2679</v>
      </c>
      <c r="H26" s="133" t="n">
        <f aca="false">IFERROR($B$26*D26,"-")</f>
        <v>27559113.64</v>
      </c>
      <c r="I26" s="133" t="n">
        <f aca="false">IFERROR($B$26*D26*E26,"-")</f>
        <v>26181157.958</v>
      </c>
      <c r="J26" s="133" t="n">
        <f aca="false">IFERROR($B$26*D26*E26*F26,"-")</f>
        <v>15708694.7748</v>
      </c>
      <c r="L26" s="118" t="n">
        <f aca="false">D26</f>
        <v>0.47</v>
      </c>
      <c r="M26" s="118" t="n">
        <f aca="false">E26</f>
        <v>0.95</v>
      </c>
      <c r="N26" s="118" t="n">
        <f aca="false">F26</f>
        <v>0.6</v>
      </c>
      <c r="O26" s="118" t="n">
        <f aca="false">G26</f>
        <v>0.2679</v>
      </c>
      <c r="P26" s="133" t="n">
        <f aca="false">IFERROR($B$26*L26,"-")</f>
        <v>27559113.64</v>
      </c>
      <c r="Q26" s="133" t="n">
        <f aca="false">IFERROR($B$26*L26*M26,"-")</f>
        <v>26181157.958</v>
      </c>
      <c r="R26" s="133" t="n">
        <f aca="false">IFERROR($B$26*L26*M26*N26,"-")</f>
        <v>15708694.7748</v>
      </c>
      <c r="T26" s="118" t="n">
        <f aca="false">L26</f>
        <v>0.47</v>
      </c>
      <c r="U26" s="118" t="n">
        <f aca="false">M26</f>
        <v>0.95</v>
      </c>
      <c r="V26" s="118" t="n">
        <f aca="false">N26</f>
        <v>0.6</v>
      </c>
      <c r="W26" s="118" t="n">
        <f aca="false">O26</f>
        <v>0.2679</v>
      </c>
      <c r="X26" s="133" t="n">
        <f aca="false">IFERROR($B$26*T26,"-")</f>
        <v>27559113.64</v>
      </c>
      <c r="Y26" s="133" t="n">
        <f aca="false">IFERROR($B$26*T26*U26,"-")</f>
        <v>26181157.958</v>
      </c>
      <c r="Z26" s="133" t="n">
        <f aca="false">IFERROR($B$26*T26*U26*V26,"-")</f>
        <v>15708694.7748</v>
      </c>
    </row>
    <row r="27" s="3" customFormat="true" ht="9.75" hidden="false" customHeight="true" outlineLevel="0" collapsed="false">
      <c r="A27" s="57" t="s">
        <v>45</v>
      </c>
      <c r="B27" s="57"/>
      <c r="C27" s="57" t="s">
        <v>7</v>
      </c>
      <c r="D27" s="118" t="n">
        <f aca="false">'Burden x Vehicle Matrix'!T8</f>
        <v>0.69</v>
      </c>
      <c r="E27" s="118" t="n">
        <f aca="false">'Burden x Vehicle Matrix'!S8</f>
        <v>0.95</v>
      </c>
      <c r="F27" s="118" t="n">
        <f aca="false">'Burden x Vehicle Matrix'!V8</f>
        <v>0.55</v>
      </c>
      <c r="G27" s="118" t="n">
        <f aca="false">IF(OR(ISTEXT(D27),ISTEXT(E27),ISTEXT(F27)),"n/a",D27*E27*F27)</f>
        <v>0.360525</v>
      </c>
      <c r="H27" s="133" t="n">
        <f aca="false">IFERROR($B$26*D27,"-")</f>
        <v>40459124.28</v>
      </c>
      <c r="I27" s="133" t="n">
        <f aca="false">IFERROR($B$26*D27*E27,"-")</f>
        <v>38436168.066</v>
      </c>
      <c r="J27" s="133" t="n">
        <f aca="false">IFERROR($B$26*D27*E27*F27,"-")</f>
        <v>21139892.4363</v>
      </c>
      <c r="L27" s="118" t="n">
        <f aca="false">D27</f>
        <v>0.69</v>
      </c>
      <c r="M27" s="118" t="n">
        <f aca="false">E27</f>
        <v>0.95</v>
      </c>
      <c r="N27" s="118" t="n">
        <f aca="false">F27</f>
        <v>0.55</v>
      </c>
      <c r="O27" s="118" t="n">
        <f aca="false">G27</f>
        <v>0.360525</v>
      </c>
      <c r="P27" s="133" t="n">
        <f aca="false">IFERROR($B$26*L27,"-")</f>
        <v>40459124.28</v>
      </c>
      <c r="Q27" s="133" t="n">
        <f aca="false">IFERROR($B$26*L27*M27,"-")</f>
        <v>38436168.066</v>
      </c>
      <c r="R27" s="133" t="n">
        <f aca="false">IFERROR($B$26*L27*M27*N27,"-")</f>
        <v>21139892.4363</v>
      </c>
      <c r="T27" s="118" t="n">
        <f aca="false">L27</f>
        <v>0.69</v>
      </c>
      <c r="U27" s="118" t="n">
        <f aca="false">M27</f>
        <v>0.95</v>
      </c>
      <c r="V27" s="118" t="n">
        <f aca="false">N27</f>
        <v>0.55</v>
      </c>
      <c r="W27" s="118" t="n">
        <f aca="false">O27</f>
        <v>0.360525</v>
      </c>
      <c r="X27" s="133" t="n">
        <f aca="false">IFERROR($B$26*T27,"-")</f>
        <v>40459124.28</v>
      </c>
      <c r="Y27" s="133" t="n">
        <f aca="false">IFERROR($B$26*T27*U27,"-")</f>
        <v>38436168.066</v>
      </c>
      <c r="Z27" s="133" t="n">
        <f aca="false">IFERROR($B$26*T27*U27*V27,"-")</f>
        <v>21139892.4363</v>
      </c>
    </row>
    <row r="28" s="3" customFormat="true" ht="9.75" hidden="false" customHeight="true" outlineLevel="0" collapsed="false">
      <c r="A28" s="57" t="s">
        <v>45</v>
      </c>
      <c r="B28" s="57"/>
      <c r="C28" s="57" t="s">
        <v>8</v>
      </c>
      <c r="D28" s="118" t="str">
        <f aca="false">'Burden x Vehicle Matrix'!X8</f>
        <v>n/a</v>
      </c>
      <c r="E28" s="118" t="n">
        <f aca="false">'Burden x Vehicle Matrix'!W8</f>
        <v>0.74</v>
      </c>
      <c r="F28" s="118" t="str">
        <f aca="false">'Burden x Vehicle Matrix'!Z8</f>
        <v>n/a</v>
      </c>
      <c r="G28" s="118" t="str">
        <f aca="false">IF(OR(ISTEXT(D28),ISTEXT(E28),ISTEXT(F28)),"n/a",D28*E28*F28)</f>
        <v>n/a</v>
      </c>
      <c r="H28" s="133" t="str">
        <f aca="false">IFERROR($B$26*D28,"-")</f>
        <v>-</v>
      </c>
      <c r="I28" s="133" t="str">
        <f aca="false">IFERROR($B$26*D28*E28,"-")</f>
        <v>-</v>
      </c>
      <c r="J28" s="133" t="str">
        <f aca="false">IFERROR($B$26*D28*E28*F28,"-")</f>
        <v>-</v>
      </c>
      <c r="L28" s="118" t="str">
        <f aca="false">D28</f>
        <v>n/a</v>
      </c>
      <c r="M28" s="118" t="n">
        <f aca="false">E28</f>
        <v>0.74</v>
      </c>
      <c r="N28" s="118" t="str">
        <f aca="false">F28</f>
        <v>n/a</v>
      </c>
      <c r="O28" s="118" t="str">
        <f aca="false">G28</f>
        <v>n/a</v>
      </c>
      <c r="P28" s="133" t="str">
        <f aca="false">IFERROR($B$26*L28,"-")</f>
        <v>-</v>
      </c>
      <c r="Q28" s="133" t="str">
        <f aca="false">IFERROR($B$26*L28*M28,"-")</f>
        <v>-</v>
      </c>
      <c r="R28" s="133" t="str">
        <f aca="false">IFERROR($B$26*L28*M28*N28,"-")</f>
        <v>-</v>
      </c>
      <c r="T28" s="118" t="str">
        <f aca="false">L28</f>
        <v>n/a</v>
      </c>
      <c r="U28" s="118" t="n">
        <f aca="false">M28</f>
        <v>0.74</v>
      </c>
      <c r="V28" s="118" t="str">
        <f aca="false">N28</f>
        <v>n/a</v>
      </c>
      <c r="W28" s="118" t="str">
        <f aca="false">O28</f>
        <v>n/a</v>
      </c>
      <c r="X28" s="133" t="str">
        <f aca="false">IFERROR($B$26*T28,"-")</f>
        <v>-</v>
      </c>
      <c r="Y28" s="133" t="str">
        <f aca="false">IFERROR($B$26*T28*U28,"-")</f>
        <v>-</v>
      </c>
      <c r="Z28" s="133" t="str">
        <f aca="false">IFERROR($B$26*T28*U28*V28,"-")</f>
        <v>-</v>
      </c>
    </row>
    <row r="29" s="3" customFormat="true" ht="9.75" hidden="false" customHeight="true" outlineLevel="0" collapsed="false">
      <c r="A29" s="57" t="s">
        <v>45</v>
      </c>
      <c r="B29" s="57"/>
      <c r="C29" s="57" t="s">
        <v>9</v>
      </c>
      <c r="D29" s="118" t="n">
        <f aca="false">'Burden x Vehicle Matrix'!AB8</f>
        <v>0.74</v>
      </c>
      <c r="E29" s="118" t="n">
        <f aca="false">'Burden x Vehicle Matrix'!AA8</f>
        <v>0.5</v>
      </c>
      <c r="F29" s="118" t="n">
        <f aca="false">'Burden x Vehicle Matrix'!AD8</f>
        <v>0.64</v>
      </c>
      <c r="G29" s="118" t="n">
        <f aca="false">IF(OR(ISTEXT(D29),ISTEXT(E29),ISTEXT(F29)),"n/a",D29*E29*F29)</f>
        <v>0.2368</v>
      </c>
      <c r="H29" s="133" t="n">
        <f aca="false">IFERROR($B$26*D29,"-")</f>
        <v>43390944.88</v>
      </c>
      <c r="I29" s="133" t="n">
        <f aca="false">IFERROR($B$26*D29*E29,"-")</f>
        <v>21695472.44</v>
      </c>
      <c r="J29" s="133" t="n">
        <f aca="false">IFERROR($B$26*D29*E29*F29,"-")</f>
        <v>13885102.3616</v>
      </c>
      <c r="L29" s="118" t="n">
        <f aca="false">D29</f>
        <v>0.74</v>
      </c>
      <c r="M29" s="118" t="n">
        <f aca="false">E29</f>
        <v>0.5</v>
      </c>
      <c r="N29" s="118" t="n">
        <f aca="false">F29</f>
        <v>0.64</v>
      </c>
      <c r="O29" s="118" t="n">
        <f aca="false">G29</f>
        <v>0.2368</v>
      </c>
      <c r="P29" s="133" t="n">
        <f aca="false">IFERROR($B$26*L29,"-")</f>
        <v>43390944.88</v>
      </c>
      <c r="Q29" s="133" t="n">
        <f aca="false">IFERROR($B$26*L29*M29,"-")</f>
        <v>21695472.44</v>
      </c>
      <c r="R29" s="133" t="n">
        <f aca="false">IFERROR($B$26*L29*M29*N29,"-")</f>
        <v>13885102.3616</v>
      </c>
      <c r="T29" s="118" t="n">
        <f aca="false">L29</f>
        <v>0.74</v>
      </c>
      <c r="U29" s="118" t="n">
        <f aca="false">M29</f>
        <v>0.5</v>
      </c>
      <c r="V29" s="118" t="n">
        <f aca="false">N29</f>
        <v>0.64</v>
      </c>
      <c r="W29" s="118" t="n">
        <f aca="false">O29</f>
        <v>0.2368</v>
      </c>
      <c r="X29" s="133" t="n">
        <f aca="false">IFERROR($B$26*T29,"-")</f>
        <v>43390944.88</v>
      </c>
      <c r="Y29" s="133" t="n">
        <f aca="false">IFERROR($B$26*T29*U29,"-")</f>
        <v>21695472.44</v>
      </c>
      <c r="Z29" s="133" t="n">
        <f aca="false">IFERROR($B$26*T29*U29*V29,"-")</f>
        <v>13885102.3616</v>
      </c>
    </row>
    <row r="30" s="3" customFormat="true" ht="9.75" hidden="false" customHeight="true" outlineLevel="0" collapsed="false">
      <c r="A30" s="57" t="s">
        <v>45</v>
      </c>
      <c r="B30" s="57"/>
      <c r="C30" s="57" t="s">
        <v>281</v>
      </c>
      <c r="D30" s="118" t="str">
        <f aca="false">'Burden x Vehicle Matrix'!AF8</f>
        <v>n/a</v>
      </c>
      <c r="E30" s="118" t="str">
        <f aca="false">'Burden x Vehicle Matrix'!AE8</f>
        <v>n/a</v>
      </c>
      <c r="F30" s="118" t="str">
        <f aca="false">'Burden x Vehicle Matrix'!AH8</f>
        <v>n/a</v>
      </c>
      <c r="G30" s="118" t="str">
        <f aca="false">IF(OR(ISTEXT(D30),ISTEXT(E30),ISTEXT(F30)),"n/a",D30*E30*F30)</f>
        <v>n/a</v>
      </c>
      <c r="H30" s="133" t="str">
        <f aca="false">IFERROR($B$26*D30,"-")</f>
        <v>-</v>
      </c>
      <c r="I30" s="133" t="str">
        <f aca="false">IFERROR($B$26*D30*E30,"-")</f>
        <v>-</v>
      </c>
      <c r="J30" s="133" t="str">
        <f aca="false">IFERROR($B$26*D30*E30*F30,"-")</f>
        <v>-</v>
      </c>
      <c r="L30" s="118" t="str">
        <f aca="false">D30</f>
        <v>n/a</v>
      </c>
      <c r="M30" s="118" t="str">
        <f aca="false">E30</f>
        <v>n/a</v>
      </c>
      <c r="N30" s="118" t="str">
        <f aca="false">F30</f>
        <v>n/a</v>
      </c>
      <c r="O30" s="118" t="str">
        <f aca="false">G30</f>
        <v>n/a</v>
      </c>
      <c r="P30" s="133" t="str">
        <f aca="false">IFERROR($B$26*L30,"-")</f>
        <v>-</v>
      </c>
      <c r="Q30" s="133" t="str">
        <f aca="false">IFERROR($B$26*L30*M30,"-")</f>
        <v>-</v>
      </c>
      <c r="R30" s="133" t="str">
        <f aca="false">IFERROR($B$26*L30*M30*N30,"-")</f>
        <v>-</v>
      </c>
      <c r="T30" s="118" t="str">
        <f aca="false">L30</f>
        <v>n/a</v>
      </c>
      <c r="U30" s="118" t="str">
        <f aca="false">M30</f>
        <v>n/a</v>
      </c>
      <c r="V30" s="118" t="str">
        <f aca="false">N30</f>
        <v>n/a</v>
      </c>
      <c r="W30" s="118" t="str">
        <f aca="false">O30</f>
        <v>n/a</v>
      </c>
      <c r="X30" s="133" t="str">
        <f aca="false">IFERROR($B$26*T30,"-")</f>
        <v>-</v>
      </c>
      <c r="Y30" s="133" t="str">
        <f aca="false">IFERROR($B$26*T30*U30,"-")</f>
        <v>-</v>
      </c>
      <c r="Z30" s="133" t="str">
        <f aca="false">IFERROR($B$26*T30*U30*V30,"-")</f>
        <v>-</v>
      </c>
    </row>
    <row r="31" s="3" customFormat="true" ht="9.75" hidden="false" customHeight="true" outlineLevel="0" collapsed="false">
      <c r="A31" s="57" t="s">
        <v>45</v>
      </c>
      <c r="B31" s="57"/>
      <c r="C31" s="57" t="s">
        <v>11</v>
      </c>
      <c r="D31" s="118" t="str">
        <f aca="false">'Burden x Vehicle Matrix'!AJ8</f>
        <v>n/a</v>
      </c>
      <c r="E31" s="118" t="str">
        <f aca="false">'Burden x Vehicle Matrix'!AI8</f>
        <v>n/a</v>
      </c>
      <c r="F31" s="118" t="str">
        <f aca="false">'Burden x Vehicle Matrix'!AL8</f>
        <v>n/a</v>
      </c>
      <c r="G31" s="118" t="str">
        <f aca="false">IF(OR(ISTEXT(D31),ISTEXT(E31),ISTEXT(F31)),"n/a",D31*E31*F31)</f>
        <v>n/a</v>
      </c>
      <c r="H31" s="133" t="str">
        <f aca="false">IFERROR($B$26*D31,"-")</f>
        <v>-</v>
      </c>
      <c r="I31" s="133" t="str">
        <f aca="false">IFERROR($B$26*D31*E31,"-")</f>
        <v>-</v>
      </c>
      <c r="J31" s="133" t="str">
        <f aca="false">IFERROR($B$26*D31*E31*F31,"-")</f>
        <v>-</v>
      </c>
      <c r="L31" s="118" t="str">
        <f aca="false">D31</f>
        <v>n/a</v>
      </c>
      <c r="M31" s="118" t="str">
        <f aca="false">E31</f>
        <v>n/a</v>
      </c>
      <c r="N31" s="118" t="str">
        <f aca="false">F31</f>
        <v>n/a</v>
      </c>
      <c r="O31" s="118" t="str">
        <f aca="false">G31</f>
        <v>n/a</v>
      </c>
      <c r="P31" s="133" t="str">
        <f aca="false">IFERROR($B$26*L31,"-")</f>
        <v>-</v>
      </c>
      <c r="Q31" s="133" t="str">
        <f aca="false">IFERROR($B$26*L31*M31,"-")</f>
        <v>-</v>
      </c>
      <c r="R31" s="133" t="str">
        <f aca="false">IFERROR($B$26*L31*M31*N31,"-")</f>
        <v>-</v>
      </c>
      <c r="T31" s="118" t="str">
        <f aca="false">L31</f>
        <v>n/a</v>
      </c>
      <c r="U31" s="118" t="str">
        <f aca="false">M31</f>
        <v>n/a</v>
      </c>
      <c r="V31" s="118" t="str">
        <f aca="false">N31</f>
        <v>n/a</v>
      </c>
      <c r="W31" s="118" t="str">
        <f aca="false">O31</f>
        <v>n/a</v>
      </c>
      <c r="X31" s="133" t="str">
        <f aca="false">IFERROR($B$26*T31,"-")</f>
        <v>-</v>
      </c>
      <c r="Y31" s="133" t="str">
        <f aca="false">IFERROR($B$26*T31*U31,"-")</f>
        <v>-</v>
      </c>
      <c r="Z31" s="133" t="str">
        <f aca="false">IFERROR($B$26*T31*U31*V31,"-")</f>
        <v>-</v>
      </c>
    </row>
    <row r="32" s="3" customFormat="true" ht="10.5" hidden="false" customHeight="true" outlineLevel="0" collapsed="false">
      <c r="A32" s="111" t="s">
        <v>58</v>
      </c>
      <c r="B32" s="99" t="n">
        <v>177818044</v>
      </c>
      <c r="C32" s="57" t="s">
        <v>6</v>
      </c>
      <c r="D32" s="118" t="n">
        <f aca="false">'Burden x Vehicle Matrix'!P11</f>
        <v>0.61</v>
      </c>
      <c r="E32" s="118" t="n">
        <f aca="false">'Burden x Vehicle Matrix'!O11</f>
        <v>0.49</v>
      </c>
      <c r="F32" s="118" t="n">
        <f aca="false">'Burden x Vehicle Matrix'!R11</f>
        <v>0.01</v>
      </c>
      <c r="G32" s="118" t="n">
        <f aca="false">IF(OR(ISTEXT(D32),ISTEXT(E32),ISTEXT(F32)),"n/a",D32*E32*F32)</f>
        <v>0.002989</v>
      </c>
      <c r="H32" s="133" t="n">
        <f aca="false">IFERROR($B$32*D32,"-")</f>
        <v>108469006.84</v>
      </c>
      <c r="I32" s="133" t="n">
        <f aca="false">IFERROR($B$32*D32*E32,"-")</f>
        <v>53149813.3516</v>
      </c>
      <c r="J32" s="133" t="n">
        <f aca="false">IFERROR($B$32*D32*E32*F32,"-")</f>
        <v>531498.133516</v>
      </c>
      <c r="L32" s="118" t="n">
        <f aca="false">D32</f>
        <v>0.61</v>
      </c>
      <c r="M32" s="118" t="n">
        <f aca="false">E32</f>
        <v>0.49</v>
      </c>
      <c r="N32" s="118" t="n">
        <f aca="false">F32</f>
        <v>0.01</v>
      </c>
      <c r="O32" s="118" t="n">
        <f aca="false">G32</f>
        <v>0.002989</v>
      </c>
      <c r="P32" s="133" t="n">
        <f aca="false">IFERROR($B$32*L32,"-")</f>
        <v>108469006.84</v>
      </c>
      <c r="Q32" s="133" t="n">
        <f aca="false">IFERROR($B$32*L32*M32,"-")</f>
        <v>53149813.3516</v>
      </c>
      <c r="R32" s="133" t="n">
        <f aca="false">IFERROR($B$32*L32*M32*N32,"-")</f>
        <v>531498.133516</v>
      </c>
      <c r="T32" s="118" t="n">
        <f aca="false">L32</f>
        <v>0.61</v>
      </c>
      <c r="U32" s="118" t="n">
        <f aca="false">M32</f>
        <v>0.49</v>
      </c>
      <c r="V32" s="118" t="n">
        <f aca="false">N32</f>
        <v>0.01</v>
      </c>
      <c r="W32" s="118" t="n">
        <f aca="false">O32</f>
        <v>0.002989</v>
      </c>
      <c r="X32" s="133" t="n">
        <f aca="false">IFERROR($B$32*T32,"-")</f>
        <v>108469006.84</v>
      </c>
      <c r="Y32" s="133" t="n">
        <f aca="false">IFERROR($B$32*T32*U32,"-")</f>
        <v>53149813.3516</v>
      </c>
      <c r="Z32" s="133" t="n">
        <f aca="false">IFERROR($B$32*T32*U32*V32,"-")</f>
        <v>531498.133516</v>
      </c>
    </row>
    <row r="33" s="3" customFormat="true" ht="9.75" hidden="false" customHeight="true" outlineLevel="0" collapsed="false">
      <c r="A33" s="57" t="s">
        <v>58</v>
      </c>
      <c r="B33" s="57"/>
      <c r="C33" s="57" t="s">
        <v>7</v>
      </c>
      <c r="D33" s="118" t="n">
        <f aca="false">'Burden x Vehicle Matrix'!T11</f>
        <v>1</v>
      </c>
      <c r="E33" s="118" t="n">
        <f aca="false">'Burden x Vehicle Matrix'!S11</f>
        <v>0.34</v>
      </c>
      <c r="F33" s="118" t="n">
        <f aca="false">'Burden x Vehicle Matrix'!V11</f>
        <v>0.98</v>
      </c>
      <c r="G33" s="118" t="n">
        <f aca="false">IF(OR(ISTEXT(D33),ISTEXT(E33),ISTEXT(F33)),"n/a",D33*E33*F33)</f>
        <v>0.3332</v>
      </c>
      <c r="H33" s="133" t="n">
        <f aca="false">IFERROR($B$32*D33,"-")</f>
        <v>177818044</v>
      </c>
      <c r="I33" s="133" t="n">
        <f aca="false">IFERROR($B$32*D33*E33,"-")</f>
        <v>60458134.96</v>
      </c>
      <c r="J33" s="133" t="n">
        <f aca="false">IFERROR($B$32*D33*E33*F33,"-")</f>
        <v>59248972.2608</v>
      </c>
      <c r="L33" s="118" t="n">
        <f aca="false">D33</f>
        <v>1</v>
      </c>
      <c r="M33" s="118" t="n">
        <f aca="false">E33</f>
        <v>0.34</v>
      </c>
      <c r="N33" s="118" t="n">
        <f aca="false">F33</f>
        <v>0.98</v>
      </c>
      <c r="O33" s="118" t="n">
        <f aca="false">G33</f>
        <v>0.3332</v>
      </c>
      <c r="P33" s="133" t="n">
        <f aca="false">IFERROR($B$32*L33,"-")</f>
        <v>177818044</v>
      </c>
      <c r="Q33" s="133" t="n">
        <f aca="false">IFERROR($B$32*L33*M33,"-")</f>
        <v>60458134.96</v>
      </c>
      <c r="R33" s="133" t="n">
        <f aca="false">IFERROR($B$32*L33*M33*N33,"-")</f>
        <v>59248972.2608</v>
      </c>
      <c r="T33" s="118" t="n">
        <f aca="false">L33</f>
        <v>1</v>
      </c>
      <c r="U33" s="118" t="n">
        <f aca="false">M33</f>
        <v>0.34</v>
      </c>
      <c r="V33" s="118" t="n">
        <f aca="false">N33</f>
        <v>0.98</v>
      </c>
      <c r="W33" s="118" t="n">
        <f aca="false">O33</f>
        <v>0.3332</v>
      </c>
      <c r="X33" s="133" t="n">
        <f aca="false">IFERROR($B$32*T33,"-")</f>
        <v>177818044</v>
      </c>
      <c r="Y33" s="133" t="n">
        <f aca="false">IFERROR($B$32*T33*U33,"-")</f>
        <v>60458134.96</v>
      </c>
      <c r="Z33" s="133" t="n">
        <f aca="false">IFERROR($B$32*T33*U33*V33,"-")</f>
        <v>59248972.2608</v>
      </c>
    </row>
    <row r="34" s="3" customFormat="true" ht="9.75" hidden="false" customHeight="true" outlineLevel="0" collapsed="false">
      <c r="A34" s="57" t="s">
        <v>58</v>
      </c>
      <c r="B34" s="57"/>
      <c r="C34" s="57" t="s">
        <v>8</v>
      </c>
      <c r="D34" s="118" t="n">
        <f aca="false">'Burden x Vehicle Matrix'!X11</f>
        <v>1</v>
      </c>
      <c r="E34" s="118" t="str">
        <f aca="false">'Burden x Vehicle Matrix'!W11</f>
        <v>n/a</v>
      </c>
      <c r="F34" s="118" t="n">
        <f aca="false">'Burden x Vehicle Matrix'!Z11</f>
        <v>0.03</v>
      </c>
      <c r="G34" s="118" t="str">
        <f aca="false">IF(OR(ISTEXT(D34),ISTEXT(E34),ISTEXT(F34)),"n/a",D34*E34*F34)</f>
        <v>n/a</v>
      </c>
      <c r="H34" s="133" t="n">
        <f aca="false">IFERROR($B$32*D34,"-")</f>
        <v>177818044</v>
      </c>
      <c r="I34" s="133" t="str">
        <f aca="false">IFERROR($B$32*D34*E34,"-")</f>
        <v>-</v>
      </c>
      <c r="J34" s="133" t="str">
        <f aca="false">IFERROR($B$32*D34*E34*F34,"-")</f>
        <v>-</v>
      </c>
      <c r="L34" s="118" t="n">
        <f aca="false">D34</f>
        <v>1</v>
      </c>
      <c r="M34" s="118" t="str">
        <f aca="false">E34</f>
        <v>n/a</v>
      </c>
      <c r="N34" s="118" t="n">
        <f aca="false">F34</f>
        <v>0.03</v>
      </c>
      <c r="O34" s="118" t="str">
        <f aca="false">G34</f>
        <v>n/a</v>
      </c>
      <c r="P34" s="133" t="n">
        <f aca="false">IFERROR($B$32*L34,"-")</f>
        <v>177818044</v>
      </c>
      <c r="Q34" s="133" t="str">
        <f aca="false">IFERROR($B$32*L34*M34,"-")</f>
        <v>-</v>
      </c>
      <c r="R34" s="133" t="str">
        <f aca="false">IFERROR($B$32*L34*M34*N34,"-")</f>
        <v>-</v>
      </c>
      <c r="T34" s="118" t="n">
        <f aca="false">L34</f>
        <v>1</v>
      </c>
      <c r="U34" s="118" t="str">
        <f aca="false">M34</f>
        <v>n/a</v>
      </c>
      <c r="V34" s="118" t="n">
        <f aca="false">N34</f>
        <v>0.03</v>
      </c>
      <c r="W34" s="118" t="str">
        <f aca="false">O34</f>
        <v>n/a</v>
      </c>
      <c r="X34" s="133" t="n">
        <f aca="false">IFERROR($B$32*T34,"-")</f>
        <v>177818044</v>
      </c>
      <c r="Y34" s="133" t="str">
        <f aca="false">IFERROR($B$32*T34*U34,"-")</f>
        <v>-</v>
      </c>
      <c r="Z34" s="133" t="str">
        <f aca="false">IFERROR($B$32*T34*U34*V34,"-")</f>
        <v>-</v>
      </c>
    </row>
    <row r="35" s="3" customFormat="true" ht="9.75" hidden="false" customHeight="true" outlineLevel="0" collapsed="false">
      <c r="A35" s="57" t="s">
        <v>58</v>
      </c>
      <c r="B35" s="57"/>
      <c r="C35" s="57" t="s">
        <v>9</v>
      </c>
      <c r="D35" s="118" t="str">
        <f aca="false">'Burden x Vehicle Matrix'!AB11</f>
        <v>n/a</v>
      </c>
      <c r="E35" s="118" t="n">
        <f aca="false">'Burden x Vehicle Matrix'!AA11</f>
        <v>0</v>
      </c>
      <c r="F35" s="118" t="str">
        <f aca="false">'Burden x Vehicle Matrix'!AD11</f>
        <v>n/a</v>
      </c>
      <c r="G35" s="118" t="str">
        <f aca="false">IF(OR(ISTEXT(D35),ISTEXT(E35),ISTEXT(F35)),"n/a",D35*E35*F35)</f>
        <v>n/a</v>
      </c>
      <c r="H35" s="133" t="str">
        <f aca="false">IFERROR($B$32*D35,"-")</f>
        <v>-</v>
      </c>
      <c r="I35" s="133" t="str">
        <f aca="false">IFERROR($B$32*D35*E35,"-")</f>
        <v>-</v>
      </c>
      <c r="J35" s="133" t="str">
        <f aca="false">IFERROR($B$32*D35*E35*F35,"-")</f>
        <v>-</v>
      </c>
      <c r="L35" s="118" t="str">
        <f aca="false">D35</f>
        <v>n/a</v>
      </c>
      <c r="M35" s="118" t="n">
        <f aca="false">E35</f>
        <v>0</v>
      </c>
      <c r="N35" s="118" t="str">
        <f aca="false">F35</f>
        <v>n/a</v>
      </c>
      <c r="O35" s="118" t="str">
        <f aca="false">G35</f>
        <v>n/a</v>
      </c>
      <c r="P35" s="133" t="str">
        <f aca="false">IFERROR($B$32*L35,"-")</f>
        <v>-</v>
      </c>
      <c r="Q35" s="133" t="str">
        <f aca="false">IFERROR($B$32*L35*M35,"-")</f>
        <v>-</v>
      </c>
      <c r="R35" s="133" t="str">
        <f aca="false">IFERROR($B$32*L35*M35*N35,"-")</f>
        <v>-</v>
      </c>
      <c r="T35" s="118" t="str">
        <f aca="false">L35</f>
        <v>n/a</v>
      </c>
      <c r="U35" s="118" t="n">
        <f aca="false">M35</f>
        <v>0</v>
      </c>
      <c r="V35" s="118" t="str">
        <f aca="false">N35</f>
        <v>n/a</v>
      </c>
      <c r="W35" s="118" t="str">
        <f aca="false">O35</f>
        <v>n/a</v>
      </c>
      <c r="X35" s="133" t="str">
        <f aca="false">IFERROR($B$32*T35,"-")</f>
        <v>-</v>
      </c>
      <c r="Y35" s="133" t="str">
        <f aca="false">IFERROR($B$32*T35*U35,"-")</f>
        <v>-</v>
      </c>
      <c r="Z35" s="133" t="str">
        <f aca="false">IFERROR($B$32*T35*U35*V35,"-")</f>
        <v>-</v>
      </c>
    </row>
    <row r="36" s="3" customFormat="true" ht="9.75" hidden="false" customHeight="true" outlineLevel="0" collapsed="false">
      <c r="A36" s="57" t="s">
        <v>58</v>
      </c>
      <c r="B36" s="57"/>
      <c r="C36" s="57" t="s">
        <v>281</v>
      </c>
      <c r="D36" s="118" t="n">
        <f aca="false">'Burden x Vehicle Matrix'!AF11</f>
        <v>1</v>
      </c>
      <c r="E36" s="118" t="str">
        <f aca="false">'Burden x Vehicle Matrix'!AE11</f>
        <v>n/a</v>
      </c>
      <c r="F36" s="118" t="str">
        <f aca="false">'Burden x Vehicle Matrix'!AH11</f>
        <v>n/a</v>
      </c>
      <c r="G36" s="118" t="str">
        <f aca="false">IF(OR(ISTEXT(D36),ISTEXT(E36),ISTEXT(F36)),"n/a",D36*E36*F36)</f>
        <v>n/a</v>
      </c>
      <c r="H36" s="133" t="n">
        <f aca="false">IFERROR($B$32*D36,"-")</f>
        <v>177818044</v>
      </c>
      <c r="I36" s="133" t="str">
        <f aca="false">IFERROR($B$32*D36*E36,"-")</f>
        <v>-</v>
      </c>
      <c r="J36" s="133" t="str">
        <f aca="false">IFERROR($B$32*D36*E36*F36,"-")</f>
        <v>-</v>
      </c>
      <c r="L36" s="131" t="n">
        <f aca="false">'Coverage Over Time'!G36</f>
        <v>0.98</v>
      </c>
      <c r="M36" s="131" t="n">
        <f aca="false">'Coverage Over Time'!H36</f>
        <v>1</v>
      </c>
      <c r="N36" s="118"/>
      <c r="O36" s="131" t="n">
        <f aca="false">'Coverage Over Time'!J36</f>
        <v>0.76</v>
      </c>
      <c r="P36" s="132" t="n">
        <f aca="false">IFERROR($B$32*L36,"-")</f>
        <v>174261683.12</v>
      </c>
      <c r="Q36" s="132" t="n">
        <f aca="false">IFERROR($B$32*L36*M36,"-")</f>
        <v>174261683.12</v>
      </c>
      <c r="R36" s="132" t="n">
        <f aca="false">IFERROR($B$32*O36,"-")</f>
        <v>135141713.44</v>
      </c>
      <c r="T36" s="131" t="n">
        <f aca="false">'Coverage Over Time'!K36</f>
        <v>0.98</v>
      </c>
      <c r="U36" s="131" t="n">
        <f aca="false">'Coverage Over Time'!L36</f>
        <v>1</v>
      </c>
      <c r="V36" s="118"/>
      <c r="W36" s="131" t="n">
        <f aca="false">'Coverage Over Time'!N36</f>
        <v>0.85</v>
      </c>
      <c r="X36" s="132" t="n">
        <f aca="false">IFERROR($B$32*T36,"-")</f>
        <v>174261683.12</v>
      </c>
      <c r="Y36" s="132" t="n">
        <f aca="false">IFERROR($B$32*T36*U36,"-")</f>
        <v>174261683.12</v>
      </c>
      <c r="Z36" s="132" t="n">
        <f aca="false">IFERROR($B$32*W36,"-")</f>
        <v>151145337.4</v>
      </c>
    </row>
    <row r="37" s="3" customFormat="true" ht="9.75" hidden="false" customHeight="true" outlineLevel="0" collapsed="false">
      <c r="A37" s="57" t="s">
        <v>58</v>
      </c>
      <c r="B37" s="57"/>
      <c r="C37" s="57" t="s">
        <v>11</v>
      </c>
      <c r="D37" s="118" t="str">
        <f aca="false">'Burden x Vehicle Matrix'!AJ11</f>
        <v>n/a</v>
      </c>
      <c r="E37" s="118" t="n">
        <f aca="false">'Burden x Vehicle Matrix'!AI11</f>
        <v>0</v>
      </c>
      <c r="F37" s="118" t="str">
        <f aca="false">'Burden x Vehicle Matrix'!AL11</f>
        <v>n/a</v>
      </c>
      <c r="G37" s="118" t="str">
        <f aca="false">IF(OR(ISTEXT(D37),ISTEXT(E37),ISTEXT(F37)),"n/a",D37*E37*F37)</f>
        <v>n/a</v>
      </c>
      <c r="H37" s="133" t="str">
        <f aca="false">IFERROR($B$32*D37,"-")</f>
        <v>-</v>
      </c>
      <c r="I37" s="133" t="str">
        <f aca="false">IFERROR($B$32*D37*E37,"-")</f>
        <v>-</v>
      </c>
      <c r="J37" s="133" t="str">
        <f aca="false">IFERROR($B$32*D37*E37*F37,"-")</f>
        <v>-</v>
      </c>
      <c r="L37" s="118" t="str">
        <f aca="false">D37</f>
        <v>n/a</v>
      </c>
      <c r="M37" s="118" t="n">
        <f aca="false">E37</f>
        <v>0</v>
      </c>
      <c r="N37" s="118" t="str">
        <f aca="false">F37</f>
        <v>n/a</v>
      </c>
      <c r="O37" s="118" t="str">
        <f aca="false">G37</f>
        <v>n/a</v>
      </c>
      <c r="P37" s="133" t="str">
        <f aca="false">IFERROR($B$32*L37,"-")</f>
        <v>-</v>
      </c>
      <c r="Q37" s="133" t="str">
        <f aca="false">IFERROR($B$32*L37*M37,"-")</f>
        <v>-</v>
      </c>
      <c r="R37" s="133" t="str">
        <f aca="false">IFERROR($B$32*L37*M37*N37,"-")</f>
        <v>-</v>
      </c>
      <c r="T37" s="118" t="str">
        <f aca="false">L37</f>
        <v>n/a</v>
      </c>
      <c r="U37" s="118" t="n">
        <f aca="false">M37</f>
        <v>0</v>
      </c>
      <c r="V37" s="118" t="str">
        <f aca="false">N37</f>
        <v>n/a</v>
      </c>
      <c r="W37" s="118" t="str">
        <f aca="false">O37</f>
        <v>n/a</v>
      </c>
      <c r="X37" s="133" t="str">
        <f aca="false">IFERROR($B$32*T37,"-")</f>
        <v>-</v>
      </c>
      <c r="Y37" s="133" t="str">
        <f aca="false">IFERROR($B$32*T37*U37,"-")</f>
        <v>-</v>
      </c>
      <c r="Z37" s="133" t="str">
        <f aca="false">IFERROR($B$32*T37*U37*V37,"-")</f>
        <v>-</v>
      </c>
    </row>
    <row r="38" s="3" customFormat="true" ht="10.5" hidden="false" customHeight="true" outlineLevel="0" collapsed="false">
      <c r="A38" s="111" t="s">
        <v>64</v>
      </c>
      <c r="B38" s="99" t="n">
        <v>287886782</v>
      </c>
      <c r="C38" s="57" t="s">
        <v>6</v>
      </c>
      <c r="D38" s="118" t="n">
        <f aca="false">'Burden x Vehicle Matrix'!P12</f>
        <v>0.61</v>
      </c>
      <c r="E38" s="118" t="n">
        <f aca="false">'Burden x Vehicle Matrix'!O12</f>
        <v>1</v>
      </c>
      <c r="F38" s="118" t="n">
        <f aca="false">'Burden x Vehicle Matrix'!R12</f>
        <v>0.9</v>
      </c>
      <c r="G38" s="118" t="n">
        <f aca="false">IF(OR(ISTEXT(D38),ISTEXT(E38),ISTEXT(F38)),"n/a",D38*E38*F38)</f>
        <v>0.549</v>
      </c>
      <c r="H38" s="133" t="n">
        <f aca="false">IFERROR($B$38*D38,"-")</f>
        <v>175610937.02</v>
      </c>
      <c r="I38" s="133" t="n">
        <f aca="false">IFERROR($B$38*D38*E38,"-")</f>
        <v>175610937.02</v>
      </c>
      <c r="J38" s="133" t="n">
        <f aca="false">IFERROR($B$38*D38*E38*F38,"-")</f>
        <v>158049843.318</v>
      </c>
      <c r="L38" s="118" t="n">
        <f aca="false">D38</f>
        <v>0.61</v>
      </c>
      <c r="M38" s="118" t="n">
        <f aca="false">E38</f>
        <v>1</v>
      </c>
      <c r="N38" s="118" t="n">
        <f aca="false">F38</f>
        <v>0.9</v>
      </c>
      <c r="O38" s="118" t="n">
        <f aca="false">G38</f>
        <v>0.549</v>
      </c>
      <c r="P38" s="133" t="n">
        <f aca="false">IFERROR($B$38*L38,"-")</f>
        <v>175610937.02</v>
      </c>
      <c r="Q38" s="133" t="n">
        <f aca="false">IFERROR($B$38*L38*M38,"-")</f>
        <v>175610937.02</v>
      </c>
      <c r="R38" s="133" t="n">
        <f aca="false">IFERROR($B$38*L38*M38*N38,"-")</f>
        <v>158049843.318</v>
      </c>
      <c r="T38" s="118" t="n">
        <f aca="false">L38</f>
        <v>0.61</v>
      </c>
      <c r="U38" s="118" t="n">
        <f aca="false">M38</f>
        <v>1</v>
      </c>
      <c r="V38" s="118" t="n">
        <f aca="false">N38</f>
        <v>0.9</v>
      </c>
      <c r="W38" s="118" t="n">
        <f aca="false">O38</f>
        <v>0.549</v>
      </c>
      <c r="X38" s="133" t="n">
        <f aca="false">IFERROR($B$38*T38,"-")</f>
        <v>175610937.02</v>
      </c>
      <c r="Y38" s="133" t="n">
        <f aca="false">IFERROR($B$38*T38*U38,"-")</f>
        <v>175610937.02</v>
      </c>
      <c r="Z38" s="133" t="n">
        <f aca="false">IFERROR($B$38*T38*U38*V38,"-")</f>
        <v>158049843.318</v>
      </c>
    </row>
    <row r="39" s="3" customFormat="true" ht="9.75" hidden="false" customHeight="true" outlineLevel="0" collapsed="false">
      <c r="A39" s="57" t="s">
        <v>64</v>
      </c>
      <c r="B39" s="57"/>
      <c r="C39" s="57" t="s">
        <v>7</v>
      </c>
      <c r="D39" s="118" t="n">
        <f aca="false">'Burden x Vehicle Matrix'!T12</f>
        <v>0.99</v>
      </c>
      <c r="E39" s="118" t="n">
        <f aca="false">'Burden x Vehicle Matrix'!S12</f>
        <v>0.57</v>
      </c>
      <c r="F39" s="118" t="n">
        <f aca="false">'Burden x Vehicle Matrix'!V12</f>
        <v>0.85</v>
      </c>
      <c r="G39" s="118" t="n">
        <f aca="false">IF(OR(ISTEXT(D39),ISTEXT(E39),ISTEXT(F39)),"n/a",D39*E39*F39)</f>
        <v>0.479655</v>
      </c>
      <c r="H39" s="133" t="n">
        <f aca="false">IFERROR($B$38*D39,"-")</f>
        <v>285007914.18</v>
      </c>
      <c r="I39" s="133" t="n">
        <f aca="false">IFERROR($B$38*D39*E39,"-")</f>
        <v>162454511.0826</v>
      </c>
      <c r="J39" s="133" t="n">
        <f aca="false">IFERROR($B$38*D39*E39*F39,"-")</f>
        <v>138086334.42021</v>
      </c>
      <c r="L39" s="118" t="n">
        <f aca="false">D39</f>
        <v>0.99</v>
      </c>
      <c r="M39" s="118" t="n">
        <f aca="false">E39</f>
        <v>0.57</v>
      </c>
      <c r="N39" s="118" t="n">
        <f aca="false">F39</f>
        <v>0.85</v>
      </c>
      <c r="O39" s="118" t="n">
        <f aca="false">G39</f>
        <v>0.479655</v>
      </c>
      <c r="P39" s="133" t="n">
        <f aca="false">IFERROR($B$38*L39,"-")</f>
        <v>285007914.18</v>
      </c>
      <c r="Q39" s="133" t="n">
        <f aca="false">IFERROR($B$38*L39*M39,"-")</f>
        <v>162454511.0826</v>
      </c>
      <c r="R39" s="133" t="n">
        <f aca="false">IFERROR($B$38*L39*M39*N39,"-")</f>
        <v>138086334.42021</v>
      </c>
      <c r="T39" s="118" t="n">
        <f aca="false">L39</f>
        <v>0.99</v>
      </c>
      <c r="U39" s="118" t="n">
        <f aca="false">M39</f>
        <v>0.57</v>
      </c>
      <c r="V39" s="118" t="n">
        <f aca="false">N39</f>
        <v>0.85</v>
      </c>
      <c r="W39" s="118" t="n">
        <f aca="false">O39</f>
        <v>0.479655</v>
      </c>
      <c r="X39" s="133" t="n">
        <f aca="false">IFERROR($B$38*T39,"-")</f>
        <v>285007914.18</v>
      </c>
      <c r="Y39" s="133" t="n">
        <f aca="false">IFERROR($B$38*T39*U39,"-")</f>
        <v>162454511.0826</v>
      </c>
      <c r="Z39" s="133" t="n">
        <f aca="false">IFERROR($B$38*T39*U39*V39,"-")</f>
        <v>138086334.42021</v>
      </c>
    </row>
    <row r="40" s="3" customFormat="true" ht="9.75" hidden="false" customHeight="true" outlineLevel="0" collapsed="false">
      <c r="A40" s="57" t="s">
        <v>64</v>
      </c>
      <c r="B40" s="57"/>
      <c r="C40" s="57" t="s">
        <v>8</v>
      </c>
      <c r="D40" s="118" t="n">
        <f aca="false">'Burden x Vehicle Matrix'!X12</f>
        <v>0</v>
      </c>
      <c r="E40" s="118" t="n">
        <v>0</v>
      </c>
      <c r="F40" s="118" t="n">
        <f aca="false">'Burden x Vehicle Matrix'!Z12</f>
        <v>0.04</v>
      </c>
      <c r="G40" s="118" t="n">
        <f aca="false">IF(OR(ISTEXT(D40),ISTEXT(E40),ISTEXT(F40)),"n/a",D40*E40*F40)</f>
        <v>0</v>
      </c>
      <c r="H40" s="133" t="n">
        <f aca="false">IFERROR($B$38*D40,"-")</f>
        <v>0</v>
      </c>
      <c r="I40" s="133" t="n">
        <f aca="false">IFERROR($B$38*D40*E40,"-")</f>
        <v>0</v>
      </c>
      <c r="J40" s="133" t="n">
        <f aca="false">IFERROR($B$38*D40*E40*F40,"-")</f>
        <v>0</v>
      </c>
      <c r="L40" s="118" t="n">
        <f aca="false">D40</f>
        <v>0</v>
      </c>
      <c r="M40" s="118" t="n">
        <f aca="false">E40</f>
        <v>0</v>
      </c>
      <c r="N40" s="118" t="n">
        <f aca="false">F40</f>
        <v>0.04</v>
      </c>
      <c r="O40" s="118" t="n">
        <f aca="false">G40</f>
        <v>0</v>
      </c>
      <c r="P40" s="133" t="n">
        <f aca="false">IFERROR($B$38*L40,"-")</f>
        <v>0</v>
      </c>
      <c r="Q40" s="133" t="n">
        <f aca="false">IFERROR($B$38*L40*M40,"-")</f>
        <v>0</v>
      </c>
      <c r="R40" s="133" t="n">
        <f aca="false">IFERROR($B$38*L40*M40*N40,"-")</f>
        <v>0</v>
      </c>
      <c r="T40" s="118" t="n">
        <f aca="false">L40</f>
        <v>0</v>
      </c>
      <c r="U40" s="118" t="n">
        <f aca="false">M40</f>
        <v>0</v>
      </c>
      <c r="V40" s="118" t="n">
        <f aca="false">N40</f>
        <v>0.04</v>
      </c>
      <c r="W40" s="118" t="n">
        <f aca="false">O40</f>
        <v>0</v>
      </c>
      <c r="X40" s="133" t="n">
        <f aca="false">IFERROR($B$38*T40,"-")</f>
        <v>0</v>
      </c>
      <c r="Y40" s="133" t="n">
        <f aca="false">IFERROR($B$38*T40*U40,"-")</f>
        <v>0</v>
      </c>
      <c r="Z40" s="133" t="n">
        <f aca="false">IFERROR($B$38*T40*U40*V40,"-")</f>
        <v>0</v>
      </c>
    </row>
    <row r="41" s="3" customFormat="true" ht="9.75" hidden="false" customHeight="true" outlineLevel="0" collapsed="false">
      <c r="A41" s="57" t="s">
        <v>64</v>
      </c>
      <c r="B41" s="57"/>
      <c r="C41" s="57" t="s">
        <v>9</v>
      </c>
      <c r="D41" s="118" t="str">
        <f aca="false">'Burden x Vehicle Matrix'!AB12</f>
        <v>n/a</v>
      </c>
      <c r="E41" s="118" t="n">
        <f aca="false">'Burden x Vehicle Matrix'!AA12</f>
        <v>0</v>
      </c>
      <c r="F41" s="118" t="str">
        <f aca="false">'Burden x Vehicle Matrix'!AD12</f>
        <v>n/a</v>
      </c>
      <c r="G41" s="118" t="str">
        <f aca="false">IF(OR(ISTEXT(D41),ISTEXT(E41),ISTEXT(F41)),"n/a",D41*E41*F41)</f>
        <v>n/a</v>
      </c>
      <c r="H41" s="133" t="str">
        <f aca="false">IFERROR($B$38*D41,"-")</f>
        <v>-</v>
      </c>
      <c r="I41" s="133" t="str">
        <f aca="false">IFERROR($B$38*D41*E41,"-")</f>
        <v>-</v>
      </c>
      <c r="J41" s="133" t="str">
        <f aca="false">IFERROR($B$38*D41*E41*F41,"-")</f>
        <v>-</v>
      </c>
      <c r="L41" s="118" t="str">
        <f aca="false">D41</f>
        <v>n/a</v>
      </c>
      <c r="M41" s="118" t="n">
        <f aca="false">E41</f>
        <v>0</v>
      </c>
      <c r="N41" s="118" t="str">
        <f aca="false">F41</f>
        <v>n/a</v>
      </c>
      <c r="O41" s="118" t="str">
        <f aca="false">G41</f>
        <v>n/a</v>
      </c>
      <c r="P41" s="133" t="str">
        <f aca="false">IFERROR($B$38*L41,"-")</f>
        <v>-</v>
      </c>
      <c r="Q41" s="133" t="str">
        <f aca="false">IFERROR($B$38*L41*M41,"-")</f>
        <v>-</v>
      </c>
      <c r="R41" s="133" t="str">
        <f aca="false">IFERROR($B$38*L41*M41*N41,"-")</f>
        <v>-</v>
      </c>
      <c r="T41" s="118" t="str">
        <f aca="false">L41</f>
        <v>n/a</v>
      </c>
      <c r="U41" s="118" t="n">
        <f aca="false">M41</f>
        <v>0</v>
      </c>
      <c r="V41" s="118" t="str">
        <f aca="false">N41</f>
        <v>n/a</v>
      </c>
      <c r="W41" s="118" t="str">
        <f aca="false">O41</f>
        <v>n/a</v>
      </c>
      <c r="X41" s="133" t="str">
        <f aca="false">IFERROR($B$38*T41,"-")</f>
        <v>-</v>
      </c>
      <c r="Y41" s="133" t="str">
        <f aca="false">IFERROR($B$38*T41*U41,"-")</f>
        <v>-</v>
      </c>
      <c r="Z41" s="133" t="str">
        <f aca="false">IFERROR($B$38*T41*U41*V41,"-")</f>
        <v>-</v>
      </c>
    </row>
    <row r="42" s="3" customFormat="true" ht="9.75" hidden="false" customHeight="true" outlineLevel="0" collapsed="false">
      <c r="A42" s="57" t="s">
        <v>64</v>
      </c>
      <c r="B42" s="57"/>
      <c r="C42" s="57" t="s">
        <v>281</v>
      </c>
      <c r="D42" s="118" t="str">
        <f aca="false">'Burden x Vehicle Matrix'!AF12</f>
        <v>n/a</v>
      </c>
      <c r="E42" s="118" t="str">
        <f aca="false">'Burden x Vehicle Matrix'!AE12</f>
        <v>n/a</v>
      </c>
      <c r="F42" s="118" t="str">
        <f aca="false">'Burden x Vehicle Matrix'!AH12</f>
        <v>n/a</v>
      </c>
      <c r="G42" s="118" t="str">
        <f aca="false">IF(OR(ISTEXT(D42),ISTEXT(E42),ISTEXT(F42)),"n/a",D42*E42*F42)</f>
        <v>n/a</v>
      </c>
      <c r="H42" s="133" t="str">
        <f aca="false">IFERROR($B$38*D42,"-")</f>
        <v>-</v>
      </c>
      <c r="I42" s="133" t="str">
        <f aca="false">IFERROR($B$38*D42*E42,"-")</f>
        <v>-</v>
      </c>
      <c r="J42" s="133" t="str">
        <f aca="false">IFERROR($B$38*D42*E42*F42,"-")</f>
        <v>-</v>
      </c>
      <c r="L42" s="118" t="str">
        <f aca="false">D42</f>
        <v>n/a</v>
      </c>
      <c r="M42" s="118" t="str">
        <f aca="false">E42</f>
        <v>n/a</v>
      </c>
      <c r="N42" s="118" t="str">
        <f aca="false">F42</f>
        <v>n/a</v>
      </c>
      <c r="O42" s="118" t="str">
        <f aca="false">G42</f>
        <v>n/a</v>
      </c>
      <c r="P42" s="133" t="str">
        <f aca="false">IFERROR($B$38*L42,"-")</f>
        <v>-</v>
      </c>
      <c r="Q42" s="133" t="str">
        <f aca="false">IFERROR($B$38*L42*M42,"-")</f>
        <v>-</v>
      </c>
      <c r="R42" s="133" t="str">
        <f aca="false">IFERROR($B$38*L42*M42*N42,"-")</f>
        <v>-</v>
      </c>
      <c r="T42" s="118" t="str">
        <f aca="false">L42</f>
        <v>n/a</v>
      </c>
      <c r="U42" s="118" t="str">
        <f aca="false">M42</f>
        <v>n/a</v>
      </c>
      <c r="V42" s="118" t="str">
        <f aca="false">N42</f>
        <v>n/a</v>
      </c>
      <c r="W42" s="118" t="str">
        <f aca="false">O42</f>
        <v>n/a</v>
      </c>
      <c r="X42" s="133" t="str">
        <f aca="false">IFERROR($B$38*T42,"-")</f>
        <v>-</v>
      </c>
      <c r="Y42" s="133" t="str">
        <f aca="false">IFERROR($B$38*T42*U42,"-")</f>
        <v>-</v>
      </c>
      <c r="Z42" s="133" t="str">
        <f aca="false">IFERROR($B$38*T42*U42*V42,"-")</f>
        <v>-</v>
      </c>
    </row>
    <row r="43" s="3" customFormat="true" ht="9.75" hidden="false" customHeight="true" outlineLevel="0" collapsed="false">
      <c r="A43" s="57" t="s">
        <v>64</v>
      </c>
      <c r="B43" s="57"/>
      <c r="C43" s="57" t="s">
        <v>11</v>
      </c>
      <c r="D43" s="118" t="str">
        <f aca="false">'Burden x Vehicle Matrix'!AJ12</f>
        <v>n/a</v>
      </c>
      <c r="E43" s="118" t="n">
        <f aca="false">'Burden x Vehicle Matrix'!AI12</f>
        <v>0</v>
      </c>
      <c r="F43" s="118" t="str">
        <f aca="false">'Burden x Vehicle Matrix'!AL12</f>
        <v>n/a</v>
      </c>
      <c r="G43" s="118" t="str">
        <f aca="false">IF(OR(ISTEXT(D43),ISTEXT(E43),ISTEXT(F43)),"n/a",D43*E43*F43)</f>
        <v>n/a</v>
      </c>
      <c r="H43" s="133" t="str">
        <f aca="false">IFERROR($B$38*D43,"-")</f>
        <v>-</v>
      </c>
      <c r="I43" s="133" t="str">
        <f aca="false">IFERROR($B$38*D43*E43,"-")</f>
        <v>-</v>
      </c>
      <c r="J43" s="133" t="str">
        <f aca="false">IFERROR($B$38*D43*E43*F43,"-")</f>
        <v>-</v>
      </c>
      <c r="L43" s="118" t="str">
        <f aca="false">D43</f>
        <v>n/a</v>
      </c>
      <c r="M43" s="118" t="n">
        <f aca="false">E43</f>
        <v>0</v>
      </c>
      <c r="N43" s="118" t="str">
        <f aca="false">F43</f>
        <v>n/a</v>
      </c>
      <c r="O43" s="118" t="str">
        <f aca="false">G43</f>
        <v>n/a</v>
      </c>
      <c r="P43" s="133" t="str">
        <f aca="false">IFERROR($B$38*L43,"-")</f>
        <v>-</v>
      </c>
      <c r="Q43" s="133" t="str">
        <f aca="false">IFERROR($B$38*L43*M43,"-")</f>
        <v>-</v>
      </c>
      <c r="R43" s="133" t="str">
        <f aca="false">IFERROR($B$38*L43*M43*N43,"-")</f>
        <v>-</v>
      </c>
      <c r="T43" s="118" t="str">
        <f aca="false">L43</f>
        <v>n/a</v>
      </c>
      <c r="U43" s="118" t="n">
        <f aca="false">M43</f>
        <v>0</v>
      </c>
      <c r="V43" s="118" t="str">
        <f aca="false">N43</f>
        <v>n/a</v>
      </c>
      <c r="W43" s="118" t="str">
        <f aca="false">O43</f>
        <v>n/a</v>
      </c>
      <c r="X43" s="133" t="str">
        <f aca="false">IFERROR($B$38*T43,"-")</f>
        <v>-</v>
      </c>
      <c r="Y43" s="133" t="str">
        <f aca="false">IFERROR($B$38*T43*U43,"-")</f>
        <v>-</v>
      </c>
      <c r="Z43" s="133" t="str">
        <f aca="false">IFERROR($B$38*T43*U43*V43,"-")</f>
        <v>-</v>
      </c>
    </row>
    <row r="44" s="3" customFormat="true" ht="10.5" hidden="false" customHeight="true" outlineLevel="0" collapsed="false">
      <c r="A44" s="111" t="s">
        <v>67</v>
      </c>
      <c r="B44" s="99" t="n">
        <v>259299791</v>
      </c>
      <c r="C44" s="57" t="s">
        <v>6</v>
      </c>
      <c r="D44" s="118" t="n">
        <f aca="false">'Burden x Vehicle Matrix'!P13</f>
        <v>0.9</v>
      </c>
      <c r="E44" s="118" t="n">
        <f aca="false">'Burden x Vehicle Matrix'!O13</f>
        <v>0.25</v>
      </c>
      <c r="F44" s="118" t="str">
        <f aca="false">'Burden x Vehicle Matrix'!R13</f>
        <v>&lt;1%</v>
      </c>
      <c r="G44" s="118" t="str">
        <f aca="false">IF(OR(ISTEXT(D44),ISTEXT(E44),ISTEXT(F44)),"n/a",D44*E44*F44)</f>
        <v>n/a</v>
      </c>
      <c r="H44" s="133" t="n">
        <f aca="false">IFERROR($B$44*D44,"-")</f>
        <v>233369811.9</v>
      </c>
      <c r="I44" s="133" t="n">
        <f aca="false">IFERROR($B$44*D44*E44,"-")</f>
        <v>58342452.975</v>
      </c>
      <c r="J44" s="133" t="str">
        <f aca="false">IFERROR($B$44*D44*E44*F44,"-")</f>
        <v>-</v>
      </c>
      <c r="L44" s="118" t="n">
        <f aca="false">D44</f>
        <v>0.9</v>
      </c>
      <c r="M44" s="118" t="n">
        <f aca="false">E44</f>
        <v>0.25</v>
      </c>
      <c r="N44" s="118" t="str">
        <f aca="false">F44</f>
        <v>&lt;1%</v>
      </c>
      <c r="O44" s="118" t="str">
        <f aca="false">G44</f>
        <v>n/a</v>
      </c>
      <c r="P44" s="133" t="n">
        <f aca="false">IFERROR($B$44*L44,"-")</f>
        <v>233369811.9</v>
      </c>
      <c r="Q44" s="133" t="n">
        <f aca="false">IFERROR($B$44*L44*M44,"-")</f>
        <v>58342452.975</v>
      </c>
      <c r="R44" s="133" t="str">
        <f aca="false">IFERROR($B$44*L44*M44*N44,"-")</f>
        <v>-</v>
      </c>
      <c r="T44" s="118" t="n">
        <f aca="false">L44</f>
        <v>0.9</v>
      </c>
      <c r="U44" s="118" t="n">
        <f aca="false">M44</f>
        <v>0.25</v>
      </c>
      <c r="V44" s="118" t="str">
        <f aca="false">N44</f>
        <v>&lt;1%</v>
      </c>
      <c r="W44" s="118" t="str">
        <f aca="false">O44</f>
        <v>n/a</v>
      </c>
      <c r="X44" s="133" t="n">
        <f aca="false">IFERROR($B$44*T44,"-")</f>
        <v>233369811.9</v>
      </c>
      <c r="Y44" s="133" t="n">
        <f aca="false">IFERROR($B$44*T44*U44,"-")</f>
        <v>58342452.975</v>
      </c>
      <c r="Z44" s="133" t="str">
        <f aca="false">IFERROR($B$44*T44*U44*V44,"-")</f>
        <v>-</v>
      </c>
    </row>
    <row r="45" s="3" customFormat="true" ht="9.75" hidden="false" customHeight="true" outlineLevel="0" collapsed="false">
      <c r="A45" s="57" t="s">
        <v>67</v>
      </c>
      <c r="B45" s="57"/>
      <c r="C45" s="57" t="s">
        <v>7</v>
      </c>
      <c r="D45" s="118" t="n">
        <f aca="false">'Burden x Vehicle Matrix'!T13</f>
        <v>0.98</v>
      </c>
      <c r="E45" s="118" t="n">
        <f aca="false">'Burden x Vehicle Matrix'!S13</f>
        <v>0.65</v>
      </c>
      <c r="F45" s="118" t="n">
        <f aca="false">'Burden x Vehicle Matrix'!V13</f>
        <v>0.52</v>
      </c>
      <c r="G45" s="118" t="n">
        <f aca="false">IF(OR(ISTEXT(D45),ISTEXT(E45),ISTEXT(F45)),"n/a",D45*E45*F45)</f>
        <v>0.33124</v>
      </c>
      <c r="H45" s="133" t="n">
        <f aca="false">IFERROR($B$44*D45,"-")</f>
        <v>254113795.18</v>
      </c>
      <c r="I45" s="133" t="n">
        <f aca="false">IFERROR($B$44*D45*E45,"-")</f>
        <v>165173966.867</v>
      </c>
      <c r="J45" s="133" t="n">
        <f aca="false">IFERROR($B$44*D45*E45*F45,"-")</f>
        <v>85890462.77084</v>
      </c>
      <c r="L45" s="118" t="n">
        <f aca="false">D45</f>
        <v>0.98</v>
      </c>
      <c r="M45" s="118" t="n">
        <f aca="false">E45</f>
        <v>0.65</v>
      </c>
      <c r="N45" s="118" t="n">
        <f aca="false">F45</f>
        <v>0.52</v>
      </c>
      <c r="O45" s="118" t="n">
        <f aca="false">G45</f>
        <v>0.33124</v>
      </c>
      <c r="P45" s="133" t="n">
        <f aca="false">IFERROR($B$44*L45,"-")</f>
        <v>254113795.18</v>
      </c>
      <c r="Q45" s="133" t="n">
        <f aca="false">IFERROR($B$44*L45*M45,"-")</f>
        <v>165173966.867</v>
      </c>
      <c r="R45" s="133" t="n">
        <f aca="false">IFERROR($B$44*L45*M45*N45,"-")</f>
        <v>85890462.77084</v>
      </c>
      <c r="T45" s="118" t="n">
        <f aca="false">L45</f>
        <v>0.98</v>
      </c>
      <c r="U45" s="118" t="n">
        <f aca="false">M45</f>
        <v>0.65</v>
      </c>
      <c r="V45" s="118" t="n">
        <f aca="false">N45</f>
        <v>0.52</v>
      </c>
      <c r="W45" s="118" t="n">
        <f aca="false">O45</f>
        <v>0.33124</v>
      </c>
      <c r="X45" s="133" t="n">
        <f aca="false">IFERROR($B$44*T45,"-")</f>
        <v>254113795.18</v>
      </c>
      <c r="Y45" s="133" t="n">
        <f aca="false">IFERROR($B$44*T45*U45,"-")</f>
        <v>165173966.867</v>
      </c>
      <c r="Z45" s="133" t="n">
        <f aca="false">IFERROR($B$44*T45*U45*V45,"-")</f>
        <v>85890462.77084</v>
      </c>
    </row>
    <row r="46" s="3" customFormat="true" ht="9.75" hidden="false" customHeight="true" outlineLevel="0" collapsed="false">
      <c r="A46" s="57" t="s">
        <v>67</v>
      </c>
      <c r="B46" s="57"/>
      <c r="C46" s="57" t="s">
        <v>8</v>
      </c>
      <c r="D46" s="118" t="str">
        <f aca="false">'Burden x Vehicle Matrix'!X13</f>
        <v>n/a</v>
      </c>
      <c r="E46" s="118" t="n">
        <f aca="false">'Burden x Vehicle Matrix'!W13</f>
        <v>0</v>
      </c>
      <c r="F46" s="118" t="str">
        <f aca="false">'Burden x Vehicle Matrix'!Z13</f>
        <v>n/a</v>
      </c>
      <c r="G46" s="118" t="str">
        <f aca="false">IF(OR(ISTEXT(D46),ISTEXT(E46),ISTEXT(F46)),"n/a",D46*E46*F46)</f>
        <v>n/a</v>
      </c>
      <c r="H46" s="133" t="str">
        <f aca="false">IFERROR($B$44*D46,"-")</f>
        <v>-</v>
      </c>
      <c r="I46" s="133" t="str">
        <f aca="false">IFERROR($B$44*D46*E46,"-")</f>
        <v>-</v>
      </c>
      <c r="J46" s="133" t="str">
        <f aca="false">IFERROR($B$44*D46*E46*F46,"-")</f>
        <v>-</v>
      </c>
      <c r="L46" s="118" t="str">
        <f aca="false">D46</f>
        <v>n/a</v>
      </c>
      <c r="M46" s="118" t="n">
        <f aca="false">E46</f>
        <v>0</v>
      </c>
      <c r="N46" s="118" t="str">
        <f aca="false">F46</f>
        <v>n/a</v>
      </c>
      <c r="O46" s="118" t="str">
        <f aca="false">G46</f>
        <v>n/a</v>
      </c>
      <c r="P46" s="133" t="str">
        <f aca="false">IFERROR($B$44*L46,"-")</f>
        <v>-</v>
      </c>
      <c r="Q46" s="133" t="str">
        <f aca="false">IFERROR($B$44*L46*M46,"-")</f>
        <v>-</v>
      </c>
      <c r="R46" s="133" t="str">
        <f aca="false">IFERROR($B$44*L46*M46*N46,"-")</f>
        <v>-</v>
      </c>
      <c r="T46" s="118" t="str">
        <f aca="false">L46</f>
        <v>n/a</v>
      </c>
      <c r="U46" s="118" t="n">
        <f aca="false">M46</f>
        <v>0</v>
      </c>
      <c r="V46" s="118" t="str">
        <f aca="false">N46</f>
        <v>n/a</v>
      </c>
      <c r="W46" s="118" t="str">
        <f aca="false">O46</f>
        <v>n/a</v>
      </c>
      <c r="X46" s="133" t="str">
        <f aca="false">IFERROR($B$44*T46,"-")</f>
        <v>-</v>
      </c>
      <c r="Y46" s="133" t="str">
        <f aca="false">IFERROR($B$44*T46*U46,"-")</f>
        <v>-</v>
      </c>
      <c r="Z46" s="133" t="str">
        <f aca="false">IFERROR($B$44*T46*U46*V46,"-")</f>
        <v>-</v>
      </c>
    </row>
    <row r="47" s="3" customFormat="true" ht="9.75" hidden="false" customHeight="true" outlineLevel="0" collapsed="false">
      <c r="A47" s="57" t="s">
        <v>67</v>
      </c>
      <c r="B47" s="57"/>
      <c r="C47" s="57" t="s">
        <v>9</v>
      </c>
      <c r="D47" s="118" t="str">
        <f aca="false">'Burden x Vehicle Matrix'!AB13</f>
        <v>n/a</v>
      </c>
      <c r="E47" s="118" t="n">
        <f aca="false">'Burden x Vehicle Matrix'!AA13</f>
        <v>0</v>
      </c>
      <c r="F47" s="118" t="str">
        <f aca="false">'Burden x Vehicle Matrix'!AD13</f>
        <v>n/a</v>
      </c>
      <c r="G47" s="118" t="str">
        <f aca="false">IF(OR(ISTEXT(D47),ISTEXT(E47),ISTEXT(F47)),"n/a",D47*E47*F47)</f>
        <v>n/a</v>
      </c>
      <c r="H47" s="133" t="str">
        <f aca="false">IFERROR($B$44*D47,"-")</f>
        <v>-</v>
      </c>
      <c r="I47" s="133" t="str">
        <f aca="false">IFERROR($B$44*D47*E47,"-")</f>
        <v>-</v>
      </c>
      <c r="J47" s="133" t="str">
        <f aca="false">IFERROR($B$44*D47*E47*F47,"-")</f>
        <v>-</v>
      </c>
      <c r="L47" s="118" t="str">
        <f aca="false">D47</f>
        <v>n/a</v>
      </c>
      <c r="M47" s="118" t="n">
        <f aca="false">E47</f>
        <v>0</v>
      </c>
      <c r="N47" s="118" t="str">
        <f aca="false">F47</f>
        <v>n/a</v>
      </c>
      <c r="O47" s="118" t="str">
        <f aca="false">G47</f>
        <v>n/a</v>
      </c>
      <c r="P47" s="133" t="str">
        <f aca="false">IFERROR($B$44*L47,"-")</f>
        <v>-</v>
      </c>
      <c r="Q47" s="133" t="str">
        <f aca="false">IFERROR($B$44*L47*M47,"-")</f>
        <v>-</v>
      </c>
      <c r="R47" s="133" t="str">
        <f aca="false">IFERROR($B$44*L47*M47*N47,"-")</f>
        <v>-</v>
      </c>
      <c r="T47" s="118" t="str">
        <f aca="false">L47</f>
        <v>n/a</v>
      </c>
      <c r="U47" s="118" t="n">
        <f aca="false">M47</f>
        <v>0</v>
      </c>
      <c r="V47" s="118" t="str">
        <f aca="false">N47</f>
        <v>n/a</v>
      </c>
      <c r="W47" s="118" t="str">
        <f aca="false">O47</f>
        <v>n/a</v>
      </c>
      <c r="X47" s="133" t="str">
        <f aca="false">IFERROR($B$44*T47,"-")</f>
        <v>-</v>
      </c>
      <c r="Y47" s="133" t="str">
        <f aca="false">IFERROR($B$44*T47*U47,"-")</f>
        <v>-</v>
      </c>
      <c r="Z47" s="133" t="str">
        <f aca="false">IFERROR($B$44*T47*U47*V47,"-")</f>
        <v>-</v>
      </c>
    </row>
    <row r="48" s="3" customFormat="true" ht="9.75" hidden="false" customHeight="true" outlineLevel="0" collapsed="false">
      <c r="A48" s="57" t="s">
        <v>67</v>
      </c>
      <c r="B48" s="57"/>
      <c r="C48" s="57" t="s">
        <v>281</v>
      </c>
      <c r="D48" s="118" t="n">
        <f aca="false">'Burden x Vehicle Matrix'!AF13</f>
        <v>1</v>
      </c>
      <c r="E48" s="118" t="str">
        <f aca="false">'Burden x Vehicle Matrix'!AE13</f>
        <v>n/a</v>
      </c>
      <c r="F48" s="118" t="str">
        <f aca="false">'Burden x Vehicle Matrix'!AH13</f>
        <v>n/a</v>
      </c>
      <c r="G48" s="118" t="str">
        <f aca="false">IF(OR(ISTEXT(D48),ISTEXT(E48),ISTEXT(F48)),"n/a",D48*E48*F48)</f>
        <v>n/a</v>
      </c>
      <c r="H48" s="133" t="n">
        <f aca="false">IFERROR($B$44*D48,"-")</f>
        <v>259299791</v>
      </c>
      <c r="I48" s="133" t="str">
        <f aca="false">IFERROR($B$44*D48*E48,"-")</f>
        <v>-</v>
      </c>
      <c r="J48" s="133" t="str">
        <f aca="false">IFERROR($B$44*D48*E48*F48,"-")</f>
        <v>-</v>
      </c>
      <c r="L48" s="131" t="n">
        <f aca="false">'Coverage Over Time'!G48</f>
        <v>0.98</v>
      </c>
      <c r="M48" s="131" t="n">
        <f aca="false">'Coverage Over Time'!H48</f>
        <v>0.25</v>
      </c>
      <c r="N48" s="118"/>
      <c r="O48" s="131" t="n">
        <f aca="false">'Coverage Over Time'!J48</f>
        <v>0.796</v>
      </c>
      <c r="P48" s="132" t="n">
        <f aca="false">IFERROR($B$44*L48,"-")</f>
        <v>254113795.18</v>
      </c>
      <c r="Q48" s="132" t="n">
        <f aca="false">IFERROR($B$44*L48*M48,"-")</f>
        <v>63528448.795</v>
      </c>
      <c r="R48" s="132" t="n">
        <f aca="false">IFERROR($B$44*O48,"-")</f>
        <v>206402633.636</v>
      </c>
      <c r="T48" s="131" t="n">
        <f aca="false">'Coverage Over Time'!K48</f>
        <v>0.98</v>
      </c>
      <c r="U48" s="131" t="n">
        <f aca="false">'Coverage Over Time'!L48</f>
        <v>0.25</v>
      </c>
      <c r="V48" s="118"/>
      <c r="W48" s="131" t="n">
        <f aca="false">'Coverage Over Time'!N48</f>
        <v>0.85</v>
      </c>
      <c r="X48" s="132" t="n">
        <f aca="false">IFERROR($B$44*T48,"-")</f>
        <v>254113795.18</v>
      </c>
      <c r="Y48" s="132" t="n">
        <f aca="false">IFERROR($B$44*T48*U48,"-")</f>
        <v>63528448.795</v>
      </c>
      <c r="Z48" s="132" t="n">
        <f aca="false">IFERROR($B$44*W48,"-")</f>
        <v>220404822.35</v>
      </c>
    </row>
    <row r="49" s="3" customFormat="true" ht="9.75" hidden="false" customHeight="true" outlineLevel="0" collapsed="false">
      <c r="A49" s="57" t="s">
        <v>67</v>
      </c>
      <c r="B49" s="57"/>
      <c r="C49" s="57" t="s">
        <v>11</v>
      </c>
      <c r="D49" s="118" t="str">
        <f aca="false">'Burden x Vehicle Matrix'!AJ13</f>
        <v>n/a</v>
      </c>
      <c r="E49" s="118" t="n">
        <f aca="false">'Burden x Vehicle Matrix'!AI13</f>
        <v>0</v>
      </c>
      <c r="F49" s="118" t="str">
        <f aca="false">'Burden x Vehicle Matrix'!AL13</f>
        <v>n/a</v>
      </c>
      <c r="G49" s="118" t="str">
        <f aca="false">IF(OR(ISTEXT(D49),ISTEXT(E49),ISTEXT(F49)),"n/a",D49*E49*F49)</f>
        <v>n/a</v>
      </c>
      <c r="H49" s="133" t="str">
        <f aca="false">IFERROR($B$44*D49,"-")</f>
        <v>-</v>
      </c>
      <c r="I49" s="133" t="str">
        <f aca="false">IFERROR($B$44*D49*E49,"-")</f>
        <v>-</v>
      </c>
      <c r="J49" s="133" t="str">
        <f aca="false">IFERROR($B$44*D49*E49*F49,"-")</f>
        <v>-</v>
      </c>
      <c r="L49" s="118" t="str">
        <f aca="false">D49</f>
        <v>n/a</v>
      </c>
      <c r="M49" s="118" t="n">
        <f aca="false">E49</f>
        <v>0</v>
      </c>
      <c r="N49" s="118" t="str">
        <f aca="false">F49</f>
        <v>n/a</v>
      </c>
      <c r="O49" s="118" t="str">
        <f aca="false">G49</f>
        <v>n/a</v>
      </c>
      <c r="P49" s="133" t="str">
        <f aca="false">IFERROR($B$44*L49,"-")</f>
        <v>-</v>
      </c>
      <c r="Q49" s="133" t="str">
        <f aca="false">IFERROR($B$44*L49*M49,"-")</f>
        <v>-</v>
      </c>
      <c r="R49" s="133" t="str">
        <f aca="false">IFERROR($B$44*L49*M49*N49,"-")</f>
        <v>-</v>
      </c>
      <c r="T49" s="118" t="str">
        <f aca="false">L49</f>
        <v>n/a</v>
      </c>
      <c r="U49" s="118" t="n">
        <f aca="false">M49</f>
        <v>0</v>
      </c>
      <c r="V49" s="118" t="str">
        <f aca="false">N49</f>
        <v>n/a</v>
      </c>
      <c r="W49" s="118" t="str">
        <f aca="false">O49</f>
        <v>n/a</v>
      </c>
      <c r="X49" s="133" t="str">
        <f aca="false">IFERROR($B$44*T49,"-")</f>
        <v>-</v>
      </c>
      <c r="Y49" s="133" t="str">
        <f aca="false">IFERROR($B$44*T49*U49,"-")</f>
        <v>-</v>
      </c>
      <c r="Z49" s="133" t="str">
        <f aca="false">IFERROR($B$44*T49*U49*V49,"-")</f>
        <v>-</v>
      </c>
    </row>
    <row r="50" s="3" customFormat="true" ht="10.5" hidden="false" customHeight="true" outlineLevel="0" collapsed="false">
      <c r="A50" s="111" t="s">
        <v>73</v>
      </c>
      <c r="B50" s="99" t="n">
        <v>72563780</v>
      </c>
      <c r="C50" s="57" t="s">
        <v>6</v>
      </c>
      <c r="D50" s="118" t="n">
        <f aca="false">'Burden x Vehicle Matrix'!P14</f>
        <v>0.529</v>
      </c>
      <c r="E50" s="118" t="n">
        <f aca="false">'Burden x Vehicle Matrix'!O14</f>
        <v>1</v>
      </c>
      <c r="F50" s="118" t="n">
        <f aca="false">'Burden x Vehicle Matrix'!R14</f>
        <v>0.79</v>
      </c>
      <c r="G50" s="118" t="n">
        <f aca="false">IF(OR(ISTEXT(D50),ISTEXT(E50),ISTEXT(F50)),"n/a",D50*E50*F50)</f>
        <v>0.41791</v>
      </c>
      <c r="H50" s="133" t="n">
        <f aca="false">IFERROR($B$50*D50,"-")</f>
        <v>38386239.62</v>
      </c>
      <c r="I50" s="133" t="n">
        <f aca="false">IFERROR($B$50*D50*E50,"-")</f>
        <v>38386239.62</v>
      </c>
      <c r="J50" s="133" t="n">
        <f aca="false">IFERROR($B$50*D50*E50*F50,"-")</f>
        <v>30325129.2998</v>
      </c>
      <c r="L50" s="118" t="n">
        <f aca="false">D50</f>
        <v>0.529</v>
      </c>
      <c r="M50" s="118" t="n">
        <f aca="false">E50</f>
        <v>1</v>
      </c>
      <c r="N50" s="118" t="n">
        <f aca="false">F50</f>
        <v>0.79</v>
      </c>
      <c r="O50" s="118" t="n">
        <f aca="false">G50</f>
        <v>0.41791</v>
      </c>
      <c r="P50" s="133" t="n">
        <f aca="false">IFERROR($B$50*L50,"-")</f>
        <v>38386239.62</v>
      </c>
      <c r="Q50" s="133" t="n">
        <f aca="false">IFERROR($B$50*L50*M50,"-")</f>
        <v>38386239.62</v>
      </c>
      <c r="R50" s="133" t="n">
        <f aca="false">IFERROR($B$50*L50*M50*N50,"-")</f>
        <v>30325129.2998</v>
      </c>
      <c r="T50" s="118" t="n">
        <f aca="false">L50</f>
        <v>0.529</v>
      </c>
      <c r="U50" s="118" t="n">
        <f aca="false">M50</f>
        <v>1</v>
      </c>
      <c r="V50" s="118" t="n">
        <f aca="false">N50</f>
        <v>0.79</v>
      </c>
      <c r="W50" s="118" t="n">
        <f aca="false">O50</f>
        <v>0.41791</v>
      </c>
      <c r="X50" s="133" t="n">
        <f aca="false">IFERROR($B$50*T50,"-")</f>
        <v>38386239.62</v>
      </c>
      <c r="Y50" s="133" t="n">
        <f aca="false">IFERROR($B$50*T50*U50,"-")</f>
        <v>38386239.62</v>
      </c>
      <c r="Z50" s="133" t="n">
        <f aca="false">IFERROR($B$50*T50*U50*V50,"-")</f>
        <v>30325129.2998</v>
      </c>
    </row>
    <row r="51" s="3" customFormat="true" ht="9.75" hidden="false" customHeight="true" outlineLevel="0" collapsed="false">
      <c r="A51" s="57" t="s">
        <v>73</v>
      </c>
      <c r="B51" s="57"/>
      <c r="C51" s="57" t="s">
        <v>7</v>
      </c>
      <c r="D51" s="118" t="str">
        <f aca="false">'Burden x Vehicle Matrix'!T14</f>
        <v>n/a</v>
      </c>
      <c r="E51" s="118" t="n">
        <f aca="false">'Burden x Vehicle Matrix'!S14</f>
        <v>1</v>
      </c>
      <c r="F51" s="118" t="n">
        <f aca="false">'Burden x Vehicle Matrix'!V14</f>
        <v>0.38</v>
      </c>
      <c r="G51" s="118" t="str">
        <f aca="false">IF(OR(ISTEXT(D51),ISTEXT(E51),ISTEXT(F51)),"n/a",D51*E51*F51)</f>
        <v>n/a</v>
      </c>
      <c r="H51" s="133" t="str">
        <f aca="false">IFERROR($B$50*D51,"-")</f>
        <v>-</v>
      </c>
      <c r="I51" s="133" t="str">
        <f aca="false">IFERROR($B$50*D51*E51,"-")</f>
        <v>-</v>
      </c>
      <c r="J51" s="133" t="str">
        <f aca="false">IFERROR($B$50*D51*E51*F51,"-")</f>
        <v>-</v>
      </c>
      <c r="L51" s="118" t="str">
        <f aca="false">D51</f>
        <v>n/a</v>
      </c>
      <c r="M51" s="118" t="n">
        <f aca="false">E51</f>
        <v>1</v>
      </c>
      <c r="N51" s="118" t="n">
        <f aca="false">F51</f>
        <v>0.38</v>
      </c>
      <c r="O51" s="118" t="str">
        <f aca="false">G51</f>
        <v>n/a</v>
      </c>
      <c r="P51" s="133" t="str">
        <f aca="false">IFERROR($B$50*L51,"-")</f>
        <v>-</v>
      </c>
      <c r="Q51" s="133" t="str">
        <f aca="false">IFERROR($B$50*L51*M51,"-")</f>
        <v>-</v>
      </c>
      <c r="R51" s="133" t="str">
        <f aca="false">IFERROR($B$50*L51*M51*N51,"-")</f>
        <v>-</v>
      </c>
      <c r="T51" s="118" t="str">
        <f aca="false">L51</f>
        <v>n/a</v>
      </c>
      <c r="U51" s="118" t="n">
        <f aca="false">M51</f>
        <v>1</v>
      </c>
      <c r="V51" s="118" t="n">
        <f aca="false">N51</f>
        <v>0.38</v>
      </c>
      <c r="W51" s="118" t="str">
        <f aca="false">O51</f>
        <v>n/a</v>
      </c>
      <c r="X51" s="133" t="str">
        <f aca="false">IFERROR($B$50*T51,"-")</f>
        <v>-</v>
      </c>
      <c r="Y51" s="133" t="str">
        <f aca="false">IFERROR($B$50*T51*U51,"-")</f>
        <v>-</v>
      </c>
      <c r="Z51" s="133" t="str">
        <f aca="false">IFERROR($B$50*T51*U51*V51,"-")</f>
        <v>-</v>
      </c>
    </row>
    <row r="52" s="3" customFormat="true" ht="9.75" hidden="false" customHeight="true" outlineLevel="0" collapsed="false">
      <c r="A52" s="57" t="s">
        <v>73</v>
      </c>
      <c r="B52" s="57"/>
      <c r="C52" s="57" t="s">
        <v>8</v>
      </c>
      <c r="D52" s="118" t="str">
        <f aca="false">'Burden x Vehicle Matrix'!X14</f>
        <v>n/a</v>
      </c>
      <c r="E52" s="118" t="n">
        <f aca="false">'Burden x Vehicle Matrix'!W14</f>
        <v>0</v>
      </c>
      <c r="F52" s="118" t="str">
        <f aca="false">'Burden x Vehicle Matrix'!Z14</f>
        <v>n/a</v>
      </c>
      <c r="G52" s="118" t="str">
        <f aca="false">IF(OR(ISTEXT(D52),ISTEXT(E52),ISTEXT(F52)),"n/a",D52*E52*F52)</f>
        <v>n/a</v>
      </c>
      <c r="H52" s="133" t="str">
        <f aca="false">IFERROR($B$50*D52,"-")</f>
        <v>-</v>
      </c>
      <c r="I52" s="133" t="str">
        <f aca="false">IFERROR($B$50*D52*E52,"-")</f>
        <v>-</v>
      </c>
      <c r="J52" s="133" t="str">
        <f aca="false">IFERROR($B$50*D52*E52*F52,"-")</f>
        <v>-</v>
      </c>
      <c r="L52" s="118" t="str">
        <f aca="false">D52</f>
        <v>n/a</v>
      </c>
      <c r="M52" s="118" t="n">
        <f aca="false">E52</f>
        <v>0</v>
      </c>
      <c r="N52" s="118" t="str">
        <f aca="false">F52</f>
        <v>n/a</v>
      </c>
      <c r="O52" s="118" t="str">
        <f aca="false">G52</f>
        <v>n/a</v>
      </c>
      <c r="P52" s="133" t="str">
        <f aca="false">IFERROR($B$50*L52,"-")</f>
        <v>-</v>
      </c>
      <c r="Q52" s="133" t="str">
        <f aca="false">IFERROR($B$50*L52*M52,"-")</f>
        <v>-</v>
      </c>
      <c r="R52" s="133" t="str">
        <f aca="false">IFERROR($B$50*L52*M52*N52,"-")</f>
        <v>-</v>
      </c>
      <c r="T52" s="118" t="str">
        <f aca="false">L52</f>
        <v>n/a</v>
      </c>
      <c r="U52" s="118" t="n">
        <f aca="false">M52</f>
        <v>0</v>
      </c>
      <c r="V52" s="118" t="str">
        <f aca="false">N52</f>
        <v>n/a</v>
      </c>
      <c r="W52" s="118" t="str">
        <f aca="false">O52</f>
        <v>n/a</v>
      </c>
      <c r="X52" s="133" t="str">
        <f aca="false">IFERROR($B$50*T52,"-")</f>
        <v>-</v>
      </c>
      <c r="Y52" s="133" t="str">
        <f aca="false">IFERROR($B$50*T52*U52,"-")</f>
        <v>-</v>
      </c>
      <c r="Z52" s="133" t="str">
        <f aca="false">IFERROR($B$50*T52*U52*V52,"-")</f>
        <v>-</v>
      </c>
    </row>
    <row r="53" s="3" customFormat="true" ht="9.75" hidden="false" customHeight="true" outlineLevel="0" collapsed="false">
      <c r="A53" s="57" t="s">
        <v>73</v>
      </c>
      <c r="B53" s="57"/>
      <c r="C53" s="57" t="s">
        <v>9</v>
      </c>
      <c r="D53" s="118" t="str">
        <f aca="false">'Burden x Vehicle Matrix'!AB14</f>
        <v>n/a</v>
      </c>
      <c r="E53" s="118" t="n">
        <f aca="false">'Burden x Vehicle Matrix'!AA14</f>
        <v>0</v>
      </c>
      <c r="F53" s="118" t="str">
        <f aca="false">'Burden x Vehicle Matrix'!AD14</f>
        <v>n/a</v>
      </c>
      <c r="G53" s="118" t="str">
        <f aca="false">IF(OR(ISTEXT(D53),ISTEXT(E53),ISTEXT(F53)),"n/a",D53*E53*F53)</f>
        <v>n/a</v>
      </c>
      <c r="H53" s="133" t="str">
        <f aca="false">IFERROR($B$50*D53,"-")</f>
        <v>-</v>
      </c>
      <c r="I53" s="133" t="str">
        <f aca="false">IFERROR($B$50*D53*E53,"-")</f>
        <v>-</v>
      </c>
      <c r="J53" s="133" t="str">
        <f aca="false">IFERROR($B$50*D53*E53*F53,"-")</f>
        <v>-</v>
      </c>
      <c r="L53" s="118" t="str">
        <f aca="false">D53</f>
        <v>n/a</v>
      </c>
      <c r="M53" s="118" t="n">
        <f aca="false">E53</f>
        <v>0</v>
      </c>
      <c r="N53" s="118" t="str">
        <f aca="false">F53</f>
        <v>n/a</v>
      </c>
      <c r="O53" s="118" t="str">
        <f aca="false">G53</f>
        <v>n/a</v>
      </c>
      <c r="P53" s="133" t="str">
        <f aca="false">IFERROR($B$50*L53,"-")</f>
        <v>-</v>
      </c>
      <c r="Q53" s="133" t="str">
        <f aca="false">IFERROR($B$50*L53*M53,"-")</f>
        <v>-</v>
      </c>
      <c r="R53" s="133" t="str">
        <f aca="false">IFERROR($B$50*L53*M53*N53,"-")</f>
        <v>-</v>
      </c>
      <c r="T53" s="118" t="str">
        <f aca="false">L53</f>
        <v>n/a</v>
      </c>
      <c r="U53" s="118" t="n">
        <f aca="false">M53</f>
        <v>0</v>
      </c>
      <c r="V53" s="118" t="str">
        <f aca="false">N53</f>
        <v>n/a</v>
      </c>
      <c r="W53" s="118" t="str">
        <f aca="false">O53</f>
        <v>n/a</v>
      </c>
      <c r="X53" s="133" t="str">
        <f aca="false">IFERROR($B$50*T53,"-")</f>
        <v>-</v>
      </c>
      <c r="Y53" s="133" t="str">
        <f aca="false">IFERROR($B$50*T53*U53,"-")</f>
        <v>-</v>
      </c>
      <c r="Z53" s="133" t="str">
        <f aca="false">IFERROR($B$50*T53*U53*V53,"-")</f>
        <v>-</v>
      </c>
    </row>
    <row r="54" s="3" customFormat="true" ht="9.75" hidden="false" customHeight="true" outlineLevel="0" collapsed="false">
      <c r="A54" s="57" t="s">
        <v>73</v>
      </c>
      <c r="B54" s="57"/>
      <c r="C54" s="57" t="s">
        <v>281</v>
      </c>
      <c r="D54" s="118" t="n">
        <f aca="false">'Burden x Vehicle Matrix'!AF14</f>
        <v>1</v>
      </c>
      <c r="E54" s="118" t="str">
        <f aca="false">'Burden x Vehicle Matrix'!AE14</f>
        <v>n/a</v>
      </c>
      <c r="F54" s="118" t="str">
        <f aca="false">'Burden x Vehicle Matrix'!AH14</f>
        <v>n/a</v>
      </c>
      <c r="G54" s="118" t="str">
        <f aca="false">IF(OR(ISTEXT(D54),ISTEXT(E54),ISTEXT(F54)),"n/a",D54*E54*F54)</f>
        <v>n/a</v>
      </c>
      <c r="H54" s="133" t="n">
        <f aca="false">IFERROR($B$50*D54,"-")</f>
        <v>72563780</v>
      </c>
      <c r="I54" s="133" t="str">
        <f aca="false">IFERROR($B$50*D54*E54,"-")</f>
        <v>-</v>
      </c>
      <c r="J54" s="133" t="str">
        <f aca="false">IFERROR($B$50*D54*E54*F54,"-")</f>
        <v>-</v>
      </c>
      <c r="L54" s="131" t="n">
        <f aca="false">'Coverage Over Time'!G54</f>
        <v>0.98</v>
      </c>
      <c r="M54" s="131" t="n">
        <f aca="false">'Coverage Over Time'!H54</f>
        <v>0.75</v>
      </c>
      <c r="N54" s="118"/>
      <c r="O54" s="131" t="n">
        <f aca="false">'Coverage Over Time'!J54</f>
        <v>0.61</v>
      </c>
      <c r="P54" s="132" t="n">
        <f aca="false">IFERROR($B$50*L54,"-")</f>
        <v>71112504.4</v>
      </c>
      <c r="Q54" s="132" t="n">
        <f aca="false">IFERROR($B$50*L54*M54,"-")</f>
        <v>53334378.3</v>
      </c>
      <c r="R54" s="132" t="n">
        <f aca="false">IFERROR($B$50*O54,"-")</f>
        <v>44263905.8</v>
      </c>
      <c r="T54" s="131" t="n">
        <f aca="false">'Coverage Over Time'!K54</f>
        <v>0.98</v>
      </c>
      <c r="U54" s="131" t="n">
        <f aca="false">'Coverage Over Time'!L54</f>
        <v>0.75</v>
      </c>
      <c r="V54" s="118"/>
      <c r="W54" s="131" t="n">
        <f aca="false">'Coverage Over Time'!N54</f>
        <v>0.7</v>
      </c>
      <c r="X54" s="132" t="n">
        <f aca="false">IFERROR($B$50*T54,"-")</f>
        <v>71112504.4</v>
      </c>
      <c r="Y54" s="132" t="n">
        <f aca="false">IFERROR($B$50*T54*U54,"-")</f>
        <v>53334378.3</v>
      </c>
      <c r="Z54" s="132" t="n">
        <f aca="false">IFERROR($B$50*W54,"-")</f>
        <v>50794646</v>
      </c>
    </row>
    <row r="55" s="3" customFormat="true" ht="9.75" hidden="false" customHeight="true" outlineLevel="0" collapsed="false">
      <c r="A55" s="57" t="s">
        <v>73</v>
      </c>
      <c r="B55" s="57"/>
      <c r="C55" s="57" t="s">
        <v>11</v>
      </c>
      <c r="D55" s="118" t="str">
        <f aca="false">'Burden x Vehicle Matrix'!AJ14</f>
        <v>n/a</v>
      </c>
      <c r="E55" s="118" t="n">
        <f aca="false">'Burden x Vehicle Matrix'!AI14</f>
        <v>0</v>
      </c>
      <c r="F55" s="118" t="str">
        <f aca="false">'Burden x Vehicle Matrix'!AL14</f>
        <v>n/a</v>
      </c>
      <c r="G55" s="118" t="str">
        <f aca="false">IF(OR(ISTEXT(D55),ISTEXT(E55),ISTEXT(F55)),"n/a",D55*E55*F55)</f>
        <v>n/a</v>
      </c>
      <c r="H55" s="133" t="str">
        <f aca="false">IFERROR($B$50*D55,"-")</f>
        <v>-</v>
      </c>
      <c r="I55" s="133" t="str">
        <f aca="false">IFERROR($B$50*D55*E55,"-")</f>
        <v>-</v>
      </c>
      <c r="J55" s="133" t="str">
        <f aca="false">IFERROR($B$50*D55*E55*F55,"-")</f>
        <v>-</v>
      </c>
      <c r="L55" s="118" t="str">
        <f aca="false">D55</f>
        <v>n/a</v>
      </c>
      <c r="M55" s="118" t="n">
        <f aca="false">E55</f>
        <v>0</v>
      </c>
      <c r="N55" s="118" t="str">
        <f aca="false">F55</f>
        <v>n/a</v>
      </c>
      <c r="O55" s="118" t="str">
        <f aca="false">G55</f>
        <v>n/a</v>
      </c>
      <c r="P55" s="133" t="str">
        <f aca="false">IFERROR($B$50*L55,"-")</f>
        <v>-</v>
      </c>
      <c r="Q55" s="133" t="str">
        <f aca="false">IFERROR($B$50*L55*M55,"-")</f>
        <v>-</v>
      </c>
      <c r="R55" s="133" t="str">
        <f aca="false">IFERROR($B$50*L55*M55*N55,"-")</f>
        <v>-</v>
      </c>
      <c r="T55" s="118" t="str">
        <f aca="false">L55</f>
        <v>n/a</v>
      </c>
      <c r="U55" s="118" t="n">
        <f aca="false">M55</f>
        <v>0</v>
      </c>
      <c r="V55" s="118" t="str">
        <f aca="false">N55</f>
        <v>n/a</v>
      </c>
      <c r="W55" s="118" t="str">
        <f aca="false">O55</f>
        <v>n/a</v>
      </c>
      <c r="X55" s="133" t="str">
        <f aca="false">IFERROR($B$50*T55,"-")</f>
        <v>-</v>
      </c>
      <c r="Y55" s="133" t="str">
        <f aca="false">IFERROR($B$50*T55*U55,"-")</f>
        <v>-</v>
      </c>
      <c r="Z55" s="133" t="str">
        <f aca="false">IFERROR($B$50*T55*U55*V55,"-")</f>
        <v>-</v>
      </c>
    </row>
    <row r="57" customFormat="false" ht="13.5" hidden="false" customHeight="true" outlineLevel="0" collapsed="false">
      <c r="A57" s="57" t="s">
        <v>282</v>
      </c>
      <c r="B57" s="135"/>
    </row>
  </sheetData>
  <mergeCells count="3">
    <mergeCell ref="D6:J6"/>
    <mergeCell ref="L6:R6"/>
    <mergeCell ref="T6:Z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136" width="13"/>
    <col collapsed="false" customWidth="true" hidden="false" outlineLevel="0" max="3" min="2" style="1" width="12"/>
    <col collapsed="false" customWidth="true" hidden="false" outlineLevel="0" max="4" min="4" style="137" width="12"/>
    <col collapsed="false" customWidth="true" hidden="false" outlineLevel="0" max="12" min="5" style="1" width="8.29"/>
  </cols>
  <sheetData>
    <row r="1" customFormat="false" ht="10.5" hidden="false" customHeight="true" outlineLevel="0" collapsed="false">
      <c r="A1" s="138" t="s">
        <v>283</v>
      </c>
      <c r="B1" s="138"/>
      <c r="C1" s="138"/>
      <c r="D1" s="138"/>
      <c r="E1" s="138"/>
      <c r="F1" s="138"/>
      <c r="G1" s="138"/>
      <c r="H1" s="138"/>
      <c r="I1" s="138"/>
      <c r="J1" s="138"/>
      <c r="K1" s="138"/>
      <c r="L1" s="138"/>
    </row>
    <row r="3" customFormat="false" ht="9.75" hidden="false" customHeight="true" outlineLevel="0" collapsed="false">
      <c r="A3" s="139" t="s">
        <v>284</v>
      </c>
      <c r="B3" s="139"/>
      <c r="C3" s="139"/>
      <c r="D3" s="139"/>
      <c r="E3" s="139"/>
      <c r="F3" s="139"/>
      <c r="G3" s="139"/>
      <c r="H3" s="139"/>
      <c r="I3" s="139"/>
      <c r="J3" s="139"/>
      <c r="K3" s="139"/>
      <c r="L3" s="139"/>
    </row>
    <row r="4" customFormat="false" ht="19.5" hidden="false" customHeight="true" outlineLevel="0" collapsed="false">
      <c r="A4" s="140" t="s">
        <v>285</v>
      </c>
      <c r="B4" s="140"/>
      <c r="C4" s="140"/>
      <c r="D4" s="140"/>
      <c r="E4" s="140"/>
      <c r="F4" s="140"/>
      <c r="G4" s="140"/>
      <c r="H4" s="140"/>
      <c r="I4" s="140"/>
      <c r="J4" s="140"/>
      <c r="K4" s="140"/>
      <c r="L4" s="140"/>
    </row>
    <row r="5" customFormat="false" ht="9.75" hidden="false" customHeight="true" outlineLevel="0" collapsed="false">
      <c r="A5" s="140"/>
      <c r="B5" s="140"/>
      <c r="C5" s="140"/>
      <c r="D5" s="140"/>
      <c r="E5" s="140"/>
      <c r="F5" s="140"/>
      <c r="G5" s="140"/>
      <c r="H5" s="140"/>
      <c r="I5" s="140"/>
      <c r="J5" s="140"/>
      <c r="K5" s="140"/>
      <c r="L5" s="140"/>
    </row>
    <row r="6" customFormat="false" ht="9.75" hidden="false" customHeight="true" outlineLevel="0" collapsed="false">
      <c r="A6" s="141" t="s">
        <v>286</v>
      </c>
      <c r="B6" s="141"/>
      <c r="C6" s="141"/>
      <c r="D6" s="141"/>
      <c r="E6" s="141"/>
      <c r="F6" s="141"/>
      <c r="G6" s="141"/>
      <c r="H6" s="141"/>
      <c r="I6" s="141"/>
      <c r="J6" s="141"/>
      <c r="K6" s="141"/>
      <c r="L6" s="141"/>
    </row>
    <row r="7" customFormat="false" ht="9.75" hidden="false" customHeight="true" outlineLevel="0" collapsed="false">
      <c r="A7" s="141" t="s">
        <v>287</v>
      </c>
      <c r="B7" s="141"/>
      <c r="C7" s="141"/>
      <c r="D7" s="141"/>
      <c r="E7" s="141"/>
      <c r="F7" s="141"/>
      <c r="G7" s="141"/>
      <c r="H7" s="141"/>
      <c r="I7" s="141"/>
      <c r="J7" s="141"/>
      <c r="K7" s="141"/>
      <c r="L7" s="141"/>
    </row>
    <row r="8" customFormat="false" ht="30" hidden="false" customHeight="true" outlineLevel="0" collapsed="false">
      <c r="A8" s="140" t="s">
        <v>288</v>
      </c>
      <c r="B8" s="140"/>
      <c r="C8" s="140"/>
      <c r="D8" s="140"/>
      <c r="E8" s="140"/>
      <c r="F8" s="140"/>
      <c r="G8" s="140"/>
      <c r="H8" s="140"/>
      <c r="I8" s="140"/>
      <c r="J8" s="140"/>
      <c r="K8" s="140"/>
      <c r="L8" s="140"/>
    </row>
    <row r="9" customFormat="false" ht="31.5" hidden="false" customHeight="true" outlineLevel="0" collapsed="false">
      <c r="A9" s="140" t="s">
        <v>289</v>
      </c>
      <c r="B9" s="140"/>
      <c r="C9" s="140"/>
      <c r="D9" s="140"/>
      <c r="E9" s="140"/>
      <c r="F9" s="140"/>
      <c r="G9" s="140"/>
      <c r="H9" s="140"/>
      <c r="I9" s="140"/>
      <c r="J9" s="140"/>
      <c r="K9" s="140"/>
      <c r="L9" s="140"/>
    </row>
    <row r="10" customFormat="false" ht="9.75" hidden="false" customHeight="true" outlineLevel="0" collapsed="false">
      <c r="A10" s="140"/>
      <c r="B10" s="140"/>
      <c r="C10" s="140"/>
      <c r="D10" s="140"/>
      <c r="E10" s="140"/>
      <c r="F10" s="140"/>
      <c r="G10" s="140"/>
      <c r="H10" s="140"/>
      <c r="I10" s="140"/>
      <c r="J10" s="140"/>
      <c r="K10" s="140"/>
      <c r="L10" s="140"/>
    </row>
    <row r="12" s="145" customFormat="true" ht="6.75" hidden="false" customHeight="true" outlineLevel="0" collapsed="false">
      <c r="A12" s="142" t="s">
        <v>13</v>
      </c>
      <c r="B12" s="143" t="s">
        <v>290</v>
      </c>
      <c r="C12" s="143" t="s">
        <v>259</v>
      </c>
      <c r="D12" s="144" t="s">
        <v>291</v>
      </c>
      <c r="E12" s="143" t="s">
        <v>292</v>
      </c>
      <c r="F12" s="143"/>
      <c r="G12" s="143"/>
      <c r="H12" s="143"/>
      <c r="I12" s="143"/>
      <c r="J12" s="143"/>
      <c r="K12" s="143"/>
      <c r="L12" s="143"/>
    </row>
    <row r="13" s="145" customFormat="true" ht="13.5" hidden="false" customHeight="true" outlineLevel="0" collapsed="false">
      <c r="A13" s="146"/>
      <c r="B13" s="144"/>
      <c r="C13" s="144"/>
      <c r="D13" s="144"/>
      <c r="E13" s="144" t="s">
        <v>169</v>
      </c>
      <c r="F13" s="144" t="s">
        <v>184</v>
      </c>
      <c r="G13" s="144" t="s">
        <v>293</v>
      </c>
      <c r="H13" s="144" t="s">
        <v>294</v>
      </c>
      <c r="I13" s="144" t="s">
        <v>295</v>
      </c>
      <c r="J13" s="144" t="s">
        <v>296</v>
      </c>
      <c r="K13" s="144" t="s">
        <v>297</v>
      </c>
      <c r="L13" s="144" t="s">
        <v>298</v>
      </c>
    </row>
    <row r="14" s="145" customFormat="true" ht="6.75" hidden="false" customHeight="true" outlineLevel="0" collapsed="false">
      <c r="A14" s="147" t="s">
        <v>299</v>
      </c>
      <c r="B14" s="148" t="s">
        <v>17</v>
      </c>
      <c r="C14" s="148" t="s">
        <v>300</v>
      </c>
      <c r="D14" s="148"/>
      <c r="E14" s="149" t="n">
        <v>7.8</v>
      </c>
      <c r="F14" s="149" t="n">
        <v>7.8</v>
      </c>
      <c r="G14" s="149" t="n">
        <v>7.8</v>
      </c>
      <c r="H14" s="149" t="n">
        <v>7.8</v>
      </c>
      <c r="I14" s="149" t="n">
        <v>7.8</v>
      </c>
      <c r="J14" s="149" t="n">
        <v>7.8</v>
      </c>
      <c r="K14" s="149" t="n">
        <v>7.8</v>
      </c>
      <c r="L14" s="149" t="n">
        <v>7.8</v>
      </c>
    </row>
    <row r="15" s="145" customFormat="true" ht="6.75" hidden="false" customHeight="true" outlineLevel="0" collapsed="false">
      <c r="A15" s="147"/>
      <c r="B15" s="147"/>
      <c r="C15" s="147"/>
      <c r="D15" s="150" t="s">
        <v>301</v>
      </c>
      <c r="E15" s="149" t="n">
        <f aca="false">E14*45</f>
        <v>351</v>
      </c>
      <c r="F15" s="149" t="n">
        <f aca="false">F14*45</f>
        <v>351</v>
      </c>
      <c r="G15" s="149" t="n">
        <f aca="false">G14*45</f>
        <v>351</v>
      </c>
      <c r="H15" s="149" t="n">
        <f aca="false">H14*45</f>
        <v>351</v>
      </c>
      <c r="I15" s="149" t="n">
        <f aca="false">I14*45</f>
        <v>351</v>
      </c>
      <c r="J15" s="149" t="n">
        <f aca="false">J14*45</f>
        <v>351</v>
      </c>
      <c r="K15" s="149" t="n">
        <f aca="false">K14*45</f>
        <v>351</v>
      </c>
      <c r="L15" s="149" t="n">
        <f aca="false">L14*45</f>
        <v>351</v>
      </c>
    </row>
    <row r="16" s="145" customFormat="true" ht="6.75" hidden="false" customHeight="true" outlineLevel="0" collapsed="false">
      <c r="A16" s="147" t="s">
        <v>302</v>
      </c>
      <c r="B16" s="148" t="s">
        <v>16</v>
      </c>
      <c r="C16" s="148" t="s">
        <v>300</v>
      </c>
      <c r="D16" s="150"/>
      <c r="E16" s="149" t="n">
        <v>6.6</v>
      </c>
      <c r="F16" s="149" t="n">
        <v>6.6</v>
      </c>
      <c r="G16" s="149" t="n">
        <v>6.6</v>
      </c>
      <c r="H16" s="149" t="n">
        <v>6.6</v>
      </c>
      <c r="I16" s="149" t="n">
        <v>6.6</v>
      </c>
      <c r="J16" s="149" t="n">
        <v>6.6</v>
      </c>
      <c r="K16" s="149" t="n">
        <v>6.6</v>
      </c>
      <c r="L16" s="149" t="n">
        <v>6.6</v>
      </c>
    </row>
    <row r="17" s="145" customFormat="true" ht="7.5" hidden="false" customHeight="true" outlineLevel="0" collapsed="false">
      <c r="A17" s="147"/>
      <c r="B17" s="147"/>
      <c r="C17" s="147"/>
      <c r="D17" s="150" t="s">
        <v>303</v>
      </c>
      <c r="E17" s="149" t="n">
        <f aca="false">E16*0.975</f>
        <v>6.435</v>
      </c>
      <c r="F17" s="149" t="n">
        <f aca="false">F16*0.975</f>
        <v>6.435</v>
      </c>
      <c r="G17" s="149" t="n">
        <f aca="false">G16*0.975</f>
        <v>6.435</v>
      </c>
      <c r="H17" s="149" t="n">
        <f aca="false">H16*0.975</f>
        <v>6.435</v>
      </c>
      <c r="I17" s="149" t="n">
        <f aca="false">I16*0.975</f>
        <v>6.435</v>
      </c>
      <c r="J17" s="149" t="n">
        <f aca="false">J16*0.975</f>
        <v>6.435</v>
      </c>
      <c r="K17" s="149" t="n">
        <f aca="false">K16*0.975</f>
        <v>6.435</v>
      </c>
      <c r="L17" s="149" t="n">
        <f aca="false">L16*0.975</f>
        <v>6.435</v>
      </c>
    </row>
    <row r="18" s="145" customFormat="true" ht="6.75" hidden="false" customHeight="true" outlineLevel="0" collapsed="false">
      <c r="A18" s="147" t="s">
        <v>304</v>
      </c>
      <c r="B18" s="148" t="s">
        <v>17</v>
      </c>
      <c r="C18" s="148" t="s">
        <v>300</v>
      </c>
      <c r="D18" s="150"/>
      <c r="E18" s="151" t="n">
        <v>3.9</v>
      </c>
      <c r="F18" s="151" t="n">
        <v>3.5</v>
      </c>
      <c r="G18" s="151" t="n">
        <v>4.2</v>
      </c>
      <c r="H18" s="151" t="n">
        <v>3.8</v>
      </c>
      <c r="I18" s="151" t="n">
        <v>4</v>
      </c>
      <c r="J18" s="151" t="n">
        <v>3.8</v>
      </c>
      <c r="K18" s="151" t="n">
        <v>3.7</v>
      </c>
      <c r="L18" s="151" t="n">
        <v>4.2</v>
      </c>
    </row>
    <row r="19" s="145" customFormat="true" ht="6.75" hidden="false" customHeight="true" outlineLevel="0" collapsed="false">
      <c r="A19" s="147"/>
      <c r="B19" s="148"/>
      <c r="C19" s="148"/>
      <c r="D19" s="150" t="s">
        <v>305</v>
      </c>
      <c r="E19" s="151" t="n">
        <f aca="false">E18*30</f>
        <v>117</v>
      </c>
      <c r="F19" s="151" t="n">
        <f aca="false">F18*30</f>
        <v>105</v>
      </c>
      <c r="G19" s="151" t="n">
        <f aca="false">G18*30</f>
        <v>126</v>
      </c>
      <c r="H19" s="151" t="n">
        <f aca="false">H18*30</f>
        <v>114</v>
      </c>
      <c r="I19" s="151" t="n">
        <f aca="false">I18*30</f>
        <v>120</v>
      </c>
      <c r="J19" s="151" t="n">
        <f aca="false">J18*30</f>
        <v>114</v>
      </c>
      <c r="K19" s="151" t="n">
        <f aca="false">K18*30</f>
        <v>111</v>
      </c>
      <c r="L19" s="151" t="n">
        <f aca="false">L18*30</f>
        <v>126</v>
      </c>
    </row>
    <row r="20" s="145" customFormat="true" ht="6.75" hidden="false" customHeight="true" outlineLevel="0" collapsed="false">
      <c r="A20" s="147"/>
      <c r="B20" s="148" t="s">
        <v>17</v>
      </c>
      <c r="C20" s="148" t="s">
        <v>11</v>
      </c>
      <c r="D20" s="150"/>
      <c r="E20" s="151" t="n">
        <v>6.3</v>
      </c>
      <c r="F20" s="151" t="n">
        <v>5.3</v>
      </c>
      <c r="G20" s="151" t="n">
        <v>7.1</v>
      </c>
      <c r="H20" s="151" t="n">
        <v>4.6</v>
      </c>
      <c r="I20" s="151" t="n">
        <v>8</v>
      </c>
      <c r="J20" s="151" t="n">
        <v>5.9</v>
      </c>
      <c r="K20" s="151" t="n">
        <v>4.9</v>
      </c>
      <c r="L20" s="151" t="n">
        <v>8.4</v>
      </c>
    </row>
    <row r="21" s="145" customFormat="true" ht="6.75" hidden="false" customHeight="true" outlineLevel="0" collapsed="false">
      <c r="A21" s="147"/>
      <c r="B21" s="148"/>
      <c r="C21" s="148"/>
      <c r="D21" s="150" t="s">
        <v>306</v>
      </c>
      <c r="E21" s="151" t="n">
        <f aca="false">E20*24</f>
        <v>151.2</v>
      </c>
      <c r="F21" s="151" t="n">
        <f aca="false">F20*24</f>
        <v>127.2</v>
      </c>
      <c r="G21" s="151" t="n">
        <f aca="false">G20*24</f>
        <v>170.4</v>
      </c>
      <c r="H21" s="151" t="n">
        <f aca="false">H20*24</f>
        <v>110.4</v>
      </c>
      <c r="I21" s="151" t="n">
        <f aca="false">I20*24</f>
        <v>192</v>
      </c>
      <c r="J21" s="151" t="n">
        <f aca="false">J20*24</f>
        <v>141.6</v>
      </c>
      <c r="K21" s="151" t="n">
        <f aca="false">K20*24</f>
        <v>117.6</v>
      </c>
      <c r="L21" s="151" t="n">
        <f aca="false">L20*24</f>
        <v>201.6</v>
      </c>
    </row>
    <row r="22" s="145" customFormat="true" ht="6.75" hidden="false" customHeight="true" outlineLevel="0" collapsed="false">
      <c r="A22" s="147"/>
      <c r="B22" s="148" t="s">
        <v>16</v>
      </c>
      <c r="C22" s="148" t="s">
        <v>11</v>
      </c>
      <c r="D22" s="150"/>
      <c r="E22" s="151" t="n">
        <v>6.3</v>
      </c>
      <c r="F22" s="151" t="n">
        <v>5.3</v>
      </c>
      <c r="G22" s="151" t="n">
        <v>7.1</v>
      </c>
      <c r="H22" s="151" t="n">
        <v>4.6</v>
      </c>
      <c r="I22" s="151" t="n">
        <v>8</v>
      </c>
      <c r="J22" s="151" t="n">
        <v>5.9</v>
      </c>
      <c r="K22" s="151" t="n">
        <v>4.9</v>
      </c>
      <c r="L22" s="151" t="n">
        <v>8.4</v>
      </c>
    </row>
    <row r="23" s="145" customFormat="true" ht="6.75" hidden="false" customHeight="true" outlineLevel="0" collapsed="false">
      <c r="A23" s="147"/>
      <c r="B23" s="147"/>
      <c r="C23" s="147"/>
      <c r="D23" s="150" t="s">
        <v>307</v>
      </c>
      <c r="E23" s="151" t="n">
        <f aca="false">E22*1.32</f>
        <v>8.316</v>
      </c>
      <c r="F23" s="151" t="n">
        <f aca="false">F22*1.32</f>
        <v>6.996</v>
      </c>
      <c r="G23" s="151" t="n">
        <f aca="false">G22*1.32</f>
        <v>9.372</v>
      </c>
      <c r="H23" s="151" t="n">
        <f aca="false">H22*1.32</f>
        <v>6.072</v>
      </c>
      <c r="I23" s="151" t="n">
        <f aca="false">I22*1.32</f>
        <v>10.56</v>
      </c>
      <c r="J23" s="151" t="n">
        <f aca="false">J22*1.32</f>
        <v>7.788</v>
      </c>
      <c r="K23" s="151" t="n">
        <f aca="false">K22*1.32</f>
        <v>6.468</v>
      </c>
      <c r="L23" s="151" t="n">
        <f aca="false">L22*1.32</f>
        <v>11.088</v>
      </c>
    </row>
    <row r="24" s="145" customFormat="true" ht="6.75" hidden="false" customHeight="true" outlineLevel="0" collapsed="false">
      <c r="A24" s="147" t="s">
        <v>308</v>
      </c>
      <c r="B24" s="148" t="s">
        <v>17</v>
      </c>
      <c r="C24" s="148" t="s">
        <v>300</v>
      </c>
      <c r="D24" s="150"/>
      <c r="E24" s="149" t="n">
        <v>7</v>
      </c>
      <c r="F24" s="149" t="n">
        <v>7.1</v>
      </c>
      <c r="G24" s="149" t="n">
        <v>6.8</v>
      </c>
      <c r="H24" s="149" t="n">
        <v>7</v>
      </c>
      <c r="I24" s="149" t="n">
        <v>7</v>
      </c>
      <c r="J24" s="149" t="n">
        <v>7</v>
      </c>
      <c r="K24" s="149" t="n">
        <v>7</v>
      </c>
      <c r="L24" s="149" t="n">
        <v>7</v>
      </c>
    </row>
    <row r="25" s="145" customFormat="true" ht="6.75" hidden="false" customHeight="true" outlineLevel="0" collapsed="false">
      <c r="A25" s="147"/>
      <c r="B25" s="147"/>
      <c r="C25" s="147"/>
      <c r="D25" s="150" t="s">
        <v>305</v>
      </c>
      <c r="E25" s="149" t="n">
        <f aca="false">E24*30</f>
        <v>210</v>
      </c>
      <c r="F25" s="149" t="n">
        <f aca="false">F24*30</f>
        <v>213</v>
      </c>
      <c r="G25" s="149" t="n">
        <f aca="false">G24*30</f>
        <v>204</v>
      </c>
      <c r="H25" s="149" t="n">
        <f aca="false">H24*30</f>
        <v>210</v>
      </c>
      <c r="I25" s="149" t="n">
        <f aca="false">I24*30</f>
        <v>210</v>
      </c>
      <c r="J25" s="149" t="n">
        <f aca="false">J24*30</f>
        <v>210</v>
      </c>
      <c r="K25" s="149" t="n">
        <f aca="false">K24*30</f>
        <v>210</v>
      </c>
      <c r="L25" s="149" t="n">
        <f aca="false">L24*30</f>
        <v>210</v>
      </c>
    </row>
    <row r="26" customFormat="false" ht="9.75" hidden="false" customHeight="true" outlineLevel="0" collapsed="false">
      <c r="A26" s="152"/>
      <c r="B26" s="153"/>
      <c r="C26" s="153"/>
      <c r="D26" s="154"/>
      <c r="E26" s="153"/>
      <c r="F26" s="153"/>
      <c r="G26" s="153"/>
      <c r="H26" s="153"/>
      <c r="I26" s="153"/>
      <c r="J26" s="153"/>
      <c r="K26" s="153"/>
      <c r="L26" s="153"/>
    </row>
    <row r="27" customFormat="false" ht="9.75" hidden="false" customHeight="true" outlineLevel="0" collapsed="false">
      <c r="A27" s="5" t="s">
        <v>309</v>
      </c>
      <c r="D27" s="155"/>
    </row>
    <row r="28" customFormat="false" ht="9.75" hidden="false" customHeight="true" outlineLevel="0" collapsed="false">
      <c r="A28" s="5" t="s">
        <v>310</v>
      </c>
      <c r="D28" s="155"/>
    </row>
    <row r="29" customFormat="false" ht="9.75" hidden="false" customHeight="true" outlineLevel="0" collapsed="false">
      <c r="A29" s="5" t="s">
        <v>311</v>
      </c>
    </row>
    <row r="30" customFormat="false" ht="9.75" hidden="false" customHeight="true" outlineLevel="0" collapsed="false">
      <c r="A30" s="5" t="s">
        <v>312</v>
      </c>
    </row>
    <row r="31" customFormat="false" ht="9.75" hidden="false" customHeight="true" outlineLevel="0" collapsed="false">
      <c r="A31" s="5" t="s">
        <v>313</v>
      </c>
    </row>
  </sheetData>
  <mergeCells count="26">
    <mergeCell ref="A1:L1"/>
    <mergeCell ref="A3:L3"/>
    <mergeCell ref="A4:L4"/>
    <mergeCell ref="A5:L5"/>
    <mergeCell ref="A6:L6"/>
    <mergeCell ref="A7:L7"/>
    <mergeCell ref="A8:L8"/>
    <mergeCell ref="A9:L9"/>
    <mergeCell ref="A10:L10"/>
    <mergeCell ref="E12:L12"/>
    <mergeCell ref="A14:A15"/>
    <mergeCell ref="B14:B15"/>
    <mergeCell ref="C14:C15"/>
    <mergeCell ref="A16:A17"/>
    <mergeCell ref="B16:B17"/>
    <mergeCell ref="C16:C17"/>
    <mergeCell ref="A18:A23"/>
    <mergeCell ref="B18:B19"/>
    <mergeCell ref="C18:C19"/>
    <mergeCell ref="B20:B21"/>
    <mergeCell ref="C20:C21"/>
    <mergeCell ref="B22:B23"/>
    <mergeCell ref="C22:C23"/>
    <mergeCell ref="A24:A25"/>
    <mergeCell ref="B24:B25"/>
    <mergeCell ref="C24:C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2026-09-16T23:58:34Z</dcterms:created>
  <dc:creator>Jonathan Gorstein</dc:creator>
  <dc:description/>
  <dc:language>en-US</dc:language>
  <cp:lastModifiedBy/>
  <dcterms:modified xsi:type="dcterms:W3CDTF">2026-09-30T21:52:33Z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0x010100EA88DACD1B98A44BA6E4BB274FF5ED55</vt:lpwstr>
  </property>
  <property fmtid="{D5CDD505-2E9C-101B-9397-08002B2CF9AE}" pid="4" name="TriggerFlowInfo">
    <vt:lpwstr/>
  </property>
  <property fmtid="{D5CDD505-2E9C-101B-9397-08002B2CF9AE}" pid="5" name="_ExtendedDescription">
    <vt:lpwstr/>
  </property>
  <property fmtid="{D5CDD505-2E9C-101B-9397-08002B2CF9AE}" pid="6" name="_activity">
    <vt:lpwstr>{"FileActivityType":"9","FileActivityTimeStamp":"2026-09-27T05:16:31.270Z","FileActivityUsersOnPage":[{"DisplayName":"Kathy Banke","Id":"kathy.banke@gatesfoundation.org"},{"DisplayName":"Jonathan GORSTEIN","Id":"jonathan.gorstein@gatesfoundation.org"},{"DisplayName":"Parvathy Ramanathan","Id":"parvathy.ramanathan@gatesfoundation.org"},{"DisplayName":"Deon Groth","Id":"deon.groth@gatesfoundation.org"},{"DisplayName":"Sri Kameswaran","Id":"sri.kameswaran@gatesfoundation.org"},{"DisplayName":"Kathy Banke","Id":"kathy.banke@gatesfoundation.org"}],"FileActivityNavigationId":null}</vt:lpwstr>
  </property>
</Properties>
</file>