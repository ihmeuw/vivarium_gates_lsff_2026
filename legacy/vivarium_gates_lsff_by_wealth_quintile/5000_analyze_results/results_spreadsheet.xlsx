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:\src\vivarium_gates_lsff_by_wealth_quintile\5000_analyze_results\"/>
    </mc:Choice>
  </mc:AlternateContent>
  <xr:revisionPtr revIDLastSave="0" documentId="13_ncr:1_{B1A4F88F-C7BB-4238-AE23-AF5B7E856C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del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C36" i="1"/>
  <c r="F35" i="1"/>
  <c r="C35" i="1"/>
  <c r="F34" i="1"/>
  <c r="C34" i="1" s="1"/>
  <c r="F33" i="1"/>
  <c r="C33" i="1" s="1"/>
  <c r="F32" i="1"/>
  <c r="F30" i="1" s="1"/>
  <c r="C32" i="1"/>
  <c r="C30" i="1" s="1"/>
  <c r="K30" i="1"/>
  <c r="I30" i="1"/>
  <c r="G30" i="1"/>
  <c r="D30" i="1"/>
  <c r="F27" i="1"/>
  <c r="C27" i="1"/>
  <c r="F26" i="1"/>
  <c r="C26" i="1"/>
  <c r="F25" i="1"/>
  <c r="C25" i="1" s="1"/>
  <c r="F24" i="1"/>
  <c r="C24" i="1" s="1"/>
  <c r="F23" i="1"/>
  <c r="F21" i="1" s="1"/>
  <c r="C23" i="1"/>
  <c r="K21" i="1"/>
  <c r="I21" i="1"/>
  <c r="G21" i="1"/>
  <c r="D21" i="1"/>
  <c r="F18" i="1"/>
  <c r="C18" i="1"/>
  <c r="F17" i="1"/>
  <c r="C17" i="1"/>
  <c r="F16" i="1"/>
  <c r="C16" i="1" s="1"/>
  <c r="F15" i="1"/>
  <c r="C15" i="1" s="1"/>
  <c r="F14" i="1"/>
  <c r="F12" i="1" s="1"/>
  <c r="C14" i="1"/>
  <c r="C12" i="1" s="1"/>
  <c r="K12" i="1"/>
  <c r="I12" i="1"/>
  <c r="G12" i="1"/>
  <c r="D12" i="1"/>
  <c r="F9" i="1"/>
  <c r="C9" i="1"/>
  <c r="F8" i="1"/>
  <c r="C8" i="1"/>
  <c r="F7" i="1"/>
  <c r="C7" i="1" s="1"/>
  <c r="F6" i="1"/>
  <c r="C6" i="1" s="1"/>
  <c r="F5" i="1"/>
  <c r="F3" i="1" s="1"/>
  <c r="C5" i="1"/>
  <c r="K3" i="1"/>
  <c r="I3" i="1"/>
  <c r="G3" i="1"/>
  <c r="D3" i="1"/>
  <c r="C3" i="1" l="1"/>
  <c r="C21" i="1"/>
</calcChain>
</file>

<file path=xl/sharedStrings.xml><?xml version="1.0" encoding="utf-8"?>
<sst xmlns="http://schemas.openxmlformats.org/spreadsheetml/2006/main" count="42" uniqueCount="21">
  <si>
    <t>DALYs Averted by Fortification (1000s)</t>
  </si>
  <si>
    <t>NTD DALYs Averted by Folate Fortification (1000s)</t>
  </si>
  <si>
    <t>NTD DALYs Averted by Folate Fortification (%)</t>
  </si>
  <si>
    <t>DALYs Averted by Iron Fortification (1000s)</t>
  </si>
  <si>
    <t>Anemia DALYs Averted by Iron Fortification (1000s)</t>
  </si>
  <si>
    <t>Anemia DALYs Averted by Iron Fortification (%)</t>
  </si>
  <si>
    <t>Neonatal DALYs Attributable to Low Birth Weight/Short Gestation Averted by Iron Fortification (1000s)</t>
  </si>
  <si>
    <t>Neonatal DALYs Attributable to Low Birth Weight/Short Gestation Averted by Iron Fortification (%)</t>
  </si>
  <si>
    <t>Maternal Disorders DALYs Averted by Iron Fortification (1000s)</t>
  </si>
  <si>
    <t>Maternal Disorders DALYs Averted by Iron Fortification (%)</t>
  </si>
  <si>
    <t>India -- Rice</t>
  </si>
  <si>
    <t>National</t>
  </si>
  <si>
    <t>Wealth quintile</t>
  </si>
  <si>
    <t>Poorest</t>
  </si>
  <si>
    <t>Second</t>
  </si>
  <si>
    <t>Third</t>
  </si>
  <si>
    <t>Fourth</t>
  </si>
  <si>
    <t>Wealthiest</t>
  </si>
  <si>
    <t>Nigeria -- Bouillon</t>
  </si>
  <si>
    <t>Ethiopia -- Salt -- 25% NRV scenario</t>
  </si>
  <si>
    <t>Ethiopia -- Salt -- 100% NRV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</si>
</sst>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;\-0.0%;&quot;-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tabSelected="1" workbookViewId="0"/>
  </sheetViews>
  <sheetFormatPr defaultRowHeight="15" x14ac:dyDescent="0.25"/>
  <cols>
    <col min="1" max="1" width="1.7109375" customWidth="1"/>
    <col min="2" max="2" width="10.7109375" customWidth="1"/>
    <col min="3" max="12" width="15.7109375" customWidth="1"/>
  </cols>
  <sheetData>
    <row r="1" spans="1:12" ht="120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x14ac:dyDescent="0.25">
      <c r="A2" s="2" t="s">
        <v>10</v>
      </c>
    </row>
    <row r="3" spans="1:12" x14ac:dyDescent="0.25">
      <c r="B3" t="s">
        <v>11</v>
      </c>
      <c r="C3" s="3">
        <f>C5+C6+C7+C8+C9</f>
        <v>3626.6075340211246</v>
      </c>
      <c r="D3" s="3">
        <f>D5+D6+D7+D8+D9</f>
        <v>41.347227254883727</v>
      </c>
      <c r="E3" s="4">
        <v>2.7607394928801481E-2</v>
      </c>
      <c r="F3" s="3">
        <f>F5+F6+F7+F8+F9</f>
        <v>3585.2603067662408</v>
      </c>
      <c r="G3" s="3">
        <f>G5+G6+G7+G8+G9</f>
        <v>671.96605674618388</v>
      </c>
      <c r="H3" s="4">
        <v>3.8062001726750977E-2</v>
      </c>
      <c r="I3" s="3">
        <f>I5+I6+I7+I8+I9</f>
        <v>2913.294250020057</v>
      </c>
      <c r="J3" s="4">
        <v>8.0541653542300536E-3</v>
      </c>
      <c r="K3" s="3">
        <f>K5+K6+K7+K8+K9</f>
        <v>5.1172596253403757</v>
      </c>
      <c r="L3" s="4">
        <v>4.7905272880520329E-3</v>
      </c>
    </row>
    <row r="4" spans="1:12" x14ac:dyDescent="0.25">
      <c r="A4" s="5" t="s">
        <v>12</v>
      </c>
    </row>
    <row r="5" spans="1:12" x14ac:dyDescent="0.25">
      <c r="B5" t="s">
        <v>13</v>
      </c>
      <c r="C5" s="3">
        <f>F5+D5</f>
        <v>938.27260242167733</v>
      </c>
      <c r="D5" s="3">
        <v>10.536723408342921</v>
      </c>
      <c r="E5" s="4">
        <v>2.8572000929577759E-2</v>
      </c>
      <c r="F5" s="3">
        <f>G5+I5</f>
        <v>927.7358790133344</v>
      </c>
      <c r="G5" s="3">
        <v>123.1706349216895</v>
      </c>
      <c r="H5" s="4">
        <v>3.0056223013447059E-2</v>
      </c>
      <c r="I5" s="3">
        <v>804.5652440916449</v>
      </c>
      <c r="J5" s="4">
        <v>8.7631649760708166E-3</v>
      </c>
      <c r="K5" s="3">
        <v>1.357137736081961</v>
      </c>
      <c r="L5" s="4">
        <v>4.8526837316122664E-3</v>
      </c>
    </row>
    <row r="6" spans="1:12" x14ac:dyDescent="0.25">
      <c r="B6" t="s">
        <v>14</v>
      </c>
      <c r="C6" s="3">
        <f>F6+D6</f>
        <v>638.72802939853068</v>
      </c>
      <c r="D6" s="3">
        <v>7.881771382752806</v>
      </c>
      <c r="E6" s="4">
        <v>2.4193776222757628E-2</v>
      </c>
      <c r="F6" s="3">
        <f>G6+I6</f>
        <v>630.84625801577783</v>
      </c>
      <c r="G6" s="3">
        <v>117.541167481523</v>
      </c>
      <c r="H6" s="4">
        <v>3.1903841948102293E-2</v>
      </c>
      <c r="I6" s="3">
        <v>513.30509053425487</v>
      </c>
      <c r="J6" s="4">
        <v>6.6506470100665032E-3</v>
      </c>
      <c r="K6" s="3">
        <v>1.8889687170986731</v>
      </c>
      <c r="L6" s="4">
        <v>8.3776900787975485E-3</v>
      </c>
    </row>
    <row r="7" spans="1:12" x14ac:dyDescent="0.25">
      <c r="B7" t="s">
        <v>15</v>
      </c>
      <c r="C7" s="3">
        <f>F7+D7</f>
        <v>670.20886940811306</v>
      </c>
      <c r="D7" s="3">
        <v>7.6917114614903106</v>
      </c>
      <c r="E7" s="4">
        <v>2.6299055530319849E-2</v>
      </c>
      <c r="F7" s="3">
        <f>G7+I7</f>
        <v>662.51715794662277</v>
      </c>
      <c r="G7" s="3">
        <v>128.38967791565409</v>
      </c>
      <c r="H7" s="4">
        <v>3.5536823310282219E-2</v>
      </c>
      <c r="I7" s="3">
        <v>534.12748003096874</v>
      </c>
      <c r="J7" s="4">
        <v>7.8621371879881718E-3</v>
      </c>
      <c r="K7" s="3">
        <v>0.48842696090441312</v>
      </c>
      <c r="L7" s="4">
        <v>2.502515908275907E-3</v>
      </c>
    </row>
    <row r="8" spans="1:12" x14ac:dyDescent="0.25">
      <c r="B8" t="s">
        <v>16</v>
      </c>
      <c r="C8" s="3">
        <f>F8+D8</f>
        <v>510.06544195521502</v>
      </c>
      <c r="D8" s="3">
        <v>7.9877161787959627</v>
      </c>
      <c r="E8" s="4">
        <v>2.8963483708552298E-2</v>
      </c>
      <c r="F8" s="3">
        <f>G8+I8</f>
        <v>502.07772577641907</v>
      </c>
      <c r="G8" s="3">
        <v>134.41814817722889</v>
      </c>
      <c r="H8" s="4">
        <v>4.0576039986541849E-2</v>
      </c>
      <c r="I8" s="3">
        <v>367.65957759919019</v>
      </c>
      <c r="J8" s="4">
        <v>5.8198039987002641E-3</v>
      </c>
      <c r="K8" s="3">
        <v>1.3827262112553289</v>
      </c>
      <c r="L8" s="4">
        <v>7.2123151079707994E-3</v>
      </c>
    </row>
    <row r="9" spans="1:12" x14ac:dyDescent="0.25">
      <c r="B9" t="s">
        <v>17</v>
      </c>
      <c r="C9" s="3">
        <f>F9+D9</f>
        <v>869.33259083758833</v>
      </c>
      <c r="D9" s="3">
        <v>7.2493048235017339</v>
      </c>
      <c r="E9" s="4">
        <v>3.086450328742673E-2</v>
      </c>
      <c r="F9" s="3">
        <f>G9+I9</f>
        <v>862.08328601408664</v>
      </c>
      <c r="G9" s="3">
        <v>168.44642825008839</v>
      </c>
      <c r="H9" s="4">
        <v>5.7165174315865569E-2</v>
      </c>
      <c r="I9" s="3">
        <v>693.63685776399825</v>
      </c>
      <c r="J9" s="4">
        <v>1.125873240581533E-2</v>
      </c>
      <c r="K9" s="3">
        <v>0</v>
      </c>
      <c r="L9" s="4">
        <v>0</v>
      </c>
    </row>
    <row r="11" spans="1:12" x14ac:dyDescent="0.25">
      <c r="A11" s="2" t="s">
        <v>18</v>
      </c>
    </row>
    <row r="12" spans="1:12" x14ac:dyDescent="0.25">
      <c r="B12" t="s">
        <v>11</v>
      </c>
      <c r="C12" s="3">
        <f>C14+C15+C16+C17+C18</f>
        <v>3556.1256353730068</v>
      </c>
      <c r="D12" s="3">
        <f>D14+D15+D16+D17+D18</f>
        <v>948.07234596576438</v>
      </c>
      <c r="E12" s="4">
        <v>0.49329446772540531</v>
      </c>
      <c r="F12" s="3">
        <f>F14+F15+F16+F17+F18</f>
        <v>2608.0532894072426</v>
      </c>
      <c r="G12" s="3">
        <f>G14+G15+G16+G17+G18</f>
        <v>101.99576463544764</v>
      </c>
      <c r="H12" s="4">
        <v>2.8844125140817928E-2</v>
      </c>
      <c r="I12" s="3">
        <f>I14+I15+I16+I17+I18</f>
        <v>2506.0575247717948</v>
      </c>
      <c r="J12" s="4">
        <v>7.4860161979282396E-3</v>
      </c>
      <c r="K12" s="3">
        <f>K14+K15+K16+K17+K18</f>
        <v>8.9895100397266532</v>
      </c>
      <c r="L12" s="4">
        <v>9.2718054095427584E-3</v>
      </c>
    </row>
    <row r="13" spans="1:12" x14ac:dyDescent="0.25">
      <c r="A13" s="5" t="s">
        <v>12</v>
      </c>
    </row>
    <row r="14" spans="1:12" x14ac:dyDescent="0.25">
      <c r="B14" t="s">
        <v>13</v>
      </c>
      <c r="C14" s="3">
        <f>F14+D14</f>
        <v>1275.2130015067041</v>
      </c>
      <c r="D14" s="3">
        <v>249.12438048140999</v>
      </c>
      <c r="E14" s="4">
        <v>0.58194062012270675</v>
      </c>
      <c r="F14" s="3">
        <f>G14+I14</f>
        <v>1026.0886210252941</v>
      </c>
      <c r="G14" s="3">
        <v>36.104236693918708</v>
      </c>
      <c r="H14" s="4">
        <v>3.7803181267596721E-2</v>
      </c>
      <c r="I14" s="3">
        <v>989.9843843313754</v>
      </c>
      <c r="J14" s="4">
        <v>1.220078712363307E-2</v>
      </c>
      <c r="K14" s="3">
        <v>2.6845413706641992</v>
      </c>
      <c r="L14" s="4">
        <v>1.1260254395022229E-2</v>
      </c>
    </row>
    <row r="15" spans="1:12" x14ac:dyDescent="0.25">
      <c r="B15" t="s">
        <v>14</v>
      </c>
      <c r="C15" s="3">
        <f>F15+D15</f>
        <v>986.89809672950128</v>
      </c>
      <c r="D15" s="3">
        <v>244.44901712251809</v>
      </c>
      <c r="E15" s="4">
        <v>0.55842002578035699</v>
      </c>
      <c r="F15" s="3">
        <f>G15+I15</f>
        <v>742.44907960698322</v>
      </c>
      <c r="G15" s="3">
        <v>25.94458001123683</v>
      </c>
      <c r="H15" s="4">
        <v>3.224287239410073E-2</v>
      </c>
      <c r="I15" s="3">
        <v>716.50449959574644</v>
      </c>
      <c r="J15" s="4">
        <v>8.74719894239088E-3</v>
      </c>
      <c r="K15" s="3">
        <v>2.2141623793020559</v>
      </c>
      <c r="L15" s="4">
        <v>9.3065185203138698E-3</v>
      </c>
    </row>
    <row r="16" spans="1:12" x14ac:dyDescent="0.25">
      <c r="B16" t="s">
        <v>15</v>
      </c>
      <c r="C16" s="3">
        <f>F16+D16</f>
        <v>598.65132737272211</v>
      </c>
      <c r="D16" s="3">
        <v>187.6287060634514</v>
      </c>
      <c r="E16" s="4">
        <v>0.47346879733916442</v>
      </c>
      <c r="F16" s="3">
        <f>G16+I16</f>
        <v>411.02262130927068</v>
      </c>
      <c r="G16" s="3">
        <v>17.569786970203278</v>
      </c>
      <c r="H16" s="4">
        <v>2.540515053504273E-2</v>
      </c>
      <c r="I16" s="3">
        <v>393.45283433906741</v>
      </c>
      <c r="J16" s="4">
        <v>5.7097586474297267E-3</v>
      </c>
      <c r="K16" s="3">
        <v>1.750674665442028</v>
      </c>
      <c r="L16" s="4">
        <v>9.0461508736272376E-3</v>
      </c>
    </row>
    <row r="17" spans="1:12" x14ac:dyDescent="0.25">
      <c r="B17" t="s">
        <v>16</v>
      </c>
      <c r="C17" s="3">
        <f>F17+D17</f>
        <v>370.8100558527758</v>
      </c>
      <c r="D17" s="3">
        <v>146.13825329821799</v>
      </c>
      <c r="E17" s="4">
        <v>0.41603215975588059</v>
      </c>
      <c r="F17" s="3">
        <f>G17+I17</f>
        <v>224.67180255455784</v>
      </c>
      <c r="G17" s="3">
        <v>14.112720063823041</v>
      </c>
      <c r="H17" s="4">
        <v>2.221601179839118E-2</v>
      </c>
      <c r="I17" s="3">
        <v>210.5590824907348</v>
      </c>
      <c r="J17" s="4">
        <v>3.8440389154859671E-3</v>
      </c>
      <c r="K17" s="3">
        <v>1.7487317258120749</v>
      </c>
      <c r="L17" s="4">
        <v>1.083727599679383E-2</v>
      </c>
    </row>
    <row r="18" spans="1:12" x14ac:dyDescent="0.25">
      <c r="B18" t="s">
        <v>17</v>
      </c>
      <c r="C18" s="3">
        <f>F18+D18</f>
        <v>324.55315391130353</v>
      </c>
      <c r="D18" s="3">
        <v>120.73198900016691</v>
      </c>
      <c r="E18" s="4">
        <v>0.3913211081732621</v>
      </c>
      <c r="F18" s="3">
        <f>G18+I18</f>
        <v>203.82116491113661</v>
      </c>
      <c r="G18" s="3">
        <v>8.2644408962657909</v>
      </c>
      <c r="H18" s="4">
        <v>1.838384200344536E-2</v>
      </c>
      <c r="I18" s="3">
        <v>195.55672401487081</v>
      </c>
      <c r="J18" s="4">
        <v>4.0717758639891846E-3</v>
      </c>
      <c r="K18" s="3">
        <v>0.59139989850629349</v>
      </c>
      <c r="L18" s="4">
        <v>4.2749783413175103E-3</v>
      </c>
    </row>
    <row r="20" spans="1:12" x14ac:dyDescent="0.25">
      <c r="A20" s="2" t="s">
        <v>19</v>
      </c>
    </row>
    <row r="21" spans="1:12" x14ac:dyDescent="0.25">
      <c r="B21" t="s">
        <v>11</v>
      </c>
      <c r="C21" s="3">
        <f>C23+C24+C25+C26+C27</f>
        <v>274.92659623188683</v>
      </c>
      <c r="D21" s="3">
        <f>D23+D24+D25+D26+D27</f>
        <v>274.92659623188683</v>
      </c>
      <c r="E21" s="4">
        <v>0.38632935534328849</v>
      </c>
      <c r="F21" s="3">
        <f>F23+F24+F25+F26+F27</f>
        <v>0</v>
      </c>
      <c r="G21" s="3">
        <f>G23+G24+G25+G26+G27</f>
        <v>0</v>
      </c>
      <c r="H21" s="4">
        <v>0</v>
      </c>
      <c r="I21" s="3">
        <f>I23+I24+I25+I26+I27</f>
        <v>0</v>
      </c>
      <c r="J21" s="4">
        <v>0</v>
      </c>
      <c r="K21" s="3">
        <f>K23+K24+K25+K26+K27</f>
        <v>0</v>
      </c>
      <c r="L21" s="4">
        <v>0</v>
      </c>
    </row>
    <row r="22" spans="1:12" x14ac:dyDescent="0.25">
      <c r="A22" s="5" t="s">
        <v>12</v>
      </c>
    </row>
    <row r="23" spans="1:12" x14ac:dyDescent="0.25">
      <c r="B23" t="s">
        <v>13</v>
      </c>
      <c r="C23" s="3">
        <f>F23+D23</f>
        <v>91.585850534639505</v>
      </c>
      <c r="D23" s="3">
        <v>91.585850534639505</v>
      </c>
      <c r="E23" s="4">
        <v>0.41731002360631497</v>
      </c>
      <c r="F23" s="3">
        <f>G23+I23</f>
        <v>0</v>
      </c>
      <c r="G23" s="3">
        <v>0</v>
      </c>
      <c r="H23" s="4">
        <v>0</v>
      </c>
      <c r="I23" s="3">
        <v>0</v>
      </c>
      <c r="J23" s="4">
        <v>0</v>
      </c>
      <c r="K23" s="3">
        <v>0</v>
      </c>
      <c r="L23" s="4">
        <v>0</v>
      </c>
    </row>
    <row r="24" spans="1:12" x14ac:dyDescent="0.25">
      <c r="B24" t="s">
        <v>14</v>
      </c>
      <c r="C24" s="3">
        <f>F24+D24</f>
        <v>82.486337669822149</v>
      </c>
      <c r="D24" s="3">
        <v>82.486337669822149</v>
      </c>
      <c r="E24" s="4">
        <v>0.395118618550444</v>
      </c>
      <c r="F24" s="3">
        <f>G24+I24</f>
        <v>0</v>
      </c>
      <c r="G24" s="3">
        <v>0</v>
      </c>
      <c r="H24" s="4">
        <v>0</v>
      </c>
      <c r="I24" s="3">
        <v>0</v>
      </c>
      <c r="J24" s="4">
        <v>0</v>
      </c>
      <c r="K24" s="3">
        <v>0</v>
      </c>
      <c r="L24" s="4">
        <v>0</v>
      </c>
    </row>
    <row r="25" spans="1:12" x14ac:dyDescent="0.25">
      <c r="B25" t="s">
        <v>15</v>
      </c>
      <c r="C25" s="3">
        <f>F25+D25</f>
        <v>81.907724566085776</v>
      </c>
      <c r="D25" s="3">
        <v>81.907724566085776</v>
      </c>
      <c r="E25" s="4">
        <v>0.43106770634455222</v>
      </c>
      <c r="F25" s="3">
        <f>G25+I25</f>
        <v>0</v>
      </c>
      <c r="G25" s="3">
        <v>0</v>
      </c>
      <c r="H25" s="4">
        <v>0</v>
      </c>
      <c r="I25" s="3">
        <v>0</v>
      </c>
      <c r="J25" s="4">
        <v>0</v>
      </c>
      <c r="K25" s="3">
        <v>0</v>
      </c>
      <c r="L25" s="4">
        <v>0</v>
      </c>
    </row>
    <row r="26" spans="1:12" x14ac:dyDescent="0.25">
      <c r="B26" t="s">
        <v>16</v>
      </c>
      <c r="C26" s="3">
        <f>F26+D26</f>
        <v>14.48210832559459</v>
      </c>
      <c r="D26" s="3">
        <v>14.48210832559459</v>
      </c>
      <c r="E26" s="4">
        <v>0.21622541944800969</v>
      </c>
      <c r="F26" s="3">
        <f>G26+I26</f>
        <v>0</v>
      </c>
      <c r="G26" s="3">
        <v>0</v>
      </c>
      <c r="H26" s="4">
        <v>0</v>
      </c>
      <c r="I26" s="3">
        <v>0</v>
      </c>
      <c r="J26" s="4">
        <v>0</v>
      </c>
      <c r="K26" s="3">
        <v>0</v>
      </c>
      <c r="L26" s="4">
        <v>0</v>
      </c>
    </row>
    <row r="27" spans="1:12" x14ac:dyDescent="0.25">
      <c r="B27" t="s">
        <v>17</v>
      </c>
      <c r="C27" s="3">
        <f>F27+D27</f>
        <v>4.4645751357447807</v>
      </c>
      <c r="D27" s="3">
        <v>4.4645751357447807</v>
      </c>
      <c r="E27" s="4">
        <v>0.16899084867515751</v>
      </c>
      <c r="F27" s="3">
        <f>G27+I27</f>
        <v>0</v>
      </c>
      <c r="G27" s="3">
        <v>0</v>
      </c>
      <c r="H27" s="4">
        <v>0</v>
      </c>
      <c r="I27" s="3">
        <v>0</v>
      </c>
      <c r="J27" s="4">
        <v>0</v>
      </c>
      <c r="K27" s="3">
        <v>0</v>
      </c>
      <c r="L27" s="4">
        <v>0</v>
      </c>
    </row>
    <row r="29" spans="1:12" x14ac:dyDescent="0.25">
      <c r="A29" s="2" t="s">
        <v>20</v>
      </c>
    </row>
    <row r="30" spans="1:12" x14ac:dyDescent="0.25">
      <c r="B30" t="s">
        <v>11</v>
      </c>
      <c r="C30" s="3">
        <f>C32+C33+C34+C35+C36</f>
        <v>536.28902415672144</v>
      </c>
      <c r="D30" s="3">
        <f>D32+D33+D34+D35+D36</f>
        <v>536.28902415672144</v>
      </c>
      <c r="E30" s="4">
        <v>0.75359821792358717</v>
      </c>
      <c r="F30" s="3">
        <f>F32+F33+F34+F35+F36</f>
        <v>0</v>
      </c>
      <c r="G30" s="3">
        <f>G32+G33+G34+G35+G36</f>
        <v>0</v>
      </c>
      <c r="H30" s="4">
        <v>0</v>
      </c>
      <c r="I30" s="3">
        <f>I32+I33+I34+I35+I36</f>
        <v>0</v>
      </c>
      <c r="J30" s="4">
        <v>0</v>
      </c>
      <c r="K30" s="3">
        <f>K32+K33+K34+K35+K36</f>
        <v>0</v>
      </c>
      <c r="L30" s="4">
        <v>0</v>
      </c>
    </row>
    <row r="31" spans="1:12" x14ac:dyDescent="0.25">
      <c r="A31" s="5" t="s">
        <v>12</v>
      </c>
    </row>
    <row r="32" spans="1:12" x14ac:dyDescent="0.25">
      <c r="B32" t="s">
        <v>13</v>
      </c>
      <c r="C32" s="3">
        <f>F32+D32</f>
        <v>173.2658268519306</v>
      </c>
      <c r="D32" s="3">
        <v>173.2658268519306</v>
      </c>
      <c r="E32" s="4">
        <v>0.78948402915578664</v>
      </c>
      <c r="F32" s="3">
        <f>G32+I32</f>
        <v>0</v>
      </c>
      <c r="G32" s="3">
        <v>0</v>
      </c>
      <c r="H32" s="4">
        <v>0</v>
      </c>
      <c r="I32" s="3">
        <v>0</v>
      </c>
      <c r="J32" s="4">
        <v>0</v>
      </c>
      <c r="K32" s="3">
        <v>0</v>
      </c>
      <c r="L32" s="4">
        <v>0</v>
      </c>
    </row>
    <row r="33" spans="2:12" x14ac:dyDescent="0.25">
      <c r="B33" t="s">
        <v>14</v>
      </c>
      <c r="C33" s="3">
        <f>F33+D33</f>
        <v>160.99999495811011</v>
      </c>
      <c r="D33" s="3">
        <v>160.99999495811011</v>
      </c>
      <c r="E33" s="4">
        <v>0.77120766167498656</v>
      </c>
      <c r="F33" s="3">
        <f>G33+I33</f>
        <v>0</v>
      </c>
      <c r="G33" s="3">
        <v>0</v>
      </c>
      <c r="H33" s="4">
        <v>0</v>
      </c>
      <c r="I33" s="3">
        <v>0</v>
      </c>
      <c r="J33" s="4">
        <v>0</v>
      </c>
      <c r="K33" s="3">
        <v>0</v>
      </c>
      <c r="L33" s="4">
        <v>0</v>
      </c>
    </row>
    <row r="34" spans="2:12" x14ac:dyDescent="0.25">
      <c r="B34" t="s">
        <v>15</v>
      </c>
      <c r="C34" s="3">
        <f>F34+D34</f>
        <v>152.04064294996579</v>
      </c>
      <c r="D34" s="3">
        <v>152.04064294996579</v>
      </c>
      <c r="E34" s="4">
        <v>0.80016642599701504</v>
      </c>
      <c r="F34" s="3">
        <f>G34+I34</f>
        <v>0</v>
      </c>
      <c r="G34" s="3">
        <v>0</v>
      </c>
      <c r="H34" s="4">
        <v>0</v>
      </c>
      <c r="I34" s="3">
        <v>0</v>
      </c>
      <c r="J34" s="4">
        <v>0</v>
      </c>
      <c r="K34" s="3">
        <v>0</v>
      </c>
      <c r="L34" s="4">
        <v>0</v>
      </c>
    </row>
    <row r="35" spans="2:12" x14ac:dyDescent="0.25">
      <c r="B35" t="s">
        <v>16</v>
      </c>
      <c r="C35" s="3">
        <f>F35+D35</f>
        <v>37.42933187643996</v>
      </c>
      <c r="D35" s="3">
        <v>37.42933187643996</v>
      </c>
      <c r="E35" s="4">
        <v>0.55883941776203427</v>
      </c>
      <c r="F35" s="3">
        <f>G35+I35</f>
        <v>0</v>
      </c>
      <c r="G35" s="3">
        <v>0</v>
      </c>
      <c r="H35" s="4">
        <v>0</v>
      </c>
      <c r="I35" s="3">
        <v>0</v>
      </c>
      <c r="J35" s="4">
        <v>0</v>
      </c>
      <c r="K35" s="3">
        <v>0</v>
      </c>
      <c r="L35" s="4">
        <v>0</v>
      </c>
    </row>
    <row r="36" spans="2:12" x14ac:dyDescent="0.25">
      <c r="B36" t="s">
        <v>17</v>
      </c>
      <c r="C36" s="3">
        <f>F36+D36</f>
        <v>12.553227520274969</v>
      </c>
      <c r="D36" s="3">
        <v>12.553227520274969</v>
      </c>
      <c r="E36" s="4">
        <v>0.47515844347184921</v>
      </c>
      <c r="F36" s="3">
        <f>G36+I36</f>
        <v>0</v>
      </c>
      <c r="G36" s="3">
        <v>0</v>
      </c>
      <c r="H36" s="4">
        <v>0</v>
      </c>
      <c r="I36" s="3">
        <v>0</v>
      </c>
      <c r="J36" s="4">
        <v>0</v>
      </c>
      <c r="K36" s="3">
        <v>0</v>
      </c>
      <c r="L36" s="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Zeb Burke-Conte</cp:lastModifiedBy>
  <dcterms:created xsi:type="dcterms:W3CDTF">2024-08-08T03:21:27Z</dcterms:created>
  <dcterms:modified xsi:type="dcterms:W3CDTF">2024-08-08T03:22:17Z</dcterms:modified>
</cp:coreProperties>
</file>