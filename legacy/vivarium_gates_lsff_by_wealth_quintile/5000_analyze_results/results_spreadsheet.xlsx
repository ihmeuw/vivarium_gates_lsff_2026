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5AD86A7D-D695-4AAD-AE5F-10BD6A6684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1" l="1"/>
  <c r="AA54" i="1"/>
  <c r="X54" i="1"/>
  <c r="U54" i="1"/>
  <c r="Q54" i="1"/>
  <c r="N54" i="1"/>
  <c r="K54" i="1"/>
  <c r="H54" i="1"/>
  <c r="E54" i="1"/>
  <c r="D54" i="1"/>
  <c r="C54" i="1"/>
  <c r="AD53" i="1"/>
  <c r="AA53" i="1"/>
  <c r="X53" i="1"/>
  <c r="U53" i="1"/>
  <c r="Q53" i="1"/>
  <c r="N53" i="1"/>
  <c r="K53" i="1"/>
  <c r="H53" i="1"/>
  <c r="E53" i="1"/>
  <c r="D53" i="1"/>
  <c r="C53" i="1"/>
  <c r="AD52" i="1"/>
  <c r="AA52" i="1"/>
  <c r="X52" i="1"/>
  <c r="U52" i="1"/>
  <c r="Q52" i="1"/>
  <c r="N52" i="1"/>
  <c r="K52" i="1"/>
  <c r="H52" i="1"/>
  <c r="E52" i="1"/>
  <c r="D52" i="1"/>
  <c r="C52" i="1"/>
  <c r="AD51" i="1"/>
  <c r="AA51" i="1"/>
  <c r="X51" i="1"/>
  <c r="U51" i="1"/>
  <c r="Q51" i="1"/>
  <c r="N51" i="1"/>
  <c r="K51" i="1"/>
  <c r="H51" i="1"/>
  <c r="E51" i="1"/>
  <c r="D51" i="1"/>
  <c r="C51" i="1"/>
  <c r="AD50" i="1"/>
  <c r="AA50" i="1"/>
  <c r="X50" i="1"/>
  <c r="U50" i="1"/>
  <c r="Q50" i="1"/>
  <c r="N50" i="1"/>
  <c r="K50" i="1"/>
  <c r="H50" i="1"/>
  <c r="E50" i="1"/>
  <c r="D50" i="1"/>
  <c r="C50" i="1"/>
  <c r="AD48" i="1"/>
  <c r="AC48" i="1"/>
  <c r="AB48" i="1"/>
  <c r="AA48" i="1"/>
  <c r="Z48" i="1"/>
  <c r="Y48" i="1"/>
  <c r="W48" i="1"/>
  <c r="V48" i="1"/>
  <c r="X48" i="1" s="1"/>
  <c r="T48" i="1"/>
  <c r="S48" i="1"/>
  <c r="U48" i="1" s="1"/>
  <c r="Q48" i="1"/>
  <c r="P48" i="1"/>
  <c r="O48" i="1"/>
  <c r="N48" i="1"/>
  <c r="M48" i="1"/>
  <c r="L48" i="1"/>
  <c r="K48" i="1"/>
  <c r="J48" i="1"/>
  <c r="I48" i="1"/>
  <c r="G48" i="1"/>
  <c r="F48" i="1"/>
  <c r="H48" i="1" s="1"/>
  <c r="E48" i="1"/>
  <c r="D48" i="1"/>
  <c r="C48" i="1"/>
  <c r="AD45" i="1"/>
  <c r="AA45" i="1"/>
  <c r="X45" i="1"/>
  <c r="U45" i="1"/>
  <c r="Q45" i="1"/>
  <c r="N45" i="1"/>
  <c r="K45" i="1"/>
  <c r="H45" i="1"/>
  <c r="E45" i="1"/>
  <c r="D45" i="1"/>
  <c r="C45" i="1"/>
  <c r="AD44" i="1"/>
  <c r="AA44" i="1"/>
  <c r="X44" i="1"/>
  <c r="U44" i="1"/>
  <c r="Q44" i="1"/>
  <c r="N44" i="1"/>
  <c r="K44" i="1"/>
  <c r="H44" i="1"/>
  <c r="E44" i="1"/>
  <c r="D44" i="1"/>
  <c r="C44" i="1"/>
  <c r="C39" i="1" s="1"/>
  <c r="AD43" i="1"/>
  <c r="AA43" i="1"/>
  <c r="X43" i="1"/>
  <c r="U43" i="1"/>
  <c r="Q43" i="1"/>
  <c r="N43" i="1"/>
  <c r="K43" i="1"/>
  <c r="H43" i="1"/>
  <c r="E43" i="1"/>
  <c r="D43" i="1"/>
  <c r="C43" i="1"/>
  <c r="AD42" i="1"/>
  <c r="AA42" i="1"/>
  <c r="X42" i="1"/>
  <c r="U42" i="1"/>
  <c r="Q42" i="1"/>
  <c r="N42" i="1"/>
  <c r="K42" i="1"/>
  <c r="H42" i="1"/>
  <c r="E42" i="1"/>
  <c r="D42" i="1"/>
  <c r="C42" i="1"/>
  <c r="AD41" i="1"/>
  <c r="AA41" i="1"/>
  <c r="X41" i="1"/>
  <c r="U41" i="1"/>
  <c r="Q41" i="1"/>
  <c r="N41" i="1"/>
  <c r="K41" i="1"/>
  <c r="H41" i="1"/>
  <c r="E41" i="1"/>
  <c r="D41" i="1"/>
  <c r="D39" i="1" s="1"/>
  <c r="C41" i="1"/>
  <c r="AD39" i="1"/>
  <c r="AC39" i="1"/>
  <c r="AB39" i="1"/>
  <c r="Z39" i="1"/>
  <c r="Y39" i="1"/>
  <c r="AA39" i="1" s="1"/>
  <c r="W39" i="1"/>
  <c r="V39" i="1"/>
  <c r="X39" i="1" s="1"/>
  <c r="T39" i="1"/>
  <c r="S39" i="1"/>
  <c r="U39" i="1" s="1"/>
  <c r="P39" i="1"/>
  <c r="O39" i="1"/>
  <c r="Q39" i="1" s="1"/>
  <c r="M39" i="1"/>
  <c r="L39" i="1"/>
  <c r="N39" i="1" s="1"/>
  <c r="K39" i="1"/>
  <c r="J39" i="1"/>
  <c r="I39" i="1"/>
  <c r="G39" i="1"/>
  <c r="H39" i="1" s="1"/>
  <c r="F39" i="1"/>
  <c r="E39" i="1"/>
  <c r="AD36" i="1"/>
  <c r="AA36" i="1"/>
  <c r="X36" i="1"/>
  <c r="U36" i="1"/>
  <c r="Q36" i="1"/>
  <c r="N36" i="1"/>
  <c r="K36" i="1"/>
  <c r="H36" i="1"/>
  <c r="E36" i="1"/>
  <c r="D36" i="1"/>
  <c r="C36" i="1"/>
  <c r="AD35" i="1"/>
  <c r="AA35" i="1"/>
  <c r="X35" i="1"/>
  <c r="U35" i="1"/>
  <c r="Q35" i="1"/>
  <c r="N35" i="1"/>
  <c r="K35" i="1"/>
  <c r="H35" i="1"/>
  <c r="E35" i="1"/>
  <c r="E30" i="1" s="1"/>
  <c r="D35" i="1"/>
  <c r="C35" i="1"/>
  <c r="AD34" i="1"/>
  <c r="AA34" i="1"/>
  <c r="X34" i="1"/>
  <c r="U34" i="1"/>
  <c r="Q34" i="1"/>
  <c r="N34" i="1"/>
  <c r="K34" i="1"/>
  <c r="H34" i="1"/>
  <c r="E34" i="1"/>
  <c r="D34" i="1"/>
  <c r="C34" i="1"/>
  <c r="AD33" i="1"/>
  <c r="AA33" i="1"/>
  <c r="X33" i="1"/>
  <c r="U33" i="1"/>
  <c r="Q33" i="1"/>
  <c r="N33" i="1"/>
  <c r="K33" i="1"/>
  <c r="H33" i="1"/>
  <c r="E33" i="1"/>
  <c r="D33" i="1"/>
  <c r="C33" i="1"/>
  <c r="C30" i="1" s="1"/>
  <c r="AD32" i="1"/>
  <c r="AA32" i="1"/>
  <c r="X32" i="1"/>
  <c r="U32" i="1"/>
  <c r="Q32" i="1"/>
  <c r="N32" i="1"/>
  <c r="K32" i="1"/>
  <c r="H32" i="1"/>
  <c r="E32" i="1"/>
  <c r="D32" i="1"/>
  <c r="D30" i="1" s="1"/>
  <c r="C32" i="1"/>
  <c r="AD30" i="1"/>
  <c r="AC30" i="1"/>
  <c r="AB30" i="1"/>
  <c r="Z30" i="1"/>
  <c r="AA30" i="1" s="1"/>
  <c r="Y30" i="1"/>
  <c r="X30" i="1"/>
  <c r="W30" i="1"/>
  <c r="V30" i="1"/>
  <c r="T30" i="1"/>
  <c r="S30" i="1"/>
  <c r="U30" i="1" s="1"/>
  <c r="P30" i="1"/>
  <c r="O30" i="1"/>
  <c r="Q30" i="1" s="1"/>
  <c r="M30" i="1"/>
  <c r="L30" i="1"/>
  <c r="N30" i="1" s="1"/>
  <c r="J30" i="1"/>
  <c r="I30" i="1"/>
  <c r="K30" i="1" s="1"/>
  <c r="G30" i="1"/>
  <c r="F30" i="1"/>
  <c r="H30" i="1" s="1"/>
  <c r="AD27" i="1"/>
  <c r="AA27" i="1"/>
  <c r="X27" i="1"/>
  <c r="U27" i="1"/>
  <c r="Q27" i="1"/>
  <c r="N27" i="1"/>
  <c r="K27" i="1"/>
  <c r="H27" i="1"/>
  <c r="E27" i="1"/>
  <c r="D27" i="1"/>
  <c r="D21" i="1" s="1"/>
  <c r="C27" i="1"/>
  <c r="AD26" i="1"/>
  <c r="AA26" i="1"/>
  <c r="X26" i="1"/>
  <c r="U26" i="1"/>
  <c r="Q26" i="1"/>
  <c r="N26" i="1"/>
  <c r="K26" i="1"/>
  <c r="H26" i="1"/>
  <c r="E26" i="1"/>
  <c r="D26" i="1"/>
  <c r="C26" i="1"/>
  <c r="AD25" i="1"/>
  <c r="AA25" i="1"/>
  <c r="X25" i="1"/>
  <c r="U25" i="1"/>
  <c r="Q25" i="1"/>
  <c r="N25" i="1"/>
  <c r="K25" i="1"/>
  <c r="H25" i="1"/>
  <c r="E25" i="1"/>
  <c r="D25" i="1"/>
  <c r="C25" i="1"/>
  <c r="AD24" i="1"/>
  <c r="AA24" i="1"/>
  <c r="X24" i="1"/>
  <c r="U24" i="1"/>
  <c r="Q24" i="1"/>
  <c r="N24" i="1"/>
  <c r="K24" i="1"/>
  <c r="H24" i="1"/>
  <c r="E24" i="1"/>
  <c r="E21" i="1" s="1"/>
  <c r="D24" i="1"/>
  <c r="C24" i="1"/>
  <c r="C21" i="1" s="1"/>
  <c r="AD23" i="1"/>
  <c r="AA23" i="1"/>
  <c r="X23" i="1"/>
  <c r="U23" i="1"/>
  <c r="Q23" i="1"/>
  <c r="N23" i="1"/>
  <c r="K23" i="1"/>
  <c r="H23" i="1"/>
  <c r="E23" i="1"/>
  <c r="D23" i="1"/>
  <c r="C23" i="1"/>
  <c r="AC21" i="1"/>
  <c r="AB21" i="1"/>
  <c r="AD21" i="1" s="1"/>
  <c r="Z21" i="1"/>
  <c r="Y21" i="1"/>
  <c r="AA21" i="1" s="1"/>
  <c r="X21" i="1"/>
  <c r="W21" i="1"/>
  <c r="V21" i="1"/>
  <c r="T21" i="1"/>
  <c r="U21" i="1" s="1"/>
  <c r="S21" i="1"/>
  <c r="Q21" i="1"/>
  <c r="P21" i="1"/>
  <c r="O21" i="1"/>
  <c r="M21" i="1"/>
  <c r="L21" i="1"/>
  <c r="N21" i="1" s="1"/>
  <c r="J21" i="1"/>
  <c r="I21" i="1"/>
  <c r="K21" i="1" s="1"/>
  <c r="G21" i="1"/>
  <c r="F21" i="1"/>
  <c r="H21" i="1" s="1"/>
  <c r="AD18" i="1"/>
  <c r="AA18" i="1"/>
  <c r="X18" i="1"/>
  <c r="U18" i="1"/>
  <c r="Q18" i="1"/>
  <c r="N18" i="1"/>
  <c r="K18" i="1"/>
  <c r="H18" i="1"/>
  <c r="E18" i="1"/>
  <c r="D18" i="1"/>
  <c r="D12" i="1" s="1"/>
  <c r="C18" i="1"/>
  <c r="AD17" i="1"/>
  <c r="AA17" i="1"/>
  <c r="X17" i="1"/>
  <c r="U17" i="1"/>
  <c r="Q17" i="1"/>
  <c r="N17" i="1"/>
  <c r="K17" i="1"/>
  <c r="H17" i="1"/>
  <c r="E17" i="1"/>
  <c r="D17" i="1"/>
  <c r="C17" i="1"/>
  <c r="AD16" i="1"/>
  <c r="AA16" i="1"/>
  <c r="X16" i="1"/>
  <c r="U16" i="1"/>
  <c r="Q16" i="1"/>
  <c r="N16" i="1"/>
  <c r="K16" i="1"/>
  <c r="H16" i="1"/>
  <c r="E16" i="1"/>
  <c r="D16" i="1"/>
  <c r="C16" i="1"/>
  <c r="AD15" i="1"/>
  <c r="AA15" i="1"/>
  <c r="X15" i="1"/>
  <c r="U15" i="1"/>
  <c r="Q15" i="1"/>
  <c r="N15" i="1"/>
  <c r="K15" i="1"/>
  <c r="H15" i="1"/>
  <c r="E15" i="1"/>
  <c r="E12" i="1" s="1"/>
  <c r="D15" i="1"/>
  <c r="C15" i="1"/>
  <c r="AD14" i="1"/>
  <c r="AA14" i="1"/>
  <c r="X14" i="1"/>
  <c r="U14" i="1"/>
  <c r="Q14" i="1"/>
  <c r="N14" i="1"/>
  <c r="K14" i="1"/>
  <c r="H14" i="1"/>
  <c r="E14" i="1"/>
  <c r="D14" i="1"/>
  <c r="C14" i="1"/>
  <c r="AC12" i="1"/>
  <c r="AB12" i="1"/>
  <c r="AD12" i="1" s="1"/>
  <c r="Z12" i="1"/>
  <c r="Y12" i="1"/>
  <c r="AA12" i="1" s="1"/>
  <c r="W12" i="1"/>
  <c r="V12" i="1"/>
  <c r="X12" i="1" s="1"/>
  <c r="T12" i="1"/>
  <c r="U12" i="1" s="1"/>
  <c r="S12" i="1"/>
  <c r="Q12" i="1"/>
  <c r="P12" i="1"/>
  <c r="O12" i="1"/>
  <c r="M12" i="1"/>
  <c r="L12" i="1"/>
  <c r="N12" i="1" s="1"/>
  <c r="K12" i="1"/>
  <c r="J12" i="1"/>
  <c r="I12" i="1"/>
  <c r="G12" i="1"/>
  <c r="F12" i="1"/>
  <c r="H12" i="1" s="1"/>
  <c r="C12" i="1"/>
  <c r="AD9" i="1"/>
  <c r="AA9" i="1"/>
  <c r="X9" i="1"/>
  <c r="U9" i="1"/>
  <c r="Q9" i="1"/>
  <c r="N9" i="1"/>
  <c r="K9" i="1"/>
  <c r="H9" i="1"/>
  <c r="E9" i="1"/>
  <c r="D9" i="1"/>
  <c r="C9" i="1"/>
  <c r="AD8" i="1"/>
  <c r="AA8" i="1"/>
  <c r="X8" i="1"/>
  <c r="U8" i="1"/>
  <c r="Q8" i="1"/>
  <c r="N8" i="1"/>
  <c r="K8" i="1"/>
  <c r="H8" i="1"/>
  <c r="E8" i="1"/>
  <c r="D8" i="1"/>
  <c r="C8" i="1"/>
  <c r="AD7" i="1"/>
  <c r="AA7" i="1"/>
  <c r="X7" i="1"/>
  <c r="U7" i="1"/>
  <c r="Q7" i="1"/>
  <c r="N7" i="1"/>
  <c r="K7" i="1"/>
  <c r="H7" i="1"/>
  <c r="E7" i="1"/>
  <c r="D7" i="1"/>
  <c r="C7" i="1"/>
  <c r="AD6" i="1"/>
  <c r="AA6" i="1"/>
  <c r="X6" i="1"/>
  <c r="U6" i="1"/>
  <c r="Q6" i="1"/>
  <c r="N6" i="1"/>
  <c r="K6" i="1"/>
  <c r="H6" i="1"/>
  <c r="E6" i="1"/>
  <c r="D6" i="1"/>
  <c r="C6" i="1"/>
  <c r="AD5" i="1"/>
  <c r="AA5" i="1"/>
  <c r="X5" i="1"/>
  <c r="U5" i="1"/>
  <c r="Q5" i="1"/>
  <c r="N5" i="1"/>
  <c r="K5" i="1"/>
  <c r="H5" i="1"/>
  <c r="E5" i="1"/>
  <c r="D5" i="1"/>
  <c r="D3" i="1" s="1"/>
  <c r="C5" i="1"/>
  <c r="C3" i="1" s="1"/>
  <c r="AD3" i="1"/>
  <c r="AC3" i="1"/>
  <c r="AB3" i="1"/>
  <c r="Z3" i="1"/>
  <c r="Y3" i="1"/>
  <c r="AA3" i="1" s="1"/>
  <c r="W3" i="1"/>
  <c r="V3" i="1"/>
  <c r="X3" i="1" s="1"/>
  <c r="T3" i="1"/>
  <c r="S3" i="1"/>
  <c r="U3" i="1" s="1"/>
  <c r="P3" i="1"/>
  <c r="O3" i="1"/>
  <c r="Q3" i="1" s="1"/>
  <c r="M3" i="1"/>
  <c r="N3" i="1" s="1"/>
  <c r="L3" i="1"/>
  <c r="K3" i="1"/>
  <c r="J3" i="1"/>
  <c r="I3" i="1"/>
  <c r="G3" i="1"/>
  <c r="F3" i="1"/>
  <c r="H3" i="1" s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9" authorId="0" shapeId="0" xr:uid="{00000000-0006-0000-0000-000001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 shapeId="0" xr:uid="{00000000-0006-0000-0000-000002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 shapeId="0" xr:uid="{00000000-0006-0000-0000-000003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 shapeId="0" xr:uid="{00000000-0006-0000-0000-000004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 shapeId="0" xr:uid="{00000000-0006-0000-0000-000005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 shapeId="0" xr:uid="{00000000-0006-0000-0000-000006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 shapeId="0" xr:uid="{00000000-0006-0000-0000-000007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 shapeId="0" xr:uid="{00000000-0006-0000-0000-000008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<sst xmlns="http://schemas.openxmlformats.org/spreadsheetml/2006/main" count="75" uniqueCount="40">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</sst>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3" sqref="I3"/>
    </sheetView>
  </sheetViews>
  <sheetFormatPr defaultRowHeight="15" x14ac:dyDescent="0.2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 ht="75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25">
      <c r="A2" s="2" t="s">
        <v>27</v>
      </c>
    </row>
    <row r="3" spans="1:30" x14ac:dyDescent="0.25">
      <c r="B3" t="s">
        <v>28</v>
      </c>
      <c r="C3" s="3">
        <f>C5+C6+C7+C8+C9</f>
        <v>1513.6392958662598</v>
      </c>
      <c r="D3" s="3">
        <f>D5+D6+D7+D8+D9</f>
        <v>83.344962638319814</v>
      </c>
      <c r="E3" s="3">
        <f>E5+E6+E7+E8+E9</f>
        <v>1430.2943332279399</v>
      </c>
      <c r="F3" s="3">
        <f>F5+F6+F7+F8+F9</f>
        <v>1581.0316281682187</v>
      </c>
      <c r="G3" s="3">
        <f>G5+G6+G7+G8+G9</f>
        <v>83.344962638319814</v>
      </c>
      <c r="H3" s="4">
        <f>IF(F3=0,0,G3/F3)</f>
        <v>5.27155568259461E-2</v>
      </c>
      <c r="I3" s="3">
        <f>I5+I6+I7+I8+I9</f>
        <v>19387.488776250935</v>
      </c>
      <c r="J3" s="3">
        <f>J5+J6+J7+J8+J9</f>
        <v>1258.0096772092168</v>
      </c>
      <c r="K3" s="4">
        <f>IF(I3=0,0,J3/I3)</f>
        <v>6.4887706279435173E-2</v>
      </c>
      <c r="L3" s="3">
        <f>L5+L6+L7+L8+L9</f>
        <v>73088.836931186815</v>
      </c>
      <c r="M3" s="3">
        <f>M5+M6+M7+M8+M9</f>
        <v>151.25580362673105</v>
      </c>
      <c r="N3" s="4">
        <f>IF(L3=0,0,M3/L3)</f>
        <v>2.0694788695179056E-3</v>
      </c>
      <c r="O3" s="3">
        <f>O5+O6+O7+O8+O9</f>
        <v>2218.4421062256156</v>
      </c>
      <c r="P3" s="3">
        <f>P5+P6+P7+P8+P9</f>
        <v>21.028852391992345</v>
      </c>
      <c r="Q3" s="4">
        <f>IF(O3=0,0,P3/O3)</f>
        <v>9.4791080339572814E-3</v>
      </c>
      <c r="S3" s="3">
        <f>S5+S6+S7+S8+S9</f>
        <v>17575.212094927279</v>
      </c>
      <c r="T3" s="3">
        <f>T5+T6+T7+T8+T9</f>
        <v>926.48709191819546</v>
      </c>
      <c r="U3" s="4">
        <f>IF(S3=0,0,T3/S3)</f>
        <v>5.2715556825946169E-2</v>
      </c>
      <c r="V3" s="3">
        <f>V5+V6+V7+V8+V9</f>
        <v>618895026.47105932</v>
      </c>
      <c r="W3" s="3">
        <f>W5+W6+W7+W8+W9</f>
        <v>31729354.561193883</v>
      </c>
      <c r="X3" s="4">
        <f>IF(V3=0,0,W3/V3)</f>
        <v>5.1267748493819258E-2</v>
      </c>
      <c r="Y3" s="3">
        <f>Y5+Y6+Y7+Y8+Y9</f>
        <v>23865978.277913213</v>
      </c>
      <c r="Z3" s="3">
        <f>Z5+Z6+Z7+Z8+Z9</f>
        <v>182386.24275052128</v>
      </c>
      <c r="AA3" s="4">
        <f>IF(Y3=0,0,Z3/Y3)</f>
        <v>7.6421021014382957E-3</v>
      </c>
      <c r="AB3" s="3">
        <f>AB5+AB6+AB7+AB8+AB9</f>
        <v>815643.03969645977</v>
      </c>
      <c r="AC3" s="3">
        <f>AC5+AC6+AC7+AC8+AC9</f>
        <v>1680.7280119055067</v>
      </c>
      <c r="AD3" s="4">
        <f>IF(AB3=0,0,AC3/AB3)</f>
        <v>2.0606171206107356E-3</v>
      </c>
    </row>
    <row r="4" spans="1:30" x14ac:dyDescent="0.25">
      <c r="A4" s="5" t="s">
        <v>29</v>
      </c>
    </row>
    <row r="5" spans="1:30" x14ac:dyDescent="0.25">
      <c r="B5" t="s">
        <v>30</v>
      </c>
      <c r="C5" s="3">
        <f>J5+M5+G5+P5</f>
        <v>441.43708290411126</v>
      </c>
      <c r="D5" s="3">
        <f>G5</f>
        <v>28.312364795694592</v>
      </c>
      <c r="E5" s="3">
        <f>J5+M5+P5</f>
        <v>413.12471810841669</v>
      </c>
      <c r="F5" s="3">
        <v>397.0902965307904</v>
      </c>
      <c r="G5" s="3">
        <v>28.312364795694592</v>
      </c>
      <c r="H5" s="4">
        <f>IF(F5=0,0,G5/F5)</f>
        <v>7.1299563457097093E-2</v>
      </c>
      <c r="I5" s="3">
        <v>4589.3407252301513</v>
      </c>
      <c r="J5" s="3">
        <v>353.71989398487011</v>
      </c>
      <c r="K5" s="4">
        <f>IF(I5=0,0,J5/I5)</f>
        <v>7.7074228121759555E-2</v>
      </c>
      <c r="L5" s="3">
        <v>18640.875795544409</v>
      </c>
      <c r="M5" s="3">
        <v>53.027422906763853</v>
      </c>
      <c r="N5" s="4">
        <f>IF(L5=0,0,M5/L5)</f>
        <v>2.8446851686785343E-3</v>
      </c>
      <c r="O5" s="3">
        <v>597.84931909720888</v>
      </c>
      <c r="P5" s="3">
        <v>6.3774012167827463</v>
      </c>
      <c r="Q5" s="4">
        <f>IF(O5=0,0,P5/O5)</f>
        <v>1.066723840450807E-2</v>
      </c>
      <c r="S5" s="3">
        <v>4414.1724036552041</v>
      </c>
      <c r="T5" s="3">
        <v>314.72856540498111</v>
      </c>
      <c r="U5" s="4">
        <f>IF(S5=0,0,T5/S5)</f>
        <v>7.1299563457097107E-2</v>
      </c>
      <c r="V5" s="3">
        <v>139014089.4100596</v>
      </c>
      <c r="W5" s="3">
        <v>8355155.5918340236</v>
      </c>
      <c r="X5" s="4">
        <f>IF(V5=0,0,W5/V5)</f>
        <v>6.0102940840681518E-2</v>
      </c>
      <c r="Y5" s="3">
        <v>6121894.3326630509</v>
      </c>
      <c r="Z5" s="3">
        <v>65332.339145980783</v>
      </c>
      <c r="AA5" s="4">
        <f>IF(Y5=0,0,Z5/Y5)</f>
        <v>1.0671915520887622E-2</v>
      </c>
      <c r="AB5" s="3">
        <v>208016.4497539358</v>
      </c>
      <c r="AC5" s="3">
        <v>589.18509642445133</v>
      </c>
      <c r="AD5" s="4">
        <f>IF(AB5=0,0,AC5/AB5)</f>
        <v>2.8323966547905356E-3</v>
      </c>
    </row>
    <row r="6" spans="1:30" x14ac:dyDescent="0.25">
      <c r="B6" t="s">
        <v>31</v>
      </c>
      <c r="C6" s="3">
        <f>J6+M6+G6+P6</f>
        <v>372.95003315063394</v>
      </c>
      <c r="D6" s="3">
        <f>G6</f>
        <v>21.144508223338281</v>
      </c>
      <c r="E6" s="3">
        <f>J6+M6+P6</f>
        <v>351.80552492729566</v>
      </c>
      <c r="F6" s="3">
        <v>346.92132413597358</v>
      </c>
      <c r="G6" s="3">
        <v>21.144508223338281</v>
      </c>
      <c r="H6" s="4">
        <f>IF(F6=0,0,G6/F6)</f>
        <v>6.0949001264191033E-2</v>
      </c>
      <c r="I6" s="3">
        <v>4107.7677417370733</v>
      </c>
      <c r="J6" s="3">
        <v>311.7710410246919</v>
      </c>
      <c r="K6" s="4">
        <f>IF(I6=0,0,J6/I6)</f>
        <v>7.5897923306844917E-2</v>
      </c>
      <c r="L6" s="3">
        <v>15402.279753726511</v>
      </c>
      <c r="M6" s="3">
        <v>34.603698750201623</v>
      </c>
      <c r="N6" s="4">
        <f>IF(L6=0,0,M6/L6)</f>
        <v>2.2466608387520957E-3</v>
      </c>
      <c r="O6" s="3">
        <v>474.66518012962229</v>
      </c>
      <c r="P6" s="3">
        <v>5.4307851524021826</v>
      </c>
      <c r="Q6" s="4">
        <f>IF(O6=0,0,P6/O6)</f>
        <v>1.1441296686053811E-2</v>
      </c>
      <c r="S6" s="3">
        <v>3856.4793665810321</v>
      </c>
      <c r="T6" s="3">
        <v>235.0485657890745</v>
      </c>
      <c r="U6" s="4">
        <f>IF(S6=0,0,T6/S6)</f>
        <v>6.0949001264191172E-2</v>
      </c>
      <c r="V6" s="3">
        <v>128879655.4497555</v>
      </c>
      <c r="W6" s="3">
        <v>7779522.5345460922</v>
      </c>
      <c r="X6" s="4">
        <f>IF(V6=0,0,W6/V6)</f>
        <v>6.0362688799854722E-2</v>
      </c>
      <c r="Y6" s="3">
        <v>5178418.7676341943</v>
      </c>
      <c r="Z6" s="3">
        <v>45623.71396590583</v>
      </c>
      <c r="AA6" s="4">
        <f>IF(Y6=0,0,Z6/Y6)</f>
        <v>8.810356213572396E-3</v>
      </c>
      <c r="AB6" s="3">
        <v>171868.3936012006</v>
      </c>
      <c r="AC6" s="3">
        <v>384.52079977173707</v>
      </c>
      <c r="AD6" s="4">
        <f>IF(AB6=0,0,AC6/AB6)</f>
        <v>2.2372979214780476E-3</v>
      </c>
    </row>
    <row r="7" spans="1:30" x14ac:dyDescent="0.25">
      <c r="B7" t="s">
        <v>32</v>
      </c>
      <c r="C7" s="3">
        <f>J7+M7+G7+P7</f>
        <v>316.59831148441907</v>
      </c>
      <c r="D7" s="3">
        <f>G7</f>
        <v>15.931452866427019</v>
      </c>
      <c r="E7" s="3">
        <f>J7+M7+P7</f>
        <v>300.66685861799203</v>
      </c>
      <c r="F7" s="3">
        <v>308.40246775221379</v>
      </c>
      <c r="G7" s="3">
        <v>15.931452866427019</v>
      </c>
      <c r="H7" s="4">
        <f>IF(F7=0,0,G7/F7)</f>
        <v>5.1657994122236262E-2</v>
      </c>
      <c r="I7" s="3">
        <v>3973.118437255514</v>
      </c>
      <c r="J7" s="3">
        <v>268.34160623974998</v>
      </c>
      <c r="K7" s="4">
        <f>IF(I7=0,0,J7/I7)</f>
        <v>6.7539291988766043E-2</v>
      </c>
      <c r="L7" s="3">
        <v>13777.53512556912</v>
      </c>
      <c r="M7" s="3">
        <v>28.188180174233391</v>
      </c>
      <c r="N7" s="4">
        <f>IF(L7=0,0,M7/L7)</f>
        <v>2.0459523359820865E-3</v>
      </c>
      <c r="O7" s="3">
        <v>416.35115593519282</v>
      </c>
      <c r="P7" s="3">
        <v>4.1370722040086987</v>
      </c>
      <c r="Q7" s="4">
        <f>IF(O7=0,0,P7/O7)</f>
        <v>9.9364974614184927E-3</v>
      </c>
      <c r="S7" s="3">
        <v>3428.292441957034</v>
      </c>
      <c r="T7" s="3">
        <v>177.09871081592379</v>
      </c>
      <c r="U7" s="4">
        <f>IF(S7=0,0,T7/S7)</f>
        <v>5.1657994122236359E-2</v>
      </c>
      <c r="V7" s="3">
        <v>125210935.1791828</v>
      </c>
      <c r="W7" s="3">
        <v>6749260.3681669245</v>
      </c>
      <c r="X7" s="4">
        <f>IF(V7=0,0,W7/V7)</f>
        <v>5.3903122427034128E-2</v>
      </c>
      <c r="Y7" s="3">
        <v>4636445.5397252385</v>
      </c>
      <c r="Z7" s="3">
        <v>33384.567735356279</v>
      </c>
      <c r="AA7" s="4">
        <f>IF(Y7=0,0,Z7/Y7)</f>
        <v>7.2004658416271808E-3</v>
      </c>
      <c r="AB7" s="3">
        <v>153755.60334743661</v>
      </c>
      <c r="AC7" s="3">
        <v>313.19839336245792</v>
      </c>
      <c r="AD7" s="4">
        <f>IF(AB7=0,0,AC7/AB7)</f>
        <v>2.036988483956149E-3</v>
      </c>
    </row>
    <row r="8" spans="1:30" x14ac:dyDescent="0.25">
      <c r="B8" t="s">
        <v>33</v>
      </c>
      <c r="C8" s="3">
        <f>J8+M8+G8+P8</f>
        <v>256.97139296598436</v>
      </c>
      <c r="D8" s="3">
        <f>G8</f>
        <v>13.00374631023745</v>
      </c>
      <c r="E8" s="3">
        <f>J8+M8+P8</f>
        <v>243.96764665574688</v>
      </c>
      <c r="F8" s="3">
        <v>288.78949981879617</v>
      </c>
      <c r="G8" s="3">
        <v>13.00374631023745</v>
      </c>
      <c r="H8" s="4">
        <f>IF(F8=0,0,G8/F8)</f>
        <v>4.5028459547167672E-2</v>
      </c>
      <c r="I8" s="3">
        <v>3607.833411572376</v>
      </c>
      <c r="J8" s="3">
        <v>216.84945860887089</v>
      </c>
      <c r="K8" s="4">
        <f>IF(I8=0,0,J8/I8)</f>
        <v>6.0105175009830335E-2</v>
      </c>
      <c r="L8" s="3">
        <v>12917.49073548635</v>
      </c>
      <c r="M8" s="3">
        <v>23.15329722107202</v>
      </c>
      <c r="N8" s="4">
        <f>IF(L8=0,0,M8/L8)</f>
        <v>1.7923989802033551E-3</v>
      </c>
      <c r="O8" s="3">
        <v>380.99540985857192</v>
      </c>
      <c r="P8" s="3">
        <v>3.9648908258039741</v>
      </c>
      <c r="Q8" s="4">
        <f>IF(O8=0,0,P8/O8)</f>
        <v>1.0406662976007423E-2</v>
      </c>
      <c r="S8" s="3">
        <v>3210.2689280060872</v>
      </c>
      <c r="T8" s="3">
        <v>144.553464560252</v>
      </c>
      <c r="U8" s="4">
        <f>IF(S8=0,0,T8/S8)</f>
        <v>4.5028459547167853E-2</v>
      </c>
      <c r="V8" s="3">
        <v>117724986.5060492</v>
      </c>
      <c r="W8" s="3">
        <v>5759705.3984264135</v>
      </c>
      <c r="X8" s="4">
        <f>IF(V8=0,0,W8/V8)</f>
        <v>4.8925088627047378E-2</v>
      </c>
      <c r="Y8" s="3">
        <v>4171333.157109953</v>
      </c>
      <c r="Z8" s="3">
        <v>27373.607733182609</v>
      </c>
      <c r="AA8" s="4">
        <f>IF(Y8=0,0,Z8/Y8)</f>
        <v>6.5623163392079693E-3</v>
      </c>
      <c r="AB8" s="3">
        <v>144170.4921208685</v>
      </c>
      <c r="AC8" s="3">
        <v>257.38085791171761</v>
      </c>
      <c r="AD8" s="4">
        <f>IF(AB8=0,0,AC8/AB8)</f>
        <v>1.7852533769249863E-3</v>
      </c>
    </row>
    <row r="9" spans="1:30" x14ac:dyDescent="0.25">
      <c r="B9" t="s">
        <v>34</v>
      </c>
      <c r="C9" s="3">
        <f>J9+M9+G9+P9</f>
        <v>125.68247536111117</v>
      </c>
      <c r="D9" s="3">
        <f>G9</f>
        <v>4.9528904426224756</v>
      </c>
      <c r="E9" s="3">
        <f>J9+M9+P9</f>
        <v>120.7295849184887</v>
      </c>
      <c r="F9" s="3">
        <v>239.8280399304447</v>
      </c>
      <c r="G9" s="3">
        <v>4.9528904426224756</v>
      </c>
      <c r="H9" s="4">
        <f>IF(F9=0,0,G9/F9)</f>
        <v>2.065184056067389E-2</v>
      </c>
      <c r="I9" s="3">
        <v>3109.4284604558202</v>
      </c>
      <c r="J9" s="3">
        <v>107.3276773510338</v>
      </c>
      <c r="K9" s="4">
        <f>IF(I9=0,0,J9/I9)</f>
        <v>3.4516850513196987E-2</v>
      </c>
      <c r="L9" s="3">
        <v>12350.65552086042</v>
      </c>
      <c r="M9" s="3">
        <v>12.283204574460161</v>
      </c>
      <c r="N9" s="4">
        <f>IF(L9=0,0,M9/L9)</f>
        <v>9.9453867478642454E-4</v>
      </c>
      <c r="O9" s="3">
        <v>348.58104120501969</v>
      </c>
      <c r="P9" s="3">
        <v>1.1187029929947461</v>
      </c>
      <c r="Q9" s="4">
        <f>IF(O9=0,0,P9/O9)</f>
        <v>3.2093053286187624E-3</v>
      </c>
      <c r="S9" s="3">
        <v>2665.998954727921</v>
      </c>
      <c r="T9" s="3">
        <v>55.057785347964</v>
      </c>
      <c r="U9" s="4">
        <f>IF(S9=0,0,T9/S9)</f>
        <v>2.0651840560673786E-2</v>
      </c>
      <c r="V9" s="3">
        <v>108065359.9260122</v>
      </c>
      <c r="W9" s="3">
        <v>3085710.6682204311</v>
      </c>
      <c r="X9" s="4">
        <f>IF(V9=0,0,W9/V9)</f>
        <v>2.8554114568563757E-2</v>
      </c>
      <c r="Y9" s="3">
        <v>3757886.4807807771</v>
      </c>
      <c r="Z9" s="3">
        <v>10672.01417009579</v>
      </c>
      <c r="AA9" s="4">
        <f>IF(Y9=0,0,Z9/Y9)</f>
        <v>2.8398979651664364E-3</v>
      </c>
      <c r="AB9" s="3">
        <v>137832.10087301829</v>
      </c>
      <c r="AC9" s="3">
        <v>136.44286443514281</v>
      </c>
      <c r="AD9" s="4">
        <f>IF(AB9=0,0,AC9/AB9)</f>
        <v>9.8992080633556216E-4</v>
      </c>
    </row>
    <row r="11" spans="1:30" x14ac:dyDescent="0.25">
      <c r="A11" s="2" t="s">
        <v>35</v>
      </c>
    </row>
    <row r="12" spans="1:30" x14ac:dyDescent="0.25">
      <c r="B12" t="s">
        <v>28</v>
      </c>
      <c r="C12" s="3">
        <f>C14+C15+C16+C17+C18</f>
        <v>2024.9932916506891</v>
      </c>
      <c r="D12" s="3">
        <f>D14+D15+D16+D17+D18</f>
        <v>594.698958422749</v>
      </c>
      <c r="E12" s="3">
        <f>E14+E15+E16+E17+E18</f>
        <v>1430.2943332279399</v>
      </c>
      <c r="F12" s="3">
        <f>F14+F15+F16+F17+F18</f>
        <v>1581.0316281682187</v>
      </c>
      <c r="G12" s="3">
        <f>G14+G15+G16+G17+G18</f>
        <v>594.698958422749</v>
      </c>
      <c r="H12" s="4">
        <f>IF(F12=0,0,G12/F12)</f>
        <v>0.37614614902534649</v>
      </c>
      <c r="I12" s="3">
        <f>I14+I15+I16+I17+I18</f>
        <v>19387.488776250935</v>
      </c>
      <c r="J12" s="3">
        <f>J14+J15+J16+J17+J18</f>
        <v>1258.0096772092168</v>
      </c>
      <c r="K12" s="4">
        <f>IF(I12=0,0,J12/I12)</f>
        <v>6.4887706279435173E-2</v>
      </c>
      <c r="L12" s="3">
        <f>L14+L15+L16+L17+L18</f>
        <v>73088.836931186815</v>
      </c>
      <c r="M12" s="3">
        <f>M14+M15+M16+M17+M18</f>
        <v>151.25580362673105</v>
      </c>
      <c r="N12" s="4">
        <f>IF(L12=0,0,M12/L12)</f>
        <v>2.0694788695179056E-3</v>
      </c>
      <c r="O12" s="3">
        <f>O14+O15+O16+O17+O18</f>
        <v>2218.4421062256156</v>
      </c>
      <c r="P12" s="3">
        <f>P14+P15+P16+P17+P18</f>
        <v>21.028852391992345</v>
      </c>
      <c r="Q12" s="4">
        <f>IF(O12=0,0,P12/O12)</f>
        <v>9.4791080339572814E-3</v>
      </c>
      <c r="S12" s="3">
        <f>S14+S15+S16+S17+S18</f>
        <v>17575.212094927279</v>
      </c>
      <c r="T12" s="3">
        <f>T14+T15+T16+T17+T18</f>
        <v>6610.8483478105873</v>
      </c>
      <c r="U12" s="4">
        <f>IF(S12=0,0,T12/S12)</f>
        <v>0.37614614902534643</v>
      </c>
      <c r="V12" s="3">
        <f>V14+V15+V16+V17+V18</f>
        <v>618895026.47105932</v>
      </c>
      <c r="W12" s="3">
        <f>W14+W15+W16+W17+W18</f>
        <v>31729354.561193883</v>
      </c>
      <c r="X12" s="4">
        <f>IF(V12=0,0,W12/V12)</f>
        <v>5.1267748493819258E-2</v>
      </c>
      <c r="Y12" s="3">
        <f>Y14+Y15+Y16+Y17+Y18</f>
        <v>23865978.277913213</v>
      </c>
      <c r="Z12" s="3">
        <f>Z14+Z15+Z16+Z17+Z18</f>
        <v>182386.24275052128</v>
      </c>
      <c r="AA12" s="4">
        <f>IF(Y12=0,0,Z12/Y12)</f>
        <v>7.6421021014382957E-3</v>
      </c>
      <c r="AB12" s="3">
        <f>AB14+AB15+AB16+AB17+AB18</f>
        <v>815643.03969645977</v>
      </c>
      <c r="AC12" s="3">
        <f>AC14+AC15+AC16+AC17+AC18</f>
        <v>1680.7280119055067</v>
      </c>
      <c r="AD12" s="4">
        <f>IF(AB12=0,0,AC12/AB12)</f>
        <v>2.0606171206107356E-3</v>
      </c>
    </row>
    <row r="13" spans="1:30" x14ac:dyDescent="0.25">
      <c r="A13" s="5" t="s">
        <v>29</v>
      </c>
    </row>
    <row r="14" spans="1:30" x14ac:dyDescent="0.25">
      <c r="B14" t="s">
        <v>30</v>
      </c>
      <c r="C14" s="3">
        <f>J14+M14+G14+P14</f>
        <v>600.81939808588481</v>
      </c>
      <c r="D14" s="3">
        <f>G14</f>
        <v>187.69467997746801</v>
      </c>
      <c r="E14" s="3">
        <f>J14+M14+P14</f>
        <v>413.12471810841669</v>
      </c>
      <c r="F14" s="3">
        <v>397.0902965307904</v>
      </c>
      <c r="G14" s="3">
        <v>187.69467997746801</v>
      </c>
      <c r="H14" s="4">
        <f>IF(F14=0,0,G14/F14)</f>
        <v>0.47267506060278197</v>
      </c>
      <c r="I14" s="3">
        <v>4589.3407252301513</v>
      </c>
      <c r="J14" s="3">
        <v>353.71989398487011</v>
      </c>
      <c r="K14" s="4">
        <f>IF(I14=0,0,J14/I14)</f>
        <v>7.7074228121759555E-2</v>
      </c>
      <c r="L14" s="3">
        <v>18640.875795544409</v>
      </c>
      <c r="M14" s="3">
        <v>53.027422906763853</v>
      </c>
      <c r="N14" s="4">
        <f>IF(L14=0,0,M14/L14)</f>
        <v>2.8446851686785343E-3</v>
      </c>
      <c r="O14" s="3">
        <v>597.84931909720888</v>
      </c>
      <c r="P14" s="3">
        <v>6.3774012167827463</v>
      </c>
      <c r="Q14" s="4">
        <f>IF(O14=0,0,P14/O14)</f>
        <v>1.066723840450807E-2</v>
      </c>
      <c r="S14" s="3">
        <v>4414.1724036552041</v>
      </c>
      <c r="T14" s="3">
        <v>2086.469208408852</v>
      </c>
      <c r="U14" s="4">
        <f>IF(S14=0,0,T14/S14)</f>
        <v>0.47267506060278208</v>
      </c>
      <c r="V14" s="3">
        <v>139014089.4100596</v>
      </c>
      <c r="W14" s="3">
        <v>8355155.5918340236</v>
      </c>
      <c r="X14" s="4">
        <f>IF(V14=0,0,W14/V14)</f>
        <v>6.0102940840681518E-2</v>
      </c>
      <c r="Y14" s="3">
        <v>6121894.3326630509</v>
      </c>
      <c r="Z14" s="3">
        <v>65332.339145980783</v>
      </c>
      <c r="AA14" s="4">
        <f>IF(Y14=0,0,Z14/Y14)</f>
        <v>1.0671915520887622E-2</v>
      </c>
      <c r="AB14" s="3">
        <v>208016.4497539358</v>
      </c>
      <c r="AC14" s="3">
        <v>589.18509642445133</v>
      </c>
      <c r="AD14" s="4">
        <f>IF(AB14=0,0,AC14/AB14)</f>
        <v>2.8323966547905356E-3</v>
      </c>
    </row>
    <row r="15" spans="1:30" x14ac:dyDescent="0.25">
      <c r="B15" t="s">
        <v>31</v>
      </c>
      <c r="C15" s="3">
        <f>J15+M15+G15+P15</f>
        <v>499.6805789823365</v>
      </c>
      <c r="D15" s="3">
        <f>G15</f>
        <v>147.87505405504081</v>
      </c>
      <c r="E15" s="3">
        <f>J15+M15+P15</f>
        <v>351.80552492729566</v>
      </c>
      <c r="F15" s="3">
        <v>346.92132413597358</v>
      </c>
      <c r="G15" s="3">
        <v>147.87505405504081</v>
      </c>
      <c r="H15" s="4">
        <f>IF(F15=0,0,G15/F15)</f>
        <v>0.42624953776863289</v>
      </c>
      <c r="I15" s="3">
        <v>4107.7677417370733</v>
      </c>
      <c r="J15" s="3">
        <v>311.7710410246919</v>
      </c>
      <c r="K15" s="4">
        <f>IF(I15=0,0,J15/I15)</f>
        <v>7.5897923306844917E-2</v>
      </c>
      <c r="L15" s="3">
        <v>15402.279753726511</v>
      </c>
      <c r="M15" s="3">
        <v>34.603698750201623</v>
      </c>
      <c r="N15" s="4">
        <f>IF(L15=0,0,M15/L15)</f>
        <v>2.2466608387520957E-3</v>
      </c>
      <c r="O15" s="3">
        <v>474.66518012962229</v>
      </c>
      <c r="P15" s="3">
        <v>5.4307851524021826</v>
      </c>
      <c r="Q15" s="4">
        <f>IF(O15=0,0,P15/O15)</f>
        <v>1.1441296686053811E-2</v>
      </c>
      <c r="S15" s="3">
        <v>3856.4793665810321</v>
      </c>
      <c r="T15" s="3">
        <v>1643.8225474194351</v>
      </c>
      <c r="U15" s="4">
        <f>IF(S15=0,0,T15/S15)</f>
        <v>0.42624953776863289</v>
      </c>
      <c r="V15" s="3">
        <v>128879655.4497555</v>
      </c>
      <c r="W15" s="3">
        <v>7779522.5345460922</v>
      </c>
      <c r="X15" s="4">
        <f>IF(V15=0,0,W15/V15)</f>
        <v>6.0362688799854722E-2</v>
      </c>
      <c r="Y15" s="3">
        <v>5178418.7676341943</v>
      </c>
      <c r="Z15" s="3">
        <v>45623.71396590583</v>
      </c>
      <c r="AA15" s="4">
        <f>IF(Y15=0,0,Z15/Y15)</f>
        <v>8.810356213572396E-3</v>
      </c>
      <c r="AB15" s="3">
        <v>171868.3936012006</v>
      </c>
      <c r="AC15" s="3">
        <v>384.52079977173707</v>
      </c>
      <c r="AD15" s="4">
        <f>IF(AB15=0,0,AC15/AB15)</f>
        <v>2.2372979214780476E-3</v>
      </c>
    </row>
    <row r="16" spans="1:30" x14ac:dyDescent="0.25">
      <c r="B16" t="s">
        <v>32</v>
      </c>
      <c r="C16" s="3">
        <f>J16+M16+G16+P16</f>
        <v>417.74213632272046</v>
      </c>
      <c r="D16" s="3">
        <f>G16</f>
        <v>117.07527770472841</v>
      </c>
      <c r="E16" s="3">
        <f>J16+M16+P16</f>
        <v>300.66685861799203</v>
      </c>
      <c r="F16" s="3">
        <v>308.40246775221379</v>
      </c>
      <c r="G16" s="3">
        <v>117.07527770472841</v>
      </c>
      <c r="H16" s="4">
        <f>IF(F16=0,0,G16/F16)</f>
        <v>0.37961848540976212</v>
      </c>
      <c r="I16" s="3">
        <v>3973.118437255514</v>
      </c>
      <c r="J16" s="3">
        <v>268.34160623974998</v>
      </c>
      <c r="K16" s="4">
        <f>IF(I16=0,0,J16/I16)</f>
        <v>6.7539291988766043E-2</v>
      </c>
      <c r="L16" s="3">
        <v>13777.53512556912</v>
      </c>
      <c r="M16" s="3">
        <v>28.188180174233391</v>
      </c>
      <c r="N16" s="4">
        <f>IF(L16=0,0,M16/L16)</f>
        <v>2.0459523359820865E-3</v>
      </c>
      <c r="O16" s="3">
        <v>416.35115593519282</v>
      </c>
      <c r="P16" s="3">
        <v>4.1370722040086987</v>
      </c>
      <c r="Q16" s="4">
        <f>IF(O16=0,0,P16/O16)</f>
        <v>9.9364974614184927E-3</v>
      </c>
      <c r="S16" s="3">
        <v>3428.292441957034</v>
      </c>
      <c r="T16" s="3">
        <v>1301.4431843574639</v>
      </c>
      <c r="U16" s="4">
        <f>IF(S16=0,0,T16/S16)</f>
        <v>0.37961848540976206</v>
      </c>
      <c r="V16" s="3">
        <v>125210935.1791828</v>
      </c>
      <c r="W16" s="3">
        <v>6749260.3681669245</v>
      </c>
      <c r="X16" s="4">
        <f>IF(V16=0,0,W16/V16)</f>
        <v>5.3903122427034128E-2</v>
      </c>
      <c r="Y16" s="3">
        <v>4636445.5397252385</v>
      </c>
      <c r="Z16" s="3">
        <v>33384.567735356279</v>
      </c>
      <c r="AA16" s="4">
        <f>IF(Y16=0,0,Z16/Y16)</f>
        <v>7.2004658416271808E-3</v>
      </c>
      <c r="AB16" s="3">
        <v>153755.60334743661</v>
      </c>
      <c r="AC16" s="3">
        <v>313.19839336245792</v>
      </c>
      <c r="AD16" s="4">
        <f>IF(AB16=0,0,AC16/AB16)</f>
        <v>2.036988483956149E-3</v>
      </c>
    </row>
    <row r="17" spans="1:30" x14ac:dyDescent="0.25">
      <c r="B17" t="s">
        <v>33</v>
      </c>
      <c r="C17" s="3">
        <f>J17+M17+G17+P17</f>
        <v>343.04047045401524</v>
      </c>
      <c r="D17" s="3">
        <f>G17</f>
        <v>99.072823798268359</v>
      </c>
      <c r="E17" s="3">
        <f>J17+M17+P17</f>
        <v>243.96764665574688</v>
      </c>
      <c r="F17" s="3">
        <v>288.78949981879617</v>
      </c>
      <c r="G17" s="3">
        <v>99.072823798268359</v>
      </c>
      <c r="H17" s="4">
        <f>IF(F17=0,0,G17/F17)</f>
        <v>0.3430624169522527</v>
      </c>
      <c r="I17" s="3">
        <v>3607.833411572376</v>
      </c>
      <c r="J17" s="3">
        <v>216.84945860887089</v>
      </c>
      <c r="K17" s="4">
        <f>IF(I17=0,0,J17/I17)</f>
        <v>6.0105175009830335E-2</v>
      </c>
      <c r="L17" s="3">
        <v>12917.49073548635</v>
      </c>
      <c r="M17" s="3">
        <v>23.15329722107202</v>
      </c>
      <c r="N17" s="4">
        <f>IF(L17=0,0,M17/L17)</f>
        <v>1.7923989802033551E-3</v>
      </c>
      <c r="O17" s="3">
        <v>380.99540985857192</v>
      </c>
      <c r="P17" s="3">
        <v>3.9648908258039741</v>
      </c>
      <c r="Q17" s="4">
        <f>IF(O17=0,0,P17/O17)</f>
        <v>1.0406662976007423E-2</v>
      </c>
      <c r="S17" s="3">
        <v>3210.2689280060872</v>
      </c>
      <c r="T17" s="3">
        <v>1101.3226175084851</v>
      </c>
      <c r="U17" s="4">
        <f>IF(S17=0,0,T17/S17)</f>
        <v>0.34306241695225254</v>
      </c>
      <c r="V17" s="3">
        <v>117724986.5060492</v>
      </c>
      <c r="W17" s="3">
        <v>5759705.3984264135</v>
      </c>
      <c r="X17" s="4">
        <f>IF(V17=0,0,W17/V17)</f>
        <v>4.8925088627047378E-2</v>
      </c>
      <c r="Y17" s="3">
        <v>4171333.157109953</v>
      </c>
      <c r="Z17" s="3">
        <v>27373.607733182609</v>
      </c>
      <c r="AA17" s="4">
        <f>IF(Y17=0,0,Z17/Y17)</f>
        <v>6.5623163392079693E-3</v>
      </c>
      <c r="AB17" s="3">
        <v>144170.4921208685</v>
      </c>
      <c r="AC17" s="3">
        <v>257.38085791171761</v>
      </c>
      <c r="AD17" s="4">
        <f>IF(AB17=0,0,AC17/AB17)</f>
        <v>1.7852533769249863E-3</v>
      </c>
    </row>
    <row r="18" spans="1:30" x14ac:dyDescent="0.25">
      <c r="B18" t="s">
        <v>34</v>
      </c>
      <c r="C18" s="3">
        <f>J18+M18+G18+P18</f>
        <v>163.71070780573203</v>
      </c>
      <c r="D18" s="3">
        <f>G18</f>
        <v>42.981122887243338</v>
      </c>
      <c r="E18" s="3">
        <f>J18+M18+P18</f>
        <v>120.7295849184887</v>
      </c>
      <c r="F18" s="3">
        <v>239.8280399304447</v>
      </c>
      <c r="G18" s="3">
        <v>42.981122887243338</v>
      </c>
      <c r="H18" s="4">
        <f>IF(F18=0,0,G18/F18)</f>
        <v>0.17921642064751389</v>
      </c>
      <c r="I18" s="3">
        <v>3109.4284604558202</v>
      </c>
      <c r="J18" s="3">
        <v>107.3276773510338</v>
      </c>
      <c r="K18" s="4">
        <f>IF(I18=0,0,J18/I18)</f>
        <v>3.4516850513196987E-2</v>
      </c>
      <c r="L18" s="3">
        <v>12350.65552086042</v>
      </c>
      <c r="M18" s="3">
        <v>12.283204574460161</v>
      </c>
      <c r="N18" s="4">
        <f>IF(L18=0,0,M18/L18)</f>
        <v>9.9453867478642454E-4</v>
      </c>
      <c r="O18" s="3">
        <v>348.58104120501969</v>
      </c>
      <c r="P18" s="3">
        <v>1.1187029929947461</v>
      </c>
      <c r="Q18" s="4">
        <f>IF(O18=0,0,P18/O18)</f>
        <v>3.2093053286187624E-3</v>
      </c>
      <c r="S18" s="3">
        <v>2665.998954727921</v>
      </c>
      <c r="T18" s="3">
        <v>477.79079011635167</v>
      </c>
      <c r="U18" s="4">
        <f>IF(S18=0,0,T18/S18)</f>
        <v>0.17921642064751397</v>
      </c>
      <c r="V18" s="3">
        <v>108065359.9260122</v>
      </c>
      <c r="W18" s="3">
        <v>3085710.6682204311</v>
      </c>
      <c r="X18" s="4">
        <f>IF(V18=0,0,W18/V18)</f>
        <v>2.8554114568563757E-2</v>
      </c>
      <c r="Y18" s="3">
        <v>3757886.4807807771</v>
      </c>
      <c r="Z18" s="3">
        <v>10672.01417009579</v>
      </c>
      <c r="AA18" s="4">
        <f>IF(Y18=0,0,Z18/Y18)</f>
        <v>2.8398979651664364E-3</v>
      </c>
      <c r="AB18" s="3">
        <v>137832.10087301829</v>
      </c>
      <c r="AC18" s="3">
        <v>136.44286443514281</v>
      </c>
      <c r="AD18" s="4">
        <f>IF(AB18=0,0,AC18/AB18)</f>
        <v>9.8992080633556216E-4</v>
      </c>
    </row>
    <row r="20" spans="1:30" x14ac:dyDescent="0.25">
      <c r="A20" s="2" t="s">
        <v>36</v>
      </c>
    </row>
    <row r="21" spans="1:30" x14ac:dyDescent="0.25">
      <c r="B21" t="s">
        <v>28</v>
      </c>
      <c r="C21" s="3">
        <f>C23+C24+C25+C26+C27</f>
        <v>2025.4551739927088</v>
      </c>
      <c r="D21" s="3">
        <f>D23+D24+D25+D26+D27</f>
        <v>1075.1027820881886</v>
      </c>
      <c r="E21" s="3">
        <f>E23+E24+E25+E26+E27</f>
        <v>950.35239190451978</v>
      </c>
      <c r="F21" s="3">
        <f>F23+F24+F25+F26+F27</f>
        <v>1921.9196808294905</v>
      </c>
      <c r="G21" s="3">
        <f>G23+G24+G25+G26+G27</f>
        <v>1075.1027820881886</v>
      </c>
      <c r="H21" s="4">
        <f>IF(F21=0,0,G21/F21)</f>
        <v>0.55939006859234608</v>
      </c>
      <c r="I21" s="3">
        <f>I23+I24+I25+I26+I27</f>
        <v>3682.4352162782898</v>
      </c>
      <c r="J21" s="3">
        <f>J23+J24+J25+J26+J27</f>
        <v>679.89807498000414</v>
      </c>
      <c r="K21" s="4">
        <f>IF(I21=0,0,J21/I21)</f>
        <v>0.18463273215900691</v>
      </c>
      <c r="L21" s="3">
        <f>L23+L24+L25+L26+L27</f>
        <v>75120.106151105079</v>
      </c>
      <c r="M21" s="3">
        <f>M23+M24+M25+M26+M27</f>
        <v>209.09178119225427</v>
      </c>
      <c r="N21" s="4">
        <f>IF(L21=0,0,M21/L21)</f>
        <v>2.7834329835964744E-3</v>
      </c>
      <c r="O21" s="3">
        <f>O23+O24+O25+O26+O27</f>
        <v>1936.1737568351107</v>
      </c>
      <c r="P21" s="3">
        <f>P23+P24+P25+P26+P27</f>
        <v>61.362535732261314</v>
      </c>
      <c r="Q21" s="4">
        <f>IF(O21=0,0,P21/O21)</f>
        <v>3.1692680223372689E-2</v>
      </c>
      <c r="S21" s="3">
        <f>S23+S24+S25+S26+S27</f>
        <v>21364.623843185575</v>
      </c>
      <c r="T21" s="3">
        <f>T23+T24+T25+T26+T27</f>
        <v>11951.158397089252</v>
      </c>
      <c r="U21" s="4">
        <f>IF(S21=0,0,T21/S21)</f>
        <v>0.55939006859234608</v>
      </c>
      <c r="V21" s="3">
        <f>V23+V24+V25+V26+V27</f>
        <v>106670224.92367341</v>
      </c>
      <c r="W21" s="3">
        <f>W23+W24+W25+W26+W27</f>
        <v>16352042.978713943</v>
      </c>
      <c r="X21" s="4">
        <f>IF(V21=0,0,W21/V21)</f>
        <v>0.1532952892000973</v>
      </c>
      <c r="Y21" s="3">
        <f>Y23+Y24+Y25+Y26+Y27</f>
        <v>8082003.8383214176</v>
      </c>
      <c r="Z21" s="3">
        <f>Z23+Z24+Z25+Z26+Z27</f>
        <v>264644.73974931054</v>
      </c>
      <c r="AA21" s="4">
        <f>IF(Y21=0,0,Z21/Y21)</f>
        <v>3.2744941111569136E-2</v>
      </c>
      <c r="AB21" s="3">
        <f>AB23+AB24+AB25+AB26+AB27</f>
        <v>844449.53447731666</v>
      </c>
      <c r="AC21" s="3">
        <f>AC23+AC24+AC25+AC26+AC27</f>
        <v>2321.625865432783</v>
      </c>
      <c r="AD21" s="4">
        <f>IF(AB21=0,0,AC21/AB21)</f>
        <v>2.7492772162753154E-3</v>
      </c>
    </row>
    <row r="22" spans="1:30" x14ac:dyDescent="0.25">
      <c r="A22" s="5" t="s">
        <v>29</v>
      </c>
    </row>
    <row r="23" spans="1:30" x14ac:dyDescent="0.25">
      <c r="B23" t="s">
        <v>30</v>
      </c>
      <c r="C23" s="3">
        <f>J23+M23+G23+P23</f>
        <v>528.09273071753535</v>
      </c>
      <c r="D23" s="3">
        <f>G23</f>
        <v>277.48144279559921</v>
      </c>
      <c r="E23" s="3">
        <f>J23+M23+P23</f>
        <v>250.61128792193603</v>
      </c>
      <c r="F23" s="3">
        <v>428.09244082133358</v>
      </c>
      <c r="G23" s="3">
        <v>277.48144279559921</v>
      </c>
      <c r="H23" s="4">
        <f>IF(F23=0,0,G23/F23)</f>
        <v>0.64818113177431091</v>
      </c>
      <c r="I23" s="3">
        <v>991.82050542122556</v>
      </c>
      <c r="J23" s="3">
        <v>161.34670463399451</v>
      </c>
      <c r="K23" s="4">
        <f>IF(I23=0,0,J23/I23)</f>
        <v>0.1626773229148662</v>
      </c>
      <c r="L23" s="3">
        <v>18248.150900694091</v>
      </c>
      <c r="M23" s="3">
        <v>74.961120675049727</v>
      </c>
      <c r="N23" s="4">
        <f>IF(L23=0,0,M23/L23)</f>
        <v>4.1078748791034212E-3</v>
      </c>
      <c r="O23" s="3">
        <v>476.04818802351332</v>
      </c>
      <c r="P23" s="3">
        <v>14.303462612891799</v>
      </c>
      <c r="Q23" s="4">
        <f>IF(O23=0,0,P23/O23)</f>
        <v>3.0046249461168649E-2</v>
      </c>
      <c r="S23" s="3">
        <v>4758.8013481976486</v>
      </c>
      <c r="T23" s="3">
        <v>3084.5652437638678</v>
      </c>
      <c r="U23" s="4">
        <f>IF(S23=0,0,T23/S23)</f>
        <v>0.6481811317743108</v>
      </c>
      <c r="V23" s="3">
        <v>25699987.560610589</v>
      </c>
      <c r="W23" s="3">
        <v>3287127.8543681498</v>
      </c>
      <c r="X23" s="4">
        <f>IF(V23=0,0,W23/V23)</f>
        <v>0.12790386947136922</v>
      </c>
      <c r="Y23" s="3">
        <v>1959206.3612258229</v>
      </c>
      <c r="Z23" s="3">
        <v>68388.334340513917</v>
      </c>
      <c r="AA23" s="4">
        <f>IF(Y23=0,0,Z23/Y23)</f>
        <v>3.4906141432556992E-2</v>
      </c>
      <c r="AB23" s="3">
        <v>205054.68928072241</v>
      </c>
      <c r="AC23" s="3">
        <v>832.18096089712344</v>
      </c>
      <c r="AD23" s="4">
        <f>IF(AB23=0,0,AC23/AB23)</f>
        <v>4.0583366506574126E-3</v>
      </c>
    </row>
    <row r="24" spans="1:30" x14ac:dyDescent="0.25">
      <c r="B24" t="s">
        <v>31</v>
      </c>
      <c r="C24" s="3">
        <f>J24+M24+G24+P24</f>
        <v>504.1406020808115</v>
      </c>
      <c r="D24" s="3">
        <f>G24</f>
        <v>273.77050166811682</v>
      </c>
      <c r="E24" s="3">
        <f>J24+M24+P24</f>
        <v>230.37010041269468</v>
      </c>
      <c r="F24" s="3">
        <v>437.75116549754102</v>
      </c>
      <c r="G24" s="3">
        <v>273.77050166811682</v>
      </c>
      <c r="H24" s="4">
        <f>IF(F24=0,0,G24/F24)</f>
        <v>0.62540210796915552</v>
      </c>
      <c r="I24" s="3">
        <v>847.52939170447485</v>
      </c>
      <c r="J24" s="3">
        <v>150.80802307750321</v>
      </c>
      <c r="K24" s="4">
        <f>IF(I24=0,0,J24/I24)</f>
        <v>0.17793839901435357</v>
      </c>
      <c r="L24" s="3">
        <v>18442.648959675</v>
      </c>
      <c r="M24" s="3">
        <v>61.83910950501263</v>
      </c>
      <c r="N24" s="4">
        <f>IF(L24=0,0,M24/L24)</f>
        <v>3.3530492089408814E-3</v>
      </c>
      <c r="O24" s="3">
        <v>476.56393826290048</v>
      </c>
      <c r="P24" s="3">
        <v>17.722967830178849</v>
      </c>
      <c r="Q24" s="4">
        <f>IF(O24=0,0,P24/O24)</f>
        <v>3.7189066161363277E-2</v>
      </c>
      <c r="S24" s="3">
        <v>4866.1705694873763</v>
      </c>
      <c r="T24" s="3">
        <v>3043.3133318948712</v>
      </c>
      <c r="U24" s="4">
        <f>IF(S24=0,0,T24/S24)</f>
        <v>0.62540210796915552</v>
      </c>
      <c r="V24" s="3">
        <v>23322467.600951109</v>
      </c>
      <c r="W24" s="3">
        <v>3365842.996704068</v>
      </c>
      <c r="X24" s="4">
        <f>IF(V24=0,0,W24/V24)</f>
        <v>0.14431761914278771</v>
      </c>
      <c r="Y24" s="3">
        <v>2033978.1299748039</v>
      </c>
      <c r="Z24" s="3">
        <v>72763.092096773442</v>
      </c>
      <c r="AA24" s="4">
        <f>IF(Y24=0,0,Z24/Y24)</f>
        <v>3.5773782925421528E-2</v>
      </c>
      <c r="AB24" s="3">
        <v>207305.28823611679</v>
      </c>
      <c r="AC24" s="3">
        <v>686.94683141575661</v>
      </c>
      <c r="AD24" s="4">
        <f>IF(AB24=0,0,AC24/AB24)</f>
        <v>3.3136966126659402E-3</v>
      </c>
    </row>
    <row r="25" spans="1:30" x14ac:dyDescent="0.25">
      <c r="B25" t="s">
        <v>32</v>
      </c>
      <c r="C25" s="3">
        <f>J25+M25+G25+P25</f>
        <v>399.25831226327256</v>
      </c>
      <c r="D25" s="3">
        <f>G25</f>
        <v>214.2843575815979</v>
      </c>
      <c r="E25" s="3">
        <f>J25+M25+P25</f>
        <v>184.97395468167468</v>
      </c>
      <c r="F25" s="3">
        <v>396.28526128416758</v>
      </c>
      <c r="G25" s="3">
        <v>214.2843575815979</v>
      </c>
      <c r="H25" s="4">
        <f>IF(F25=0,0,G25/F25)</f>
        <v>0.54073259471524793</v>
      </c>
      <c r="I25" s="3">
        <v>721.62080381298233</v>
      </c>
      <c r="J25" s="3">
        <v>136.4734691339483</v>
      </c>
      <c r="K25" s="4">
        <f>IF(I25=0,0,J25/I25)</f>
        <v>0.18912075208036438</v>
      </c>
      <c r="L25" s="3">
        <v>15355.961975565249</v>
      </c>
      <c r="M25" s="3">
        <v>35.528234945729373</v>
      </c>
      <c r="N25" s="4">
        <f>IF(L25=0,0,M25/L25)</f>
        <v>2.3136443683738407E-3</v>
      </c>
      <c r="O25" s="3">
        <v>391.5266582641886</v>
      </c>
      <c r="P25" s="3">
        <v>12.97225060199702</v>
      </c>
      <c r="Q25" s="4">
        <f>IF(O25=0,0,P25/O25)</f>
        <v>3.3132483646219041E-2</v>
      </c>
      <c r="S25" s="3">
        <v>4405.2233953297473</v>
      </c>
      <c r="T25" s="3">
        <v>2382.0478768569678</v>
      </c>
      <c r="U25" s="4">
        <f>IF(S25=0,0,T25/S25)</f>
        <v>0.54073259471524771</v>
      </c>
      <c r="V25" s="3">
        <v>21162807.846375171</v>
      </c>
      <c r="W25" s="3">
        <v>3312150.152959324</v>
      </c>
      <c r="X25" s="4">
        <f>IF(V25=0,0,W25/V25)</f>
        <v>0.15650806721881375</v>
      </c>
      <c r="Y25" s="3">
        <v>1664123.912966297</v>
      </c>
      <c r="Z25" s="3">
        <v>54164.273485496167</v>
      </c>
      <c r="AA25" s="4">
        <f>IF(Y25=0,0,Z25/Y25)</f>
        <v>3.2548221357476002E-2</v>
      </c>
      <c r="AB25" s="3">
        <v>172634.6152091868</v>
      </c>
      <c r="AC25" s="3">
        <v>394.35836618309258</v>
      </c>
      <c r="AD25" s="4">
        <f>IF(AB25=0,0,AC25/AB25)</f>
        <v>2.2843527974110876E-3</v>
      </c>
    </row>
    <row r="26" spans="1:30" x14ac:dyDescent="0.25">
      <c r="B26" t="s">
        <v>33</v>
      </c>
      <c r="C26" s="3">
        <f>J26+M26+G26+P26</f>
        <v>329.62739727344268</v>
      </c>
      <c r="D26" s="3">
        <f>G26</f>
        <v>169.09086715748001</v>
      </c>
      <c r="E26" s="3">
        <f>J26+M26+P26</f>
        <v>160.53653011596268</v>
      </c>
      <c r="F26" s="3">
        <v>351.26672270713158</v>
      </c>
      <c r="G26" s="3">
        <v>169.09086715748001</v>
      </c>
      <c r="H26" s="4">
        <f>IF(F26=0,0,G26/F26)</f>
        <v>0.48137456874461582</v>
      </c>
      <c r="I26" s="3">
        <v>656.23600296293523</v>
      </c>
      <c r="J26" s="3">
        <v>129.4537897061268</v>
      </c>
      <c r="K26" s="4">
        <f>IF(I26=0,0,J26/I26)</f>
        <v>0.19726712512211625</v>
      </c>
      <c r="L26" s="3">
        <v>12320.893910346331</v>
      </c>
      <c r="M26" s="3">
        <v>22.14377215228788</v>
      </c>
      <c r="N26" s="4">
        <f>IF(L26=0,0,M26/L26)</f>
        <v>1.7972536987509403E-3</v>
      </c>
      <c r="O26" s="3">
        <v>305.89771512841492</v>
      </c>
      <c r="P26" s="3">
        <v>8.9389682575479963</v>
      </c>
      <c r="Q26" s="4">
        <f>IF(O26=0,0,P26/O26)</f>
        <v>2.9222082465687738E-2</v>
      </c>
      <c r="S26" s="3">
        <v>3904.7840938011818</v>
      </c>
      <c r="T26" s="3">
        <v>1879.66375919438</v>
      </c>
      <c r="U26" s="4">
        <f>IF(S26=0,0,T26/S26)</f>
        <v>0.48137456874461598</v>
      </c>
      <c r="V26" s="3">
        <v>20232379.411657181</v>
      </c>
      <c r="W26" s="3">
        <v>3331387.4500437491</v>
      </c>
      <c r="X26" s="4">
        <f>IF(V26=0,0,W26/V26)</f>
        <v>0.16465623653361905</v>
      </c>
      <c r="Y26" s="3">
        <v>1291512.2728871789</v>
      </c>
      <c r="Z26" s="3">
        <v>36162.543023739941</v>
      </c>
      <c r="AA26" s="4">
        <f>IF(Y26=0,0,Z26/Y26)</f>
        <v>2.8000154379407085E-2</v>
      </c>
      <c r="AB26" s="3">
        <v>138538.51808137319</v>
      </c>
      <c r="AC26" s="3">
        <v>245.9439272969903</v>
      </c>
      <c r="AD26" s="4">
        <f>IF(AB26=0,0,AC26/AB26)</f>
        <v>1.7752747084571131E-3</v>
      </c>
    </row>
    <row r="27" spans="1:30" x14ac:dyDescent="0.25">
      <c r="B27" t="s">
        <v>34</v>
      </c>
      <c r="C27" s="3">
        <f>J27+M27+G27+P27</f>
        <v>264.33613165764655</v>
      </c>
      <c r="D27" s="3">
        <f>G27</f>
        <v>140.47561288539481</v>
      </c>
      <c r="E27" s="3">
        <f>J27+M27+P27</f>
        <v>123.86051877225169</v>
      </c>
      <c r="F27" s="3">
        <v>308.52409051931693</v>
      </c>
      <c r="G27" s="3">
        <v>140.47561288539481</v>
      </c>
      <c r="H27" s="4">
        <f>IF(F27=0,0,G27/F27)</f>
        <v>0.4553148917769827</v>
      </c>
      <c r="I27" s="3">
        <v>465.22851237667129</v>
      </c>
      <c r="J27" s="3">
        <v>101.8160884284314</v>
      </c>
      <c r="K27" s="4">
        <f>IF(I27=0,0,J27/I27)</f>
        <v>0.21885178083409518</v>
      </c>
      <c r="L27" s="3">
        <v>10752.450404824391</v>
      </c>
      <c r="M27" s="3">
        <v>14.61954391417466</v>
      </c>
      <c r="N27" s="4">
        <f>IF(L27=0,0,M27/L27)</f>
        <v>1.3596476490247459E-3</v>
      </c>
      <c r="O27" s="3">
        <v>286.13725715609343</v>
      </c>
      <c r="P27" s="3">
        <v>7.4248864296456452</v>
      </c>
      <c r="Q27" s="4">
        <f>IF(O27=0,0,P27/O27)</f>
        <v>2.5948688064746584E-2</v>
      </c>
      <c r="S27" s="3">
        <v>3429.6444363696219</v>
      </c>
      <c r="T27" s="3">
        <v>1561.568185379165</v>
      </c>
      <c r="U27" s="4">
        <f>IF(S27=0,0,T27/S27)</f>
        <v>0.45531489177698264</v>
      </c>
      <c r="V27" s="3">
        <v>16252582.504079361</v>
      </c>
      <c r="W27" s="3">
        <v>3055534.5246386509</v>
      </c>
      <c r="X27" s="4">
        <f>IF(V27=0,0,W27/V27)</f>
        <v>0.18800301575898593</v>
      </c>
      <c r="Y27" s="3">
        <v>1133183.161267315</v>
      </c>
      <c r="Z27" s="3">
        <v>33166.496802787056</v>
      </c>
      <c r="AA27" s="4">
        <f>IF(Y27=0,0,Z27/Y27)</f>
        <v>2.9268434209430653E-2</v>
      </c>
      <c r="AB27" s="3">
        <v>120916.42366991749</v>
      </c>
      <c r="AC27" s="3">
        <v>162.1957796398201</v>
      </c>
      <c r="AD27" s="4">
        <f>IF(AB27=0,0,AC27/AB27)</f>
        <v>1.3413875031781345E-3</v>
      </c>
    </row>
    <row r="29" spans="1:30" x14ac:dyDescent="0.25">
      <c r="A29" s="2" t="s">
        <v>37</v>
      </c>
    </row>
    <row r="30" spans="1:30" x14ac:dyDescent="0.25">
      <c r="B30" t="s">
        <v>28</v>
      </c>
      <c r="C30" s="3">
        <f>C32+C33+C34+C35+C36</f>
        <v>283.14465145979244</v>
      </c>
      <c r="D30" s="3">
        <f>D32+D33+D34+D35+D36</f>
        <v>192.3778145952281</v>
      </c>
      <c r="E30" s="3">
        <f>E32+E33+E34+E35+E36</f>
        <v>90.76683686456434</v>
      </c>
      <c r="F30" s="3">
        <f>F32+F33+F34+F35+F36</f>
        <v>1921.9196808294905</v>
      </c>
      <c r="G30" s="3">
        <f>G32+G33+G34+G35+G36</f>
        <v>192.3778145952281</v>
      </c>
      <c r="H30" s="4">
        <f>IF(F30=0,0,G30/F30)</f>
        <v>0.10009669837617712</v>
      </c>
      <c r="I30" s="3">
        <f>I32+I33+I34+I35+I36</f>
        <v>3682.4352162782898</v>
      </c>
      <c r="J30" s="3">
        <f>J32+J33+J34+J35+J36</f>
        <v>82.970511276387967</v>
      </c>
      <c r="K30" s="4">
        <f>IF(I30=0,0,J30/I30)</f>
        <v>2.253142456101194E-2</v>
      </c>
      <c r="L30" s="3">
        <f>L32+L33+L34+L35+L36</f>
        <v>75120.106151105079</v>
      </c>
      <c r="M30" s="3">
        <f>M32+M33+M34+M35+M36</f>
        <v>7.7175543162524711</v>
      </c>
      <c r="N30" s="4">
        <f>IF(L30=0,0,M30/L30)</f>
        <v>1.0273620088779572E-4</v>
      </c>
      <c r="O30" s="3">
        <f>O32+O33+O34+O35+O36</f>
        <v>1936.1737568351107</v>
      </c>
      <c r="P30" s="3">
        <f>P32+P33+P34+P35+P36</f>
        <v>7.8771271923906164E-2</v>
      </c>
      <c r="Q30" s="4">
        <f>IF(O30=0,0,P30/O30)</f>
        <v>4.068398905099638E-5</v>
      </c>
      <c r="S30" s="3">
        <f>S32+S33+S34+S35+S36</f>
        <v>21364.623843185575</v>
      </c>
      <c r="T30" s="3">
        <f>T32+T33+T34+T35+T36</f>
        <v>2138.5283087518278</v>
      </c>
      <c r="U30" s="4">
        <f>IF(S30=0,0,T30/S30)</f>
        <v>0.10009669837617709</v>
      </c>
      <c r="V30" s="3">
        <f>V32+V33+V34+V35+V36</f>
        <v>106670224.92367341</v>
      </c>
      <c r="W30" s="3">
        <f>W32+W33+W34+W35+W36</f>
        <v>2035415.0879866276</v>
      </c>
      <c r="X30" s="4">
        <f>IF(V30=0,0,W30/V30)</f>
        <v>1.9081379920620253E-2</v>
      </c>
      <c r="Y30" s="3">
        <f>Y32+Y33+Y34+Y35+Y36</f>
        <v>8082003.8383214176</v>
      </c>
      <c r="Z30" s="3">
        <f>Z32+Z33+Z34+Z35+Z36</f>
        <v>165.44538423721679</v>
      </c>
      <c r="AA30" s="4">
        <f>IF(Y30=0,0,Z30/Y30)</f>
        <v>2.0470837127389779E-5</v>
      </c>
      <c r="AB30" s="3">
        <f>AB32+AB33+AB34+AB35+AB36</f>
        <v>844449.53447731666</v>
      </c>
      <c r="AC30" s="3">
        <f>AC32+AC33+AC34+AC35+AC36</f>
        <v>85.868353927085991</v>
      </c>
      <c r="AD30" s="4">
        <f>IF(AB30=0,0,AC30/AB30)</f>
        <v>1.0168559567059903E-4</v>
      </c>
    </row>
    <row r="31" spans="1:30" x14ac:dyDescent="0.25">
      <c r="A31" s="5" t="s">
        <v>29</v>
      </c>
    </row>
    <row r="32" spans="1:30" x14ac:dyDescent="0.25">
      <c r="B32" t="s">
        <v>30</v>
      </c>
      <c r="C32" s="3">
        <f>J32+M32+G32+P32</f>
        <v>31.35386340775894</v>
      </c>
      <c r="D32" s="3">
        <f>G32</f>
        <v>17.026035953983609</v>
      </c>
      <c r="E32" s="3">
        <f>J32+M32+P32</f>
        <v>14.327827453775331</v>
      </c>
      <c r="F32" s="3">
        <v>428.09244082133358</v>
      </c>
      <c r="G32" s="3">
        <v>17.026035953983609</v>
      </c>
      <c r="H32" s="4">
        <f>IF(F32=0,0,G32/F32)</f>
        <v>3.9771867780046849E-2</v>
      </c>
      <c r="I32" s="3">
        <v>991.82050542122556</v>
      </c>
      <c r="J32" s="3">
        <v>13.274263988761581</v>
      </c>
      <c r="K32" s="4">
        <f>IF(I32=0,0,J32/I32)</f>
        <v>1.3383736186341508E-2</v>
      </c>
      <c r="L32" s="3">
        <v>18248.150900694091</v>
      </c>
      <c r="M32" s="3">
        <v>1.0535630249716339</v>
      </c>
      <c r="N32" s="4">
        <f>IF(L32=0,0,M32/L32)</f>
        <v>5.773533059349922E-5</v>
      </c>
      <c r="O32" s="3">
        <v>476.04818802351332</v>
      </c>
      <c r="P32" s="3">
        <v>4.4004211667925119E-7</v>
      </c>
      <c r="Q32" s="4">
        <f>IF(O32=0,0,P32/O32)</f>
        <v>9.2436464994488396E-10</v>
      </c>
      <c r="S32" s="3">
        <v>4758.8013481976486</v>
      </c>
      <c r="T32" s="3">
        <v>189.2664180120255</v>
      </c>
      <c r="U32" s="4">
        <f>IF(S32=0,0,T32/S32)</f>
        <v>3.9771867780046835E-2</v>
      </c>
      <c r="V32" s="3">
        <v>25699987.560610589</v>
      </c>
      <c r="W32" s="3">
        <v>265621.43816042691</v>
      </c>
      <c r="X32" s="4">
        <f>IF(V32=0,0,W32/V32)</f>
        <v>1.0335469522465255E-2</v>
      </c>
      <c r="Y32" s="3">
        <v>1959206.3612258229</v>
      </c>
      <c r="Z32" s="3">
        <v>16.96875735768117</v>
      </c>
      <c r="AA32" s="4">
        <f>IF(Y32=0,0,Z32/Y32)</f>
        <v>8.6610362713727992E-6</v>
      </c>
      <c r="AB32" s="3">
        <v>205054.68928072241</v>
      </c>
      <c r="AC32" s="3">
        <v>11.66113448393298</v>
      </c>
      <c r="AD32" s="4">
        <f>IF(AB32=0,0,AC32/AB32)</f>
        <v>5.686841166538134E-5</v>
      </c>
    </row>
    <row r="33" spans="1:30" x14ac:dyDescent="0.25">
      <c r="B33" t="s">
        <v>31</v>
      </c>
      <c r="C33" s="3">
        <f>J33+M33+G33+P33</f>
        <v>51.391064791119781</v>
      </c>
      <c r="D33" s="3">
        <f>G33</f>
        <v>33.74848177556315</v>
      </c>
      <c r="E33" s="3">
        <f>J33+M33+P33</f>
        <v>17.642583015556625</v>
      </c>
      <c r="F33" s="3">
        <v>437.75116549754102</v>
      </c>
      <c r="G33" s="3">
        <v>33.74848177556315</v>
      </c>
      <c r="H33" s="4">
        <f>IF(F33=0,0,G33/F33)</f>
        <v>7.7095127176201025E-2</v>
      </c>
      <c r="I33" s="3">
        <v>847.52939170447485</v>
      </c>
      <c r="J33" s="3">
        <v>15.934243433097031</v>
      </c>
      <c r="K33" s="4">
        <f>IF(I33=0,0,J33/I33)</f>
        <v>1.8800815156453175E-2</v>
      </c>
      <c r="L33" s="3">
        <v>18442.648959675</v>
      </c>
      <c r="M33" s="3">
        <v>1.708336847607046</v>
      </c>
      <c r="N33" s="4">
        <f>IF(L33=0,0,M33/L33)</f>
        <v>9.2629689549605278E-5</v>
      </c>
      <c r="O33" s="3">
        <v>476.56393826290048</v>
      </c>
      <c r="P33" s="3">
        <v>2.7348525472916658E-6</v>
      </c>
      <c r="Q33" s="4">
        <f>IF(O33=0,0,P33/O33)</f>
        <v>5.7386896651482715E-9</v>
      </c>
      <c r="S33" s="3">
        <v>4866.1705694873763</v>
      </c>
      <c r="T33" s="3">
        <v>375.15803891571608</v>
      </c>
      <c r="U33" s="4">
        <f>IF(S33=0,0,T33/S33)</f>
        <v>7.7095127176201067E-2</v>
      </c>
      <c r="V33" s="3">
        <v>23322467.600951109</v>
      </c>
      <c r="W33" s="3">
        <v>353266.07830042759</v>
      </c>
      <c r="X33" s="4">
        <f>IF(V33=0,0,W33/V33)</f>
        <v>1.5147028365301326E-2</v>
      </c>
      <c r="Y33" s="3">
        <v>2033978.1299748039</v>
      </c>
      <c r="Z33" s="3">
        <v>101.8125441458542</v>
      </c>
      <c r="AA33" s="4">
        <f>IF(Y33=0,0,Z33/Y33)</f>
        <v>5.0055869650434945E-5</v>
      </c>
      <c r="AB33" s="3">
        <v>207305.28823611679</v>
      </c>
      <c r="AC33" s="3">
        <v>19.081856428296309</v>
      </c>
      <c r="AD33" s="4">
        <f>IF(AB33=0,0,AC33/AB33)</f>
        <v>9.2047128129999444E-5</v>
      </c>
    </row>
    <row r="34" spans="1:30" x14ac:dyDescent="0.25">
      <c r="B34" t="s">
        <v>32</v>
      </c>
      <c r="C34" s="3">
        <f>J34+M34+G34+P34</f>
        <v>61.958599670719302</v>
      </c>
      <c r="D34" s="3">
        <f>G34</f>
        <v>42.554425860531921</v>
      </c>
      <c r="E34" s="3">
        <f>J34+M34+P34</f>
        <v>19.404173810187377</v>
      </c>
      <c r="F34" s="3">
        <v>396.28526128416758</v>
      </c>
      <c r="G34" s="3">
        <v>42.554425860531921</v>
      </c>
      <c r="H34" s="4">
        <f>IF(F34=0,0,G34/F34)</f>
        <v>0.10738331706466636</v>
      </c>
      <c r="I34" s="3">
        <v>721.62080381298233</v>
      </c>
      <c r="J34" s="3">
        <v>17.590585173127941</v>
      </c>
      <c r="K34" s="4">
        <f>IF(I34=0,0,J34/I34)</f>
        <v>2.4376493970490874E-2</v>
      </c>
      <c r="L34" s="3">
        <v>15355.961975565249</v>
      </c>
      <c r="M34" s="3">
        <v>1.813587757010013</v>
      </c>
      <c r="N34" s="4">
        <f>IF(L34=0,0,M34/L34)</f>
        <v>1.181031680005352E-4</v>
      </c>
      <c r="O34" s="3">
        <v>391.5266582641886</v>
      </c>
      <c r="P34" s="3">
        <v>8.8004942517727614E-7</v>
      </c>
      <c r="Q34" s="4">
        <f>IF(O34=0,0,P34/O34)</f>
        <v>2.2477381976464277E-9</v>
      </c>
      <c r="S34" s="3">
        <v>4405.2233953297473</v>
      </c>
      <c r="T34" s="3">
        <v>473.04750060138031</v>
      </c>
      <c r="U34" s="4">
        <f>IF(S34=0,0,T34/S34)</f>
        <v>0.10738331706466635</v>
      </c>
      <c r="V34" s="3">
        <v>21162807.846375171</v>
      </c>
      <c r="W34" s="3">
        <v>423351.13030203059</v>
      </c>
      <c r="X34" s="4">
        <f>IF(V34=0,0,W34/V34)</f>
        <v>2.0004487749225745E-2</v>
      </c>
      <c r="Y34" s="3">
        <v>1664123.912966297</v>
      </c>
      <c r="Z34" s="3">
        <v>34.998062050202861</v>
      </c>
      <c r="AA34" s="4">
        <f>IF(Y34=0,0,Z34/Y34)</f>
        <v>2.1030923104649638E-5</v>
      </c>
      <c r="AB34" s="3">
        <v>172634.6152091868</v>
      </c>
      <c r="AC34" s="3">
        <v>20.141959563101409</v>
      </c>
      <c r="AD34" s="4">
        <f>IF(AB34=0,0,AC34/AB34)</f>
        <v>1.1667393320102554E-4</v>
      </c>
    </row>
    <row r="35" spans="1:30" x14ac:dyDescent="0.25">
      <c r="B35" t="s">
        <v>33</v>
      </c>
      <c r="C35" s="3">
        <f>J35+M35+G35+P35</f>
        <v>70.573330435628009</v>
      </c>
      <c r="D35" s="3">
        <f>G35</f>
        <v>50.158449486042947</v>
      </c>
      <c r="E35" s="3">
        <f>J35+M35+P35</f>
        <v>20.414880949585058</v>
      </c>
      <c r="F35" s="3">
        <v>351.26672270713158</v>
      </c>
      <c r="G35" s="3">
        <v>50.158449486042947</v>
      </c>
      <c r="H35" s="4">
        <f>IF(F35=0,0,G35/F35)</f>
        <v>0.14279305793467525</v>
      </c>
      <c r="I35" s="3">
        <v>656.23600296293523</v>
      </c>
      <c r="J35" s="3">
        <v>19.57495471003908</v>
      </c>
      <c r="K35" s="4">
        <f>IF(I35=0,0,J35/I35)</f>
        <v>2.9829138635578168E-2</v>
      </c>
      <c r="L35" s="3">
        <v>12320.893910346331</v>
      </c>
      <c r="M35" s="3">
        <v>0.76115932066179814</v>
      </c>
      <c r="N35" s="4">
        <f>IF(L35=0,0,M35/L35)</f>
        <v>6.1777929929469097E-5</v>
      </c>
      <c r="O35" s="3">
        <v>305.89771512841492</v>
      </c>
      <c r="P35" s="3">
        <v>7.8766918884182816E-2</v>
      </c>
      <c r="Q35" s="4">
        <f>IF(O35=0,0,P35/O35)</f>
        <v>2.5749430279698788E-4</v>
      </c>
      <c r="S35" s="3">
        <v>3904.7840938011818</v>
      </c>
      <c r="T35" s="3">
        <v>557.57606132855017</v>
      </c>
      <c r="U35" s="4">
        <f>IF(S35=0,0,T35/S35)</f>
        <v>0.14279305793467514</v>
      </c>
      <c r="V35" s="3">
        <v>20232379.411657181</v>
      </c>
      <c r="W35" s="3">
        <v>498928.17112156382</v>
      </c>
      <c r="X35" s="4">
        <f>IF(V35=0,0,W35/V35)</f>
        <v>2.4659886065308712E-2</v>
      </c>
      <c r="Y35" s="3">
        <v>1291512.2728871789</v>
      </c>
      <c r="Z35" s="3">
        <v>3.1816420045215641</v>
      </c>
      <c r="AA35" s="4">
        <f>IF(Y35=0,0,Z35/Y35)</f>
        <v>2.4635011771192814E-6</v>
      </c>
      <c r="AB35" s="3">
        <v>138538.51808137319</v>
      </c>
      <c r="AC35" s="3">
        <v>8.4808250792266335</v>
      </c>
      <c r="AD35" s="4">
        <f>IF(AB35=0,0,AC35/AB35)</f>
        <v>6.1216369257286713E-5</v>
      </c>
    </row>
    <row r="36" spans="1:30" x14ac:dyDescent="0.25">
      <c r="B36" t="s">
        <v>34</v>
      </c>
      <c r="C36" s="3">
        <f>J36+M36+G36+P36</f>
        <v>67.867793154566399</v>
      </c>
      <c r="D36" s="3">
        <f>G36</f>
        <v>48.890421519106461</v>
      </c>
      <c r="E36" s="3">
        <f>J36+M36+P36</f>
        <v>18.977371635459942</v>
      </c>
      <c r="F36" s="3">
        <v>308.52409051931693</v>
      </c>
      <c r="G36" s="3">
        <v>48.890421519106461</v>
      </c>
      <c r="H36" s="4">
        <f>IF(F36=0,0,G36/F36)</f>
        <v>0.15846549109605235</v>
      </c>
      <c r="I36" s="3">
        <v>465.22851237667129</v>
      </c>
      <c r="J36" s="3">
        <v>16.596463971362329</v>
      </c>
      <c r="K36" s="4">
        <f>IF(I36=0,0,J36/I36)</f>
        <v>3.5673789395618632E-2</v>
      </c>
      <c r="L36" s="3">
        <v>10752.450404824391</v>
      </c>
      <c r="M36" s="3">
        <v>2.3809073660019791</v>
      </c>
      <c r="N36" s="4">
        <f>IF(L36=0,0,M36/L36)</f>
        <v>2.2142928136024861E-4</v>
      </c>
      <c r="O36" s="3">
        <v>286.13725715609343</v>
      </c>
      <c r="P36" s="3">
        <v>2.9809563420712951E-7</v>
      </c>
      <c r="Q36" s="4">
        <f>IF(O36=0,0,P36/O36)</f>
        <v>1.0417924501335125E-9</v>
      </c>
      <c r="S36" s="3">
        <v>3429.6444363696219</v>
      </c>
      <c r="T36" s="3">
        <v>543.4802898941557</v>
      </c>
      <c r="U36" s="4">
        <f>IF(S36=0,0,T36/S36)</f>
        <v>0.15846549109605232</v>
      </c>
      <c r="V36" s="3">
        <v>16252582.504079361</v>
      </c>
      <c r="W36" s="3">
        <v>494248.27010217868</v>
      </c>
      <c r="X36" s="4">
        <f>IF(V36=0,0,W36/V36)</f>
        <v>3.04104452309732E-2</v>
      </c>
      <c r="Y36" s="3">
        <v>1133183.161267315</v>
      </c>
      <c r="Z36" s="3">
        <v>8.4843786789570004</v>
      </c>
      <c r="AA36" s="4">
        <f>IF(Y36=0,0,Z36/Y36)</f>
        <v>7.4872085722385324E-6</v>
      </c>
      <c r="AB36" s="3">
        <v>120916.42366991749</v>
      </c>
      <c r="AC36" s="3">
        <v>26.50257837252866</v>
      </c>
      <c r="AD36" s="4">
        <f>IF(AB36=0,0,AC36/AB36)</f>
        <v>2.1918096457166532E-4</v>
      </c>
    </row>
    <row r="38" spans="1:30" x14ac:dyDescent="0.25">
      <c r="A38" s="2" t="s">
        <v>38</v>
      </c>
    </row>
    <row r="39" spans="1:30" x14ac:dyDescent="0.25">
      <c r="B39" t="s">
        <v>28</v>
      </c>
      <c r="C39" s="3">
        <f>C41+C42+C43+C44+C45</f>
        <v>280.76919049490539</v>
      </c>
      <c r="D39" s="3">
        <f>D41+D42+D43+D44+D45</f>
        <v>280.76919049490539</v>
      </c>
      <c r="E39" s="3">
        <f>E41+E42+E43+E44+E45</f>
        <v>0</v>
      </c>
      <c r="F39" s="3">
        <f>F41+F42+F43+F44+F45</f>
        <v>660.80113298361266</v>
      </c>
      <c r="G39" s="3">
        <f>G41+G42+G43+G44+G45</f>
        <v>273.59501122623988</v>
      </c>
      <c r="H39" s="4">
        <f>IF(F39=0,0,G39/F39)</f>
        <v>0.41403532404812754</v>
      </c>
      <c r="I39" s="3">
        <f>I41+I42+I43+I44+I45</f>
        <v>814.53034621778045</v>
      </c>
      <c r="J39" s="6">
        <f>J41+J42+J43+J44+J45</f>
        <v>7.1741792686655108</v>
      </c>
      <c r="K39" s="7">
        <f>IF(I39=0,0,J39/I39)</f>
        <v>8.8077495233644196E-3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7345.6595414292105</v>
      </c>
      <c r="T39" s="3">
        <f>T41+T42+T43+T44+T45</f>
        <v>3041.3625285828634</v>
      </c>
      <c r="U39" s="4">
        <f>IF(S39=0,0,T39/S39)</f>
        <v>0.4140353240481276</v>
      </c>
      <c r="V39" s="3">
        <f>V41+V42+V43+V44+V45</f>
        <v>26890169.836246081</v>
      </c>
      <c r="W39" s="6">
        <f>W41+W42+W43+W44+W45</f>
        <v>267021.30009852862</v>
      </c>
      <c r="X39" s="7">
        <f>IF(V39=0,0,W39/V39)</f>
        <v>9.9300711644670411E-3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 x14ac:dyDescent="0.25">
      <c r="A40" s="5" t="s">
        <v>29</v>
      </c>
    </row>
    <row r="41" spans="1:30" x14ac:dyDescent="0.25">
      <c r="B41" t="s">
        <v>30</v>
      </c>
      <c r="C41" s="3">
        <f>J41+M41+G41+P41</f>
        <v>75.545013639823878</v>
      </c>
      <c r="D41" s="3">
        <f>G41+J41</f>
        <v>75.545013639823878</v>
      </c>
      <c r="E41" s="3">
        <f>M41+P41</f>
        <v>0</v>
      </c>
      <c r="F41" s="3">
        <v>158.01636350616181</v>
      </c>
      <c r="G41" s="3">
        <v>73.076706089663659</v>
      </c>
      <c r="H41" s="4">
        <f>IF(F41=0,0,G41/F41)</f>
        <v>0.46246290237412058</v>
      </c>
      <c r="I41" s="3">
        <v>289.90090139463632</v>
      </c>
      <c r="J41" s="6">
        <v>2.468307550160215</v>
      </c>
      <c r="K41" s="7">
        <f>IF(I41=0,0,J41/I41)</f>
        <v>8.5143148513365848E-3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1756.5563228532919</v>
      </c>
      <c r="T41" s="3">
        <v>812.34213525034636</v>
      </c>
      <c r="U41" s="4">
        <f>IF(S41=0,0,T41/S41)</f>
        <v>0.46246290237412069</v>
      </c>
      <c r="V41" s="3">
        <v>7917202.4300766056</v>
      </c>
      <c r="W41" s="6">
        <v>72642.66277817823</v>
      </c>
      <c r="X41" s="7">
        <f>IF(V41=0,0,W41/V41)</f>
        <v>9.1752943567814452E-3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 x14ac:dyDescent="0.25">
      <c r="B42" t="s">
        <v>31</v>
      </c>
      <c r="C42" s="3">
        <f>J42+M42+G42+P42</f>
        <v>75.523020712148451</v>
      </c>
      <c r="D42" s="3">
        <f>G42+J42</f>
        <v>75.523020712148451</v>
      </c>
      <c r="E42" s="3">
        <f>M42+P42</f>
        <v>0</v>
      </c>
      <c r="F42" s="3">
        <v>150.30970532381971</v>
      </c>
      <c r="G42" s="3">
        <v>73.847323583703343</v>
      </c>
      <c r="H42" s="4">
        <f>IF(F42=0,0,G42/F42)</f>
        <v>0.49130110011599293</v>
      </c>
      <c r="I42" s="3">
        <v>172.51020331953049</v>
      </c>
      <c r="J42" s="6">
        <v>1.6756971284451141</v>
      </c>
      <c r="K42" s="7">
        <f>IF(I42=0,0,J42/I42)</f>
        <v>9.7136116948475151E-3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1670.8868462377629</v>
      </c>
      <c r="T42" s="3">
        <v>820.90854572595504</v>
      </c>
      <c r="U42" s="4">
        <f>IF(S42=0,0,T42/S42)</f>
        <v>0.49130110011599304</v>
      </c>
      <c r="V42" s="3">
        <v>5775458.9344058</v>
      </c>
      <c r="W42" s="6">
        <v>65017.803183237091</v>
      </c>
      <c r="X42" s="7">
        <f>IF(V42=0,0,W42/V42)</f>
        <v>1.1257599425720159E-2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 x14ac:dyDescent="0.25">
      <c r="B43" t="s">
        <v>32</v>
      </c>
      <c r="C43" s="3">
        <f>J43+M43+G43+P43</f>
        <v>75.681017568814596</v>
      </c>
      <c r="D43" s="3">
        <f>G43+J43</f>
        <v>75.681017568814596</v>
      </c>
      <c r="E43" s="3">
        <f>M43+P43</f>
        <v>0</v>
      </c>
      <c r="F43" s="3">
        <v>136.8081181206467</v>
      </c>
      <c r="G43" s="3">
        <v>73.912686379217163</v>
      </c>
      <c r="H43" s="4">
        <f>IF(F43=0,0,G43/F43)</f>
        <v>0.54026535409277343</v>
      </c>
      <c r="I43" s="3">
        <v>135.45605543604131</v>
      </c>
      <c r="J43" s="6">
        <v>1.768331189597433</v>
      </c>
      <c r="K43" s="7">
        <f>IF(I43=0,0,J43/I43)</f>
        <v>1.3054648490280239E-2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1520.7992360431149</v>
      </c>
      <c r="T43" s="3">
        <v>821.63513776485274</v>
      </c>
      <c r="U43" s="4">
        <f>IF(S43=0,0,T43/S43)</f>
        <v>0.54026535409277343</v>
      </c>
      <c r="V43" s="3">
        <v>4941006.3189266957</v>
      </c>
      <c r="W43" s="6">
        <v>72259.685244018212</v>
      </c>
      <c r="X43" s="7">
        <f>IF(V43=0,0,W43/V43)</f>
        <v>1.4624487519318684E-2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 x14ac:dyDescent="0.25">
      <c r="B44" t="s">
        <v>33</v>
      </c>
      <c r="C44" s="3">
        <f>J44+M44+G44+P44</f>
        <v>34.237463857077486</v>
      </c>
      <c r="D44" s="3">
        <f>G44+J44</f>
        <v>34.237463857077486</v>
      </c>
      <c r="E44" s="3">
        <f>M44+P44</f>
        <v>0</v>
      </c>
      <c r="F44" s="3">
        <v>120.55842024780129</v>
      </c>
      <c r="G44" s="3">
        <v>33.537270644134047</v>
      </c>
      <c r="H44" s="4">
        <f>IF(F44=0,0,G44/F44)</f>
        <v>0.27818273145251909</v>
      </c>
      <c r="I44" s="3">
        <v>131.31388542968341</v>
      </c>
      <c r="J44" s="6">
        <v>0.70019321294344261</v>
      </c>
      <c r="K44" s="7">
        <f>IF(I44=0,0,J44/I44)</f>
        <v>5.3322099993635894E-3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1340.1628202336269</v>
      </c>
      <c r="T44" s="3">
        <v>372.81015392370171</v>
      </c>
      <c r="U44" s="4">
        <f>IF(S44=0,0,T44/S44)</f>
        <v>0.27818273145251915</v>
      </c>
      <c r="V44" s="3">
        <v>4714339.9302510964</v>
      </c>
      <c r="W44" s="6">
        <v>30505.503986442462</v>
      </c>
      <c r="X44" s="7">
        <f>IF(V44=0,0,W44/V44)</f>
        <v>6.4707900655813907E-3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 x14ac:dyDescent="0.25">
      <c r="B45" t="s">
        <v>34</v>
      </c>
      <c r="C45" s="3">
        <f>J45+M45+G45+P45</f>
        <v>19.782674717040955</v>
      </c>
      <c r="D45" s="3">
        <f>G45+J45</f>
        <v>19.782674717040955</v>
      </c>
      <c r="E45" s="3">
        <f>M45+P45</f>
        <v>0</v>
      </c>
      <c r="F45" s="3">
        <v>95.10852578518319</v>
      </c>
      <c r="G45" s="3">
        <v>19.22102452952165</v>
      </c>
      <c r="H45" s="4">
        <f>IF(F45=0,0,G45/F45)</f>
        <v>0.20209570457369094</v>
      </c>
      <c r="I45" s="3">
        <v>85.349300637888987</v>
      </c>
      <c r="J45" s="6">
        <v>0.56165018751930618</v>
      </c>
      <c r="K45" s="7">
        <f>IF(I45=0,0,J45/I45)</f>
        <v>6.5806067925760327E-3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1057.2543160614141</v>
      </c>
      <c r="T45" s="3">
        <v>213.66655591800719</v>
      </c>
      <c r="U45" s="4">
        <f>IF(S45=0,0,T45/S45)</f>
        <v>0.20209570457369092</v>
      </c>
      <c r="V45" s="3">
        <v>3542162.2225858839</v>
      </c>
      <c r="W45" s="6">
        <v>26595.644906652629</v>
      </c>
      <c r="X45" s="7">
        <f>IF(V45=0,0,W45/V45)</f>
        <v>7.5083079868761672E-3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 x14ac:dyDescent="0.25">
      <c r="A47" s="2" t="s">
        <v>39</v>
      </c>
    </row>
    <row r="48" spans="1:30" x14ac:dyDescent="0.25">
      <c r="B48" t="s">
        <v>28</v>
      </c>
      <c r="C48" s="3">
        <f>C50+C51+C52+C53+C54</f>
        <v>531.36419183716009</v>
      </c>
      <c r="D48" s="3">
        <f>D50+D51+D52+D53+D54</f>
        <v>531.36419183716009</v>
      </c>
      <c r="E48" s="3">
        <f>E50+E51+E52+E53+E54</f>
        <v>0</v>
      </c>
      <c r="F48" s="3">
        <f>F50+F51+F52+F53+F54</f>
        <v>660.80113298361266</v>
      </c>
      <c r="G48" s="3">
        <f>G50+G51+G52+G53+G54</f>
        <v>504.69626905365925</v>
      </c>
      <c r="H48" s="4">
        <f>IF(F48=0,0,G48/F48)</f>
        <v>0.76376423081310807</v>
      </c>
      <c r="I48" s="3">
        <f>I50+I51+I52+I53+I54</f>
        <v>814.53034621778045</v>
      </c>
      <c r="J48" s="6">
        <f>J50+J51+J52+J53+J54</f>
        <v>26.667922783500853</v>
      </c>
      <c r="K48" s="7">
        <f>IF(I48=0,0,J48/I48)</f>
        <v>3.2740244617443223E-2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7345.6595414292105</v>
      </c>
      <c r="T48" s="3">
        <f>T50+T51+T52+T53+T54</f>
        <v>5610.3520094746491</v>
      </c>
      <c r="U48" s="4">
        <f>IF(S48=0,0,T48/S48)</f>
        <v>0.76376423081310807</v>
      </c>
      <c r="V48" s="3">
        <f>V50+V51+V52+V53+V54</f>
        <v>26890169.836246081</v>
      </c>
      <c r="W48" s="6">
        <f>W50+W51+W52+W53+W54</f>
        <v>1013392.394379443</v>
      </c>
      <c r="X48" s="7">
        <f>IF(V48=0,0,W48/V48)</f>
        <v>3.7686351575714504E-2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 x14ac:dyDescent="0.25">
      <c r="A49" s="5" t="s">
        <v>29</v>
      </c>
    </row>
    <row r="50" spans="1:30" x14ac:dyDescent="0.25">
      <c r="B50" t="s">
        <v>30</v>
      </c>
      <c r="C50" s="3">
        <f>J50+M50+G50+P50</f>
        <v>139.20125997283833</v>
      </c>
      <c r="D50" s="3">
        <f>G50+J50</f>
        <v>139.20125997283833</v>
      </c>
      <c r="E50" s="3">
        <f>M50+P50</f>
        <v>0</v>
      </c>
      <c r="F50" s="3">
        <v>158.01636350616181</v>
      </c>
      <c r="G50" s="3">
        <v>129.99805657434101</v>
      </c>
      <c r="H50" s="4">
        <f>IF(F50=0,0,G50/F50)</f>
        <v>0.82268730712355476</v>
      </c>
      <c r="I50" s="3">
        <v>289.90090139463632</v>
      </c>
      <c r="J50" s="6">
        <v>9.2032033984973101</v>
      </c>
      <c r="K50" s="7">
        <f>IF(I50=0,0,J50/I50)</f>
        <v>3.1746032365622665E-2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1756.5563228532919</v>
      </c>
      <c r="T50" s="3">
        <v>1445.096591059028</v>
      </c>
      <c r="U50" s="4">
        <f>IF(S50=0,0,T50/S50)</f>
        <v>0.82268730712355465</v>
      </c>
      <c r="V50" s="3">
        <v>7917202.4300766056</v>
      </c>
      <c r="W50" s="6">
        <v>278133.08442789782</v>
      </c>
      <c r="X50" s="7">
        <f>IF(V50=0,0,W50/V50)</f>
        <v>3.5130222687157771E-2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 x14ac:dyDescent="0.25">
      <c r="B51" t="s">
        <v>31</v>
      </c>
      <c r="C51" s="3">
        <f>J51+M51+G51+P51</f>
        <v>132.6820338646759</v>
      </c>
      <c r="D51" s="3">
        <f>G51+J51</f>
        <v>132.6820338646759</v>
      </c>
      <c r="E51" s="3">
        <f>M51+P51</f>
        <v>0</v>
      </c>
      <c r="F51" s="3">
        <v>150.30970532381971</v>
      </c>
      <c r="G51" s="3">
        <v>126.503663964271</v>
      </c>
      <c r="H51" s="4">
        <f>IF(F51=0,0,G51/F51)</f>
        <v>0.84162006499672015</v>
      </c>
      <c r="I51" s="3">
        <v>172.51020331953049</v>
      </c>
      <c r="J51" s="6">
        <v>6.1783699004049124</v>
      </c>
      <c r="K51" s="7">
        <f>IF(I51=0,0,J51/I51)</f>
        <v>3.581451868653289E-2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1670.8868462377629</v>
      </c>
      <c r="T51" s="3">
        <v>1406.251896132791</v>
      </c>
      <c r="U51" s="4">
        <f>IF(S51=0,0,T51/S51)</f>
        <v>0.84162006499672026</v>
      </c>
      <c r="V51" s="3">
        <v>5775458.9344058</v>
      </c>
      <c r="W51" s="6">
        <v>244923.17248689849</v>
      </c>
      <c r="X51" s="7">
        <f>IF(V51=0,0,W51/V51)</f>
        <v>4.2407568864845036E-2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 x14ac:dyDescent="0.25">
      <c r="B52" t="s">
        <v>32</v>
      </c>
      <c r="C52" s="3">
        <f>J52+M52+G52+P52</f>
        <v>125.46678963002367</v>
      </c>
      <c r="D52" s="3">
        <f>G52+J52</f>
        <v>125.46678963002367</v>
      </c>
      <c r="E52" s="3">
        <f>M52+P52</f>
        <v>0</v>
      </c>
      <c r="F52" s="3">
        <v>136.8081181206467</v>
      </c>
      <c r="G52" s="3">
        <v>119.03235492283009</v>
      </c>
      <c r="H52" s="4">
        <f>IF(F52=0,0,G52/F52)</f>
        <v>0.87006792109996922</v>
      </c>
      <c r="I52" s="3">
        <v>135.45605543604131</v>
      </c>
      <c r="J52" s="6">
        <v>6.434434707193577</v>
      </c>
      <c r="K52" s="7">
        <f>IF(I52=0,0,J52/I52)</f>
        <v>4.7502008577473623E-2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1520.7992360431149</v>
      </c>
      <c r="T52" s="3">
        <v>1323.198629714454</v>
      </c>
      <c r="U52" s="4">
        <f>IF(S52=0,0,T52/S52)</f>
        <v>0.870067921099969</v>
      </c>
      <c r="V52" s="3">
        <v>4941006.3189266957</v>
      </c>
      <c r="W52" s="6">
        <v>268918.30092897639</v>
      </c>
      <c r="X52" s="7">
        <f>IF(V52=0,0,W52/V52)</f>
        <v>5.4425816032429575E-2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 x14ac:dyDescent="0.25">
      <c r="B53" t="s">
        <v>33</v>
      </c>
      <c r="C53" s="3">
        <f>J53+M53+G53+P53</f>
        <v>80.839654447488186</v>
      </c>
      <c r="D53" s="3">
        <f>G53+J53</f>
        <v>80.839654447488186</v>
      </c>
      <c r="E53" s="3">
        <f>M53+P53</f>
        <v>0</v>
      </c>
      <c r="F53" s="3">
        <v>120.55842024780129</v>
      </c>
      <c r="G53" s="3">
        <v>78.153950601004468</v>
      </c>
      <c r="H53" s="4">
        <f>IF(F53=0,0,G53/F53)</f>
        <v>0.64826621351178337</v>
      </c>
      <c r="I53" s="3">
        <v>131.31388542968341</v>
      </c>
      <c r="J53" s="6">
        <v>2.6857038464837242</v>
      </c>
      <c r="K53" s="7">
        <f>IF(I53=0,0,J53/I53)</f>
        <v>2.0452550297294172E-2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1340.1628202336269</v>
      </c>
      <c r="T53" s="3">
        <v>868.78227696212616</v>
      </c>
      <c r="U53" s="4">
        <f>IF(S53=0,0,T53/S53)</f>
        <v>0.64826621351178337</v>
      </c>
      <c r="V53" s="3">
        <v>4714339.9302510964</v>
      </c>
      <c r="W53" s="6">
        <v>118125.7799676377</v>
      </c>
      <c r="X53" s="7">
        <f>IF(V53=0,0,W53/V53)</f>
        <v>2.5056695468573489E-2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 x14ac:dyDescent="0.25">
      <c r="B54" t="s">
        <v>34</v>
      </c>
      <c r="C54" s="3">
        <f>J54+M54+G54+P54</f>
        <v>53.17445392213402</v>
      </c>
      <c r="D54" s="3">
        <f>G54+J54</f>
        <v>53.17445392213402</v>
      </c>
      <c r="E54" s="3">
        <f>M54+P54</f>
        <v>0</v>
      </c>
      <c r="F54" s="3">
        <v>95.10852578518319</v>
      </c>
      <c r="G54" s="3">
        <v>51.008242991212697</v>
      </c>
      <c r="H54" s="4">
        <f>IF(F54=0,0,G54/F54)</f>
        <v>0.53631619847018164</v>
      </c>
      <c r="I54" s="3">
        <v>85.349300637888987</v>
      </c>
      <c r="J54" s="6">
        <v>2.1662109309213271</v>
      </c>
      <c r="K54" s="7">
        <f>IF(I54=0,0,J54/I54)</f>
        <v>2.5380535220925808E-2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1057.2543160614141</v>
      </c>
      <c r="T54" s="3">
        <v>567.0226156062497</v>
      </c>
      <c r="U54" s="4">
        <f>IF(S54=0,0,T54/S54)</f>
        <v>0.53631619847018186</v>
      </c>
      <c r="V54" s="3">
        <v>3542162.2225858839</v>
      </c>
      <c r="W54" s="6">
        <v>103292.0565680326</v>
      </c>
      <c r="X54" s="7">
        <f>IF(V54=0,0,W54/V54)</f>
        <v>2.9160735753267199E-2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2024-09-01T16:48:50Z</dcterms:created>
  <dcterms:modified xsi:type="dcterms:W3CDTF">2024-09-01T16:49:16Z</dcterms:modified>
</cp:coreProperties>
</file>