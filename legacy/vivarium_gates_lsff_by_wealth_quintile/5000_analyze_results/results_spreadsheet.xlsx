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rc\vivarium_gates_lsff_by_wealth_quintile\5000_analyze_results\"/>
    </mc:Choice>
  </mc:AlternateContent>
  <xr:revisionPtr revIDLastSave="0" documentId="13_ncr:1_{7E8E2E52-73DC-46EB-B645-0C0EE0B811D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4" i="1" l="1"/>
  <c r="AA54" i="1"/>
  <c r="X54" i="1"/>
  <c r="U54" i="1"/>
  <c r="Q54" i="1"/>
  <c r="N54" i="1"/>
  <c r="K54" i="1"/>
  <c r="H54" i="1"/>
  <c r="E54" i="1"/>
  <c r="D54" i="1"/>
  <c r="D48" i="1" s="1"/>
  <c r="C54" i="1"/>
  <c r="AD53" i="1"/>
  <c r="AA53" i="1"/>
  <c r="X53" i="1"/>
  <c r="U53" i="1"/>
  <c r="Q53" i="1"/>
  <c r="N53" i="1"/>
  <c r="K53" i="1"/>
  <c r="H53" i="1"/>
  <c r="E53" i="1"/>
  <c r="D53" i="1"/>
  <c r="C53" i="1"/>
  <c r="C48" i="1" s="1"/>
  <c r="AD52" i="1"/>
  <c r="AA52" i="1"/>
  <c r="X52" i="1"/>
  <c r="U52" i="1"/>
  <c r="Q52" i="1"/>
  <c r="N52" i="1"/>
  <c r="K52" i="1"/>
  <c r="H52" i="1"/>
  <c r="E52" i="1"/>
  <c r="D52" i="1"/>
  <c r="C52" i="1"/>
  <c r="AD51" i="1"/>
  <c r="AA51" i="1"/>
  <c r="X51" i="1"/>
  <c r="U51" i="1"/>
  <c r="Q51" i="1"/>
  <c r="N51" i="1"/>
  <c r="K51" i="1"/>
  <c r="H51" i="1"/>
  <c r="E51" i="1"/>
  <c r="D51" i="1"/>
  <c r="C51" i="1"/>
  <c r="AD50" i="1"/>
  <c r="AA50" i="1"/>
  <c r="X50" i="1"/>
  <c r="U50" i="1"/>
  <c r="Q50" i="1"/>
  <c r="N50" i="1"/>
  <c r="K50" i="1"/>
  <c r="H50" i="1"/>
  <c r="E50" i="1"/>
  <c r="D50" i="1"/>
  <c r="C50" i="1"/>
  <c r="AC48" i="1"/>
  <c r="AB48" i="1"/>
  <c r="AD48" i="1" s="1"/>
  <c r="Z48" i="1"/>
  <c r="Y48" i="1"/>
  <c r="AA48" i="1" s="1"/>
  <c r="W48" i="1"/>
  <c r="V48" i="1"/>
  <c r="X48" i="1" s="1"/>
  <c r="T48" i="1"/>
  <c r="S48" i="1"/>
  <c r="U48" i="1" s="1"/>
  <c r="Q48" i="1"/>
  <c r="P48" i="1"/>
  <c r="O48" i="1"/>
  <c r="M48" i="1"/>
  <c r="L48" i="1"/>
  <c r="N48" i="1" s="1"/>
  <c r="J48" i="1"/>
  <c r="I48" i="1"/>
  <c r="K48" i="1" s="1"/>
  <c r="G48" i="1"/>
  <c r="F48" i="1"/>
  <c r="H48" i="1" s="1"/>
  <c r="E48" i="1"/>
  <c r="AD45" i="1"/>
  <c r="AA45" i="1"/>
  <c r="X45" i="1"/>
  <c r="U45" i="1"/>
  <c r="Q45" i="1"/>
  <c r="N45" i="1"/>
  <c r="K45" i="1"/>
  <c r="H45" i="1"/>
  <c r="E45" i="1"/>
  <c r="D45" i="1"/>
  <c r="C45" i="1"/>
  <c r="AD44" i="1"/>
  <c r="AA44" i="1"/>
  <c r="X44" i="1"/>
  <c r="U44" i="1"/>
  <c r="Q44" i="1"/>
  <c r="N44" i="1"/>
  <c r="K44" i="1"/>
  <c r="H44" i="1"/>
  <c r="E44" i="1"/>
  <c r="D44" i="1"/>
  <c r="C44" i="1"/>
  <c r="AD43" i="1"/>
  <c r="AA43" i="1"/>
  <c r="X43" i="1"/>
  <c r="U43" i="1"/>
  <c r="Q43" i="1"/>
  <c r="N43" i="1"/>
  <c r="K43" i="1"/>
  <c r="H43" i="1"/>
  <c r="E43" i="1"/>
  <c r="D43" i="1"/>
  <c r="C43" i="1"/>
  <c r="AD42" i="1"/>
  <c r="AA42" i="1"/>
  <c r="X42" i="1"/>
  <c r="U42" i="1"/>
  <c r="Q42" i="1"/>
  <c r="N42" i="1"/>
  <c r="K42" i="1"/>
  <c r="H42" i="1"/>
  <c r="E42" i="1"/>
  <c r="D42" i="1"/>
  <c r="C42" i="1"/>
  <c r="AD41" i="1"/>
  <c r="AA41" i="1"/>
  <c r="X41" i="1"/>
  <c r="U41" i="1"/>
  <c r="Q41" i="1"/>
  <c r="N41" i="1"/>
  <c r="K41" i="1"/>
  <c r="H41" i="1"/>
  <c r="E41" i="1"/>
  <c r="E39" i="1" s="1"/>
  <c r="D41" i="1"/>
  <c r="D39" i="1" s="1"/>
  <c r="C41" i="1"/>
  <c r="AD39" i="1"/>
  <c r="AC39" i="1"/>
  <c r="AB39" i="1"/>
  <c r="Z39" i="1"/>
  <c r="Y39" i="1"/>
  <c r="AA39" i="1" s="1"/>
  <c r="W39" i="1"/>
  <c r="V39" i="1"/>
  <c r="X39" i="1" s="1"/>
  <c r="T39" i="1"/>
  <c r="S39" i="1"/>
  <c r="U39" i="1" s="1"/>
  <c r="Q39" i="1"/>
  <c r="P39" i="1"/>
  <c r="O39" i="1"/>
  <c r="M39" i="1"/>
  <c r="L39" i="1"/>
  <c r="N39" i="1" s="1"/>
  <c r="J39" i="1"/>
  <c r="I39" i="1"/>
  <c r="K39" i="1" s="1"/>
  <c r="G39" i="1"/>
  <c r="F39" i="1"/>
  <c r="H39" i="1" s="1"/>
  <c r="C39" i="1"/>
  <c r="AD36" i="1"/>
  <c r="AA36" i="1"/>
  <c r="X36" i="1"/>
  <c r="U36" i="1"/>
  <c r="Q36" i="1"/>
  <c r="N36" i="1"/>
  <c r="K36" i="1"/>
  <c r="H36" i="1"/>
  <c r="E36" i="1"/>
  <c r="D36" i="1"/>
  <c r="C36" i="1"/>
  <c r="AD35" i="1"/>
  <c r="AA35" i="1"/>
  <c r="X35" i="1"/>
  <c r="U35" i="1"/>
  <c r="Q35" i="1"/>
  <c r="N35" i="1"/>
  <c r="K35" i="1"/>
  <c r="H35" i="1"/>
  <c r="E35" i="1"/>
  <c r="D35" i="1"/>
  <c r="C35" i="1"/>
  <c r="AD34" i="1"/>
  <c r="AA34" i="1"/>
  <c r="X34" i="1"/>
  <c r="U34" i="1"/>
  <c r="Q34" i="1"/>
  <c r="N34" i="1"/>
  <c r="K34" i="1"/>
  <c r="H34" i="1"/>
  <c r="E34" i="1"/>
  <c r="D34" i="1"/>
  <c r="C34" i="1"/>
  <c r="AD33" i="1"/>
  <c r="AA33" i="1"/>
  <c r="X33" i="1"/>
  <c r="U33" i="1"/>
  <c r="Q33" i="1"/>
  <c r="N33" i="1"/>
  <c r="K33" i="1"/>
  <c r="H33" i="1"/>
  <c r="E33" i="1"/>
  <c r="D33" i="1"/>
  <c r="C33" i="1"/>
  <c r="AD32" i="1"/>
  <c r="AA32" i="1"/>
  <c r="X32" i="1"/>
  <c r="U32" i="1"/>
  <c r="Q32" i="1"/>
  <c r="N32" i="1"/>
  <c r="K32" i="1"/>
  <c r="H32" i="1"/>
  <c r="E32" i="1"/>
  <c r="E30" i="1" s="1"/>
  <c r="D32" i="1"/>
  <c r="D30" i="1" s="1"/>
  <c r="C32" i="1"/>
  <c r="C30" i="1" s="1"/>
  <c r="AD30" i="1"/>
  <c r="AC30" i="1"/>
  <c r="AB30" i="1"/>
  <c r="Z30" i="1"/>
  <c r="Y30" i="1"/>
  <c r="AA30" i="1" s="1"/>
  <c r="W30" i="1"/>
  <c r="V30" i="1"/>
  <c r="X30" i="1" s="1"/>
  <c r="T30" i="1"/>
  <c r="S30" i="1"/>
  <c r="U30" i="1" s="1"/>
  <c r="P30" i="1"/>
  <c r="O30" i="1"/>
  <c r="Q30" i="1" s="1"/>
  <c r="N30" i="1"/>
  <c r="M30" i="1"/>
  <c r="L30" i="1"/>
  <c r="J30" i="1"/>
  <c r="I30" i="1"/>
  <c r="K30" i="1" s="1"/>
  <c r="G30" i="1"/>
  <c r="F30" i="1"/>
  <c r="H30" i="1" s="1"/>
  <c r="AD27" i="1"/>
  <c r="AA27" i="1"/>
  <c r="X27" i="1"/>
  <c r="U27" i="1"/>
  <c r="Q27" i="1"/>
  <c r="N27" i="1"/>
  <c r="K27" i="1"/>
  <c r="H27" i="1"/>
  <c r="E27" i="1"/>
  <c r="D27" i="1"/>
  <c r="C27" i="1"/>
  <c r="AD26" i="1"/>
  <c r="AA26" i="1"/>
  <c r="X26" i="1"/>
  <c r="U26" i="1"/>
  <c r="Q26" i="1"/>
  <c r="N26" i="1"/>
  <c r="K26" i="1"/>
  <c r="H26" i="1"/>
  <c r="E26" i="1"/>
  <c r="D26" i="1"/>
  <c r="C26" i="1"/>
  <c r="AD25" i="1"/>
  <c r="AA25" i="1"/>
  <c r="X25" i="1"/>
  <c r="U25" i="1"/>
  <c r="Q25" i="1"/>
  <c r="N25" i="1"/>
  <c r="K25" i="1"/>
  <c r="H25" i="1"/>
  <c r="E25" i="1"/>
  <c r="D25" i="1"/>
  <c r="C25" i="1"/>
  <c r="AD24" i="1"/>
  <c r="AA24" i="1"/>
  <c r="X24" i="1"/>
  <c r="U24" i="1"/>
  <c r="Q24" i="1"/>
  <c r="N24" i="1"/>
  <c r="K24" i="1"/>
  <c r="H24" i="1"/>
  <c r="E24" i="1"/>
  <c r="D24" i="1"/>
  <c r="C24" i="1"/>
  <c r="AD23" i="1"/>
  <c r="AA23" i="1"/>
  <c r="X23" i="1"/>
  <c r="U23" i="1"/>
  <c r="Q23" i="1"/>
  <c r="N23" i="1"/>
  <c r="K23" i="1"/>
  <c r="H23" i="1"/>
  <c r="E23" i="1"/>
  <c r="E21" i="1" s="1"/>
  <c r="D23" i="1"/>
  <c r="D21" i="1" s="1"/>
  <c r="C23" i="1"/>
  <c r="C21" i="1" s="1"/>
  <c r="AC21" i="1"/>
  <c r="AB21" i="1"/>
  <c r="AD21" i="1" s="1"/>
  <c r="AA21" i="1"/>
  <c r="Z21" i="1"/>
  <c r="Y21" i="1"/>
  <c r="W21" i="1"/>
  <c r="V21" i="1"/>
  <c r="X21" i="1" s="1"/>
  <c r="T21" i="1"/>
  <c r="S21" i="1"/>
  <c r="U21" i="1" s="1"/>
  <c r="P21" i="1"/>
  <c r="O21" i="1"/>
  <c r="Q21" i="1" s="1"/>
  <c r="M21" i="1"/>
  <c r="L21" i="1"/>
  <c r="N21" i="1" s="1"/>
  <c r="K21" i="1"/>
  <c r="J21" i="1"/>
  <c r="I21" i="1"/>
  <c r="G21" i="1"/>
  <c r="F21" i="1"/>
  <c r="H21" i="1" s="1"/>
  <c r="AD18" i="1"/>
  <c r="AA18" i="1"/>
  <c r="X18" i="1"/>
  <c r="U18" i="1"/>
  <c r="Q18" i="1"/>
  <c r="N18" i="1"/>
  <c r="K18" i="1"/>
  <c r="H18" i="1"/>
  <c r="E18" i="1"/>
  <c r="D18" i="1"/>
  <c r="C18" i="1"/>
  <c r="AD17" i="1"/>
  <c r="AA17" i="1"/>
  <c r="X17" i="1"/>
  <c r="U17" i="1"/>
  <c r="Q17" i="1"/>
  <c r="N17" i="1"/>
  <c r="K17" i="1"/>
  <c r="H17" i="1"/>
  <c r="E17" i="1"/>
  <c r="D17" i="1"/>
  <c r="C17" i="1"/>
  <c r="AD16" i="1"/>
  <c r="AA16" i="1"/>
  <c r="X16" i="1"/>
  <c r="U16" i="1"/>
  <c r="Q16" i="1"/>
  <c r="N16" i="1"/>
  <c r="K16" i="1"/>
  <c r="H16" i="1"/>
  <c r="E16" i="1"/>
  <c r="D16" i="1"/>
  <c r="C16" i="1"/>
  <c r="AD15" i="1"/>
  <c r="AA15" i="1"/>
  <c r="X15" i="1"/>
  <c r="U15" i="1"/>
  <c r="Q15" i="1"/>
  <c r="N15" i="1"/>
  <c r="K15" i="1"/>
  <c r="H15" i="1"/>
  <c r="E15" i="1"/>
  <c r="D15" i="1"/>
  <c r="C15" i="1"/>
  <c r="AD14" i="1"/>
  <c r="AA14" i="1"/>
  <c r="X14" i="1"/>
  <c r="U14" i="1"/>
  <c r="Q14" i="1"/>
  <c r="N14" i="1"/>
  <c r="K14" i="1"/>
  <c r="H14" i="1"/>
  <c r="E14" i="1"/>
  <c r="E12" i="1" s="1"/>
  <c r="D14" i="1"/>
  <c r="D12" i="1" s="1"/>
  <c r="C14" i="1"/>
  <c r="C12" i="1" s="1"/>
  <c r="AC12" i="1"/>
  <c r="AB12" i="1"/>
  <c r="AD12" i="1" s="1"/>
  <c r="Z12" i="1"/>
  <c r="Y12" i="1"/>
  <c r="AA12" i="1" s="1"/>
  <c r="X12" i="1"/>
  <c r="W12" i="1"/>
  <c r="V12" i="1"/>
  <c r="T12" i="1"/>
  <c r="S12" i="1"/>
  <c r="U12" i="1" s="1"/>
  <c r="P12" i="1"/>
  <c r="O12" i="1"/>
  <c r="Q12" i="1" s="1"/>
  <c r="M12" i="1"/>
  <c r="L12" i="1"/>
  <c r="N12" i="1" s="1"/>
  <c r="K12" i="1"/>
  <c r="J12" i="1"/>
  <c r="I12" i="1"/>
  <c r="G12" i="1"/>
  <c r="F12" i="1"/>
  <c r="H12" i="1" s="1"/>
  <c r="AD9" i="1"/>
  <c r="AA9" i="1"/>
  <c r="X9" i="1"/>
  <c r="U9" i="1"/>
  <c r="Q9" i="1"/>
  <c r="N9" i="1"/>
  <c r="K9" i="1"/>
  <c r="H9" i="1"/>
  <c r="E9" i="1"/>
  <c r="D9" i="1"/>
  <c r="C9" i="1"/>
  <c r="AD8" i="1"/>
  <c r="AA8" i="1"/>
  <c r="X8" i="1"/>
  <c r="U8" i="1"/>
  <c r="Q8" i="1"/>
  <c r="N8" i="1"/>
  <c r="K8" i="1"/>
  <c r="H8" i="1"/>
  <c r="E8" i="1"/>
  <c r="D8" i="1"/>
  <c r="C8" i="1"/>
  <c r="AD7" i="1"/>
  <c r="AA7" i="1"/>
  <c r="X7" i="1"/>
  <c r="U7" i="1"/>
  <c r="Q7" i="1"/>
  <c r="N7" i="1"/>
  <c r="K7" i="1"/>
  <c r="H7" i="1"/>
  <c r="E7" i="1"/>
  <c r="D7" i="1"/>
  <c r="C7" i="1"/>
  <c r="AD6" i="1"/>
  <c r="AA6" i="1"/>
  <c r="X6" i="1"/>
  <c r="U6" i="1"/>
  <c r="Q6" i="1"/>
  <c r="N6" i="1"/>
  <c r="K6" i="1"/>
  <c r="H6" i="1"/>
  <c r="E6" i="1"/>
  <c r="E3" i="1" s="1"/>
  <c r="D6" i="1"/>
  <c r="D3" i="1" s="1"/>
  <c r="C6" i="1"/>
  <c r="AD5" i="1"/>
  <c r="AA5" i="1"/>
  <c r="X5" i="1"/>
  <c r="U5" i="1"/>
  <c r="Q5" i="1"/>
  <c r="N5" i="1"/>
  <c r="K5" i="1"/>
  <c r="H5" i="1"/>
  <c r="E5" i="1"/>
  <c r="D5" i="1"/>
  <c r="C5" i="1"/>
  <c r="C3" i="1" s="1"/>
  <c r="AC3" i="1"/>
  <c r="AB3" i="1"/>
  <c r="AD3" i="1" s="1"/>
  <c r="Z3" i="1"/>
  <c r="Y3" i="1"/>
  <c r="AA3" i="1" s="1"/>
  <c r="X3" i="1"/>
  <c r="W3" i="1"/>
  <c r="V3" i="1"/>
  <c r="T3" i="1"/>
  <c r="S3" i="1"/>
  <c r="U3" i="1" s="1"/>
  <c r="P3" i="1"/>
  <c r="O3" i="1"/>
  <c r="Q3" i="1" s="1"/>
  <c r="M3" i="1"/>
  <c r="L3" i="1"/>
  <c r="N3" i="1" s="1"/>
  <c r="J3" i="1"/>
  <c r="I3" i="1"/>
  <c r="K3" i="1" s="1"/>
  <c r="H3" i="1"/>
  <c r="G3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39" authorId="0" shapeId="0" xr:uid="{00000000-0006-0000-0000-000001000000}">
      <text>
        <r>
          <rPr>
            <sz val="8"/>
            <color indexed="81"/>
            <rFont val="Tahoma"/>
            <family val="2"/>
          </rPr>
          <t>Based on correlation between serum folate and hemoglobin</t>
        </r>
      </text>
    </comment>
    <comment ref="K39" authorId="0" shapeId="0" xr:uid="{00000000-0006-0000-0000-000002000000}">
      <text>
        <r>
          <rPr>
            <sz val="8"/>
            <color indexed="81"/>
            <rFont val="Tahoma"/>
            <family val="2"/>
          </rPr>
          <t>Based on correlation between serum folate and hemoglobin</t>
        </r>
      </text>
    </comment>
    <comment ref="W39" authorId="0" shapeId="0" xr:uid="{00000000-0006-0000-0000-000003000000}">
      <text>
        <r>
          <rPr>
            <sz val="8"/>
            <color indexed="81"/>
            <rFont val="Tahoma"/>
            <family val="2"/>
          </rPr>
          <t>Based on correlation between serum folate and hemoglobin</t>
        </r>
      </text>
    </comment>
    <comment ref="X39" authorId="0" shapeId="0" xr:uid="{00000000-0006-0000-0000-000004000000}">
      <text>
        <r>
          <rPr>
            <sz val="8"/>
            <color indexed="81"/>
            <rFont val="Tahoma"/>
            <family val="2"/>
          </rPr>
          <t>Based on correlation between serum folate and hemoglobin</t>
        </r>
      </text>
    </comment>
    <comment ref="J48" authorId="0" shapeId="0" xr:uid="{00000000-0006-0000-0000-000005000000}">
      <text>
        <r>
          <rPr>
            <sz val="8"/>
            <color indexed="81"/>
            <rFont val="Tahoma"/>
            <family val="2"/>
          </rPr>
          <t>Based on correlation between serum folate and hemoglobin</t>
        </r>
      </text>
    </comment>
    <comment ref="K48" authorId="0" shapeId="0" xr:uid="{00000000-0006-0000-0000-000006000000}">
      <text>
        <r>
          <rPr>
            <sz val="8"/>
            <color indexed="81"/>
            <rFont val="Tahoma"/>
            <family val="2"/>
          </rPr>
          <t>Based on correlation between serum folate and hemoglobin</t>
        </r>
      </text>
    </comment>
    <comment ref="W48" authorId="0" shapeId="0" xr:uid="{00000000-0006-0000-0000-000007000000}">
      <text>
        <r>
          <rPr>
            <sz val="8"/>
            <color indexed="81"/>
            <rFont val="Tahoma"/>
            <family val="2"/>
          </rPr>
          <t>Based on correlation between serum folate and hemoglobin</t>
        </r>
      </text>
    </comment>
    <comment ref="X48" authorId="0" shapeId="0" xr:uid="{00000000-0006-0000-0000-000008000000}">
      <text>
        <r>
          <rPr>
            <sz val="8"/>
            <color indexed="81"/>
            <rFont val="Tahoma"/>
            <family val="2"/>
          </rPr>
          <t>Based on correlation between serum folate and hemoglobin</t>
        </r>
      </text>
    </comment>
  </commentList>
</comments>
</file>

<file path=xl/sharedStrings.xml><?xml version="1.0" encoding="utf-8"?>
<sst xmlns="http://schemas.openxmlformats.org/spreadsheetml/2006/main" count="75" uniqueCount="40">
  <si>
    <t>DALYs Averted by Fortification (1000s)</t>
  </si>
  <si>
    <t>DALYs Averted by Folate Fortification (1000s)</t>
  </si>
  <si>
    <t>DALYs Averted by Iron Fortification (1000s)</t>
  </si>
  <si>
    <t>Baseline NTD DALYs (1000s)</t>
  </si>
  <si>
    <t>NTD DALYs Averted by Folate Fortification (1000s)</t>
  </si>
  <si>
    <t>NTD DALYs Averted by Folate Fortification (%)</t>
  </si>
  <si>
    <t>Baseline Anemia DALYs (1000s)</t>
  </si>
  <si>
    <t>Anemia DALYs Averted (1000s)</t>
  </si>
  <si>
    <t>Anemia DALYs Averted (%)</t>
  </si>
  <si>
    <t>Baseline Child YLLs (1000s)</t>
  </si>
  <si>
    <t>Child YLLs Averted by Iron Fortification (1000s)</t>
  </si>
  <si>
    <t>Child YLLs Averted by Iron Fortification (%)</t>
  </si>
  <si>
    <t>Baseline Maternal Disorders DALYs (1000s)</t>
  </si>
  <si>
    <t>Maternal Disorders DALYs Averted by Iron Fortification (1000s)</t>
  </si>
  <si>
    <t>Maternal Disorders DALYs Averted by Iron Fortification (%)</t>
  </si>
  <si>
    <t>Baseline Annual NTD Cases</t>
  </si>
  <si>
    <t>Annual NTD Cases Averted</t>
  </si>
  <si>
    <t>Annual NTD Cases Averted (%)</t>
  </si>
  <si>
    <t>Baseline Prevalent Anemia Cases</t>
  </si>
  <si>
    <t>Prevalent Anemia Cases Averted</t>
  </si>
  <si>
    <t>Prevalent Anemia Cases Averted (%)</t>
  </si>
  <si>
    <t>Baseline Annual Maternal Disorders Cases</t>
  </si>
  <si>
    <t>Annual Maternal Disorders Cases Averted</t>
  </si>
  <si>
    <t>Annual Maternal Disorders Cases Averted (%)</t>
  </si>
  <si>
    <t>Baseline Annual Child Deaths</t>
  </si>
  <si>
    <t>Annual Child Deaths Averted</t>
  </si>
  <si>
    <t>Annual Child Deaths Averted (%)</t>
  </si>
  <si>
    <t>India -- Rice-- 80% PDS vs none</t>
  </si>
  <si>
    <t>National</t>
  </si>
  <si>
    <t>Wealth quintile</t>
  </si>
  <si>
    <t>Poorest</t>
  </si>
  <si>
    <t>Second</t>
  </si>
  <si>
    <t>Third</t>
  </si>
  <si>
    <t>Fourth</t>
  </si>
  <si>
    <t>Wealthiest</t>
  </si>
  <si>
    <t>India -- Rice-- 80% PDS with increased folate vs none</t>
  </si>
  <si>
    <t>Nigeria -- Bouillon</t>
  </si>
  <si>
    <t>Nigeria -- Rice</t>
  </si>
  <si>
    <t>Ethiopia -- Salt-- 25% NRV per average intake</t>
  </si>
  <si>
    <t>Ethiopia -- Salt-- 100% NRV per average intake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</si>
</sst>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%;\-0.0%;&quot;-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3" fillId="2" borderId="0" xfId="0" applyNumberFormat="1" applyFont="1" applyFill="1"/>
    <xf numFmtId="165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1" max="1" width="1.7109375" customWidth="1"/>
    <col min="2" max="2" width="10.7109375" customWidth="1"/>
    <col min="3" max="17" width="15.7109375" customWidth="1"/>
    <col min="18" max="18" width="1.7109375" customWidth="1"/>
    <col min="19" max="30" width="15.7109375" customWidth="1"/>
  </cols>
  <sheetData>
    <row r="1" spans="1:30" ht="75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/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</row>
    <row r="2" spans="1:30" x14ac:dyDescent="0.25">
      <c r="A2" s="2" t="s">
        <v>27</v>
      </c>
    </row>
    <row r="3" spans="1:30" x14ac:dyDescent="0.25">
      <c r="B3" t="s">
        <v>28</v>
      </c>
      <c r="C3" s="3">
        <f>C5+C6+C7+C8+C9</f>
        <v>1354.9744725859973</v>
      </c>
      <c r="D3" s="3">
        <f>D5+D6+D7+D8+D9</f>
        <v>76.159986174637623</v>
      </c>
      <c r="E3" s="3">
        <f>E5+E6+E7+E8+E9</f>
        <v>1278.8144864113599</v>
      </c>
      <c r="F3" s="3">
        <f>F5+F6+F7+F8+F9</f>
        <v>1475.2008350402737</v>
      </c>
      <c r="G3" s="3">
        <f>G5+G6+G7+G8+G9</f>
        <v>76.159986174637623</v>
      </c>
      <c r="H3" s="4">
        <f>IF(F3=0,0,G3/F3)</f>
        <v>5.1626859452366308E-2</v>
      </c>
      <c r="I3" s="3">
        <f>I5+I6+I7+I8+I9</f>
        <v>18048.889405534985</v>
      </c>
      <c r="J3" s="3">
        <f>J5+J6+J7+J8+J9</f>
        <v>1113.8472905386166</v>
      </c>
      <c r="K3" s="4">
        <f>IF(I3=0,0,J3/I3)</f>
        <v>6.1712788278099659E-2</v>
      </c>
      <c r="L3" s="3">
        <f>L5+L6+L7+L8+L9</f>
        <v>72937.581127560086</v>
      </c>
      <c r="M3" s="3">
        <f>M5+M6+M7+M8+M9</f>
        <v>133.93810810954682</v>
      </c>
      <c r="N3" s="4">
        <f>IF(L3=0,0,M3/L3)</f>
        <v>1.8363387713023179E-3</v>
      </c>
      <c r="O3" s="3">
        <f>O5+O6+O7+O8+O9</f>
        <v>2197.413253833623</v>
      </c>
      <c r="P3" s="3">
        <f>P5+P6+P7+P8+P9</f>
        <v>31.0290877631965</v>
      </c>
      <c r="Q3" s="4">
        <f>IF(O3=0,0,P3/O3)</f>
        <v>1.4120733871547799E-2</v>
      </c>
      <c r="S3" s="3">
        <f>S5+S6+S7+S8+S9</f>
        <v>21308.331458638695</v>
      </c>
      <c r="T3" s="3">
        <f>T5+T6+T7+T8+T9</f>
        <v>1100.0822333795754</v>
      </c>
      <c r="U3" s="4">
        <f>IF(S3=0,0,T3/S3)</f>
        <v>5.1626859452366308E-2</v>
      </c>
      <c r="V3" s="3">
        <f>V5+V6+V7+V8+V9</f>
        <v>586271135.92958963</v>
      </c>
      <c r="W3" s="3">
        <f>W5+W6+W7+W8+W9</f>
        <v>28540637.209694162</v>
      </c>
      <c r="X3" s="4">
        <f>IF(V3=0,0,W3/V3)</f>
        <v>4.8681634589497945E-2</v>
      </c>
      <c r="Y3" s="3">
        <f>Y5+Y6+Y7+Y8+Y9</f>
        <v>23683592.035162695</v>
      </c>
      <c r="Z3" s="3">
        <f>Z5+Z6+Z7+Z8+Z9</f>
        <v>357929.85937569803</v>
      </c>
      <c r="AA3" s="4">
        <f>IF(Y3=0,0,Z3/Y3)</f>
        <v>1.5112988724188654E-2</v>
      </c>
      <c r="AB3" s="3">
        <f>AB5+AB6+AB7+AB8+AB9</f>
        <v>813962.31168455421</v>
      </c>
      <c r="AC3" s="3">
        <f>AC5+AC6+AC7+AC8+AC9</f>
        <v>1488.4676120195945</v>
      </c>
      <c r="AD3" s="4">
        <f>IF(AB3=0,0,AC3/AB3)</f>
        <v>1.8286689575824494E-3</v>
      </c>
    </row>
    <row r="4" spans="1:30" x14ac:dyDescent="0.25">
      <c r="A4" s="5" t="s">
        <v>29</v>
      </c>
    </row>
    <row r="5" spans="1:30" x14ac:dyDescent="0.25">
      <c r="B5" t="s">
        <v>30</v>
      </c>
      <c r="C5" s="3">
        <f>J5+M5+G5+P5</f>
        <v>394.43866086505562</v>
      </c>
      <c r="D5" s="3">
        <f>G5</f>
        <v>25.612291312667828</v>
      </c>
      <c r="E5" s="3">
        <f>J5+M5+P5</f>
        <v>368.8263695523878</v>
      </c>
      <c r="F5" s="3">
        <v>363.2412074975357</v>
      </c>
      <c r="G5" s="3">
        <v>25.612291312667828</v>
      </c>
      <c r="H5" s="4">
        <f>IF(F5=0,0,G5/F5)</f>
        <v>7.0510423333072933E-2</v>
      </c>
      <c r="I5" s="3">
        <v>4215.705028068518</v>
      </c>
      <c r="J5" s="3">
        <v>311.12629295529291</v>
      </c>
      <c r="K5" s="4">
        <f>IF(I5=0,0,J5/I5)</f>
        <v>7.3801722578735449E-2</v>
      </c>
      <c r="L5" s="3">
        <v>18587.84837263764</v>
      </c>
      <c r="M5" s="3">
        <v>48.273576582159848</v>
      </c>
      <c r="N5" s="4">
        <f>IF(L5=0,0,M5/L5)</f>
        <v>2.5970502671638571E-3</v>
      </c>
      <c r="O5" s="3">
        <v>591.47191788042619</v>
      </c>
      <c r="P5" s="3">
        <v>9.4265000149350389</v>
      </c>
      <c r="Q5" s="4">
        <f>IF(O5=0,0,P5/O5)</f>
        <v>1.5937358528728542E-2</v>
      </c>
      <c r="S5" s="3">
        <v>5246.7866509730784</v>
      </c>
      <c r="T5" s="3">
        <v>369.95314789842809</v>
      </c>
      <c r="U5" s="4">
        <f>IF(S5=0,0,T5/S5)</f>
        <v>7.0510423333073002E-2</v>
      </c>
      <c r="V5" s="3">
        <v>130504106.3683567</v>
      </c>
      <c r="W5" s="3">
        <v>7529815.8321291059</v>
      </c>
      <c r="X5" s="4">
        <f>IF(V5=0,0,W5/V5)</f>
        <v>5.7697922629926214E-2</v>
      </c>
      <c r="Y5" s="3">
        <v>6056561.9935170701</v>
      </c>
      <c r="Z5" s="3">
        <v>113528.6322764717</v>
      </c>
      <c r="AA5" s="4">
        <f>IF(Y5=0,0,Z5/Y5)</f>
        <v>1.8744732143085877E-2</v>
      </c>
      <c r="AB5" s="3">
        <v>207427.26465751129</v>
      </c>
      <c r="AC5" s="3">
        <v>536.46853516536066</v>
      </c>
      <c r="AD5" s="4">
        <f>IF(AB5=0,0,AC5/AB5)</f>
        <v>2.5862971102238574E-3</v>
      </c>
    </row>
    <row r="6" spans="1:30" x14ac:dyDescent="0.25">
      <c r="B6" t="s">
        <v>31</v>
      </c>
      <c r="C6" s="3">
        <f>J6+M6+G6+P6</f>
        <v>330.44823457246008</v>
      </c>
      <c r="D6" s="3">
        <f>G6</f>
        <v>19.301616793786408</v>
      </c>
      <c r="E6" s="3">
        <f>J6+M6+P6</f>
        <v>311.14661777867366</v>
      </c>
      <c r="F6" s="3">
        <v>320.88569787796308</v>
      </c>
      <c r="G6" s="3">
        <v>19.301616793786408</v>
      </c>
      <c r="H6" s="4">
        <f>IF(F6=0,0,G6/F6)</f>
        <v>6.015106600708349E-2</v>
      </c>
      <c r="I6" s="3">
        <v>3777.348955767648</v>
      </c>
      <c r="J6" s="3">
        <v>273.87484500182188</v>
      </c>
      <c r="K6" s="4">
        <f>IF(I6=0,0,J6/I6)</f>
        <v>7.2504512611587385E-2</v>
      </c>
      <c r="L6" s="3">
        <v>15367.676054976309</v>
      </c>
      <c r="M6" s="3">
        <v>30.710367296976969</v>
      </c>
      <c r="N6" s="4">
        <f>IF(L6=0,0,M6/L6)</f>
        <v>1.9983741970558029E-3</v>
      </c>
      <c r="O6" s="3">
        <v>469.23439497722012</v>
      </c>
      <c r="P6" s="3">
        <v>6.5614054798748107</v>
      </c>
      <c r="Q6" s="4">
        <f>IF(O6=0,0,P6/O6)</f>
        <v>1.3983215105519592E-2</v>
      </c>
      <c r="S6" s="3">
        <v>4634.9884356820912</v>
      </c>
      <c r="T6" s="3">
        <v>278.79949533678251</v>
      </c>
      <c r="U6" s="4">
        <f>IF(S6=0,0,T6/S6)</f>
        <v>6.0151066007083573E-2</v>
      </c>
      <c r="V6" s="3">
        <v>120904784.0220684</v>
      </c>
      <c r="W6" s="3">
        <v>6963839.795960322</v>
      </c>
      <c r="X6" s="4">
        <f>IF(V6=0,0,W6/V6)</f>
        <v>5.7597719166259234E-2</v>
      </c>
      <c r="Y6" s="3">
        <v>5132795.0536682894</v>
      </c>
      <c r="Z6" s="3">
        <v>85655.404223025776</v>
      </c>
      <c r="AA6" s="4">
        <f>IF(Y6=0,0,Z6/Y6)</f>
        <v>1.6687867590156332E-2</v>
      </c>
      <c r="AB6" s="3">
        <v>171483.87280142889</v>
      </c>
      <c r="AC6" s="3">
        <v>341.10716108785709</v>
      </c>
      <c r="AD6" s="4">
        <f>IF(AB6=0,0,AC6/AB6)</f>
        <v>1.9891500904160521E-3</v>
      </c>
    </row>
    <row r="7" spans="1:30" x14ac:dyDescent="0.25">
      <c r="B7" t="s">
        <v>32</v>
      </c>
      <c r="C7" s="3">
        <f>J7+M7+G7+P7</f>
        <v>281.88409811441397</v>
      </c>
      <c r="D7" s="3">
        <f>G7</f>
        <v>14.649488393760979</v>
      </c>
      <c r="E7" s="3">
        <f>J7+M7+P7</f>
        <v>267.234609720653</v>
      </c>
      <c r="F7" s="3">
        <v>288.07994042728268</v>
      </c>
      <c r="G7" s="3">
        <v>14.649488393760979</v>
      </c>
      <c r="H7" s="4">
        <f>IF(F7=0,0,G7/F7)</f>
        <v>5.0852164062630427E-2</v>
      </c>
      <c r="I7" s="3">
        <v>3687.8736715650298</v>
      </c>
      <c r="J7" s="3">
        <v>237.34124995700179</v>
      </c>
      <c r="K7" s="4">
        <f>IF(I7=0,0,J7/I7)</f>
        <v>6.4357207186080442E-2</v>
      </c>
      <c r="L7" s="3">
        <v>13749.346945394889</v>
      </c>
      <c r="M7" s="3">
        <v>26.21495619864762</v>
      </c>
      <c r="N7" s="4">
        <f>IF(L7=0,0,M7/L7)</f>
        <v>1.9066328242904565E-3</v>
      </c>
      <c r="O7" s="3">
        <v>412.21408373118408</v>
      </c>
      <c r="P7" s="3">
        <v>3.6784035650035949</v>
      </c>
      <c r="Q7" s="4">
        <f>IF(O7=0,0,P7/O7)</f>
        <v>8.9235271432462297E-3</v>
      </c>
      <c r="S7" s="3">
        <v>4161.1302755545457</v>
      </c>
      <c r="T7" s="3">
        <v>211.6024794584778</v>
      </c>
      <c r="U7" s="4">
        <f>IF(S7=0,0,T7/S7)</f>
        <v>5.0852164062630302E-2</v>
      </c>
      <c r="V7" s="3">
        <v>118273982.46310391</v>
      </c>
      <c r="W7" s="3">
        <v>6057749.0648616999</v>
      </c>
      <c r="X7" s="4">
        <f>IF(V7=0,0,W7/V7)</f>
        <v>5.1217934314095173E-2</v>
      </c>
      <c r="Y7" s="3">
        <v>4603060.9719898822</v>
      </c>
      <c r="Z7" s="3">
        <v>67998.015264652669</v>
      </c>
      <c r="AA7" s="4">
        <f>IF(Y7=0,0,Z7/Y7)</f>
        <v>1.4772347287691355E-2</v>
      </c>
      <c r="AB7" s="3">
        <v>153442.40495407421</v>
      </c>
      <c r="AC7" s="3">
        <v>291.49157402050332</v>
      </c>
      <c r="AD7" s="4">
        <f>IF(AB7=0,0,AC7/AB7)</f>
        <v>1.8996806919687401E-3</v>
      </c>
    </row>
    <row r="8" spans="1:30" x14ac:dyDescent="0.25">
      <c r="B8" t="s">
        <v>33</v>
      </c>
      <c r="C8" s="3">
        <f>J8+M8+G8+P8</f>
        <v>233.43504013339646</v>
      </c>
      <c r="D8" s="3">
        <f>G8</f>
        <v>12.01133418925607</v>
      </c>
      <c r="E8" s="3">
        <f>J8+M8+P8</f>
        <v>221.42370594414038</v>
      </c>
      <c r="F8" s="3">
        <v>271.64518669470311</v>
      </c>
      <c r="G8" s="3">
        <v>12.01133418925607</v>
      </c>
      <c r="H8" s="4">
        <f>IF(F8=0,0,G8/F8)</f>
        <v>4.4216996205257195E-2</v>
      </c>
      <c r="I8" s="3">
        <v>3375.6401243953728</v>
      </c>
      <c r="J8" s="3">
        <v>193.18814640416059</v>
      </c>
      <c r="K8" s="4">
        <f>IF(I8=0,0,J8/I8)</f>
        <v>5.7230077640093066E-2</v>
      </c>
      <c r="L8" s="3">
        <v>12894.33743826528</v>
      </c>
      <c r="M8" s="3">
        <v>21.206282171037049</v>
      </c>
      <c r="N8" s="4">
        <f>IF(L8=0,0,M8/L8)</f>
        <v>1.6446197621682534E-3</v>
      </c>
      <c r="O8" s="3">
        <v>377.03051903276793</v>
      </c>
      <c r="P8" s="3">
        <v>7.0292773689427417</v>
      </c>
      <c r="Q8" s="4">
        <f>IF(O8=0,0,P8/O8)</f>
        <v>1.8643788802496977E-2</v>
      </c>
      <c r="S8" s="3">
        <v>3923.740781421468</v>
      </c>
      <c r="T8" s="3">
        <v>173.49603124252641</v>
      </c>
      <c r="U8" s="4">
        <f>IF(S8=0,0,T8/S8)</f>
        <v>4.4216996205257313E-2</v>
      </c>
      <c r="V8" s="3">
        <v>111762860.6181328</v>
      </c>
      <c r="W8" s="3">
        <v>5173153.5519152125</v>
      </c>
      <c r="X8" s="4">
        <f>IF(V8=0,0,W8/V8)</f>
        <v>4.6286874935947207E-2</v>
      </c>
      <c r="Y8" s="3">
        <v>4143959.5493767709</v>
      </c>
      <c r="Z8" s="3">
        <v>58840.378214361153</v>
      </c>
      <c r="AA8" s="4">
        <f>IF(Y8=0,0,Z8/Y8)</f>
        <v>1.4199071567484395E-2</v>
      </c>
      <c r="AB8" s="3">
        <v>143913.11126295681</v>
      </c>
      <c r="AC8" s="3">
        <v>235.6740385697631</v>
      </c>
      <c r="AD8" s="4">
        <f>IF(AB8=0,0,AC8/AB8)</f>
        <v>1.6376133939536718E-3</v>
      </c>
    </row>
    <row r="9" spans="1:30" x14ac:dyDescent="0.25">
      <c r="B9" t="s">
        <v>34</v>
      </c>
      <c r="C9" s="3">
        <f>J9+M9+G9+P9</f>
        <v>114.76843890067131</v>
      </c>
      <c r="D9" s="3">
        <f>G9</f>
        <v>4.5852554851663303</v>
      </c>
      <c r="E9" s="3">
        <f>J9+M9+P9</f>
        <v>110.18318341550498</v>
      </c>
      <c r="F9" s="3">
        <v>231.34880254278889</v>
      </c>
      <c r="G9" s="3">
        <v>4.5852554851663303</v>
      </c>
      <c r="H9" s="4">
        <f>IF(F9=0,0,G9/F9)</f>
        <v>1.981966379237372E-2</v>
      </c>
      <c r="I9" s="3">
        <v>2992.321625738417</v>
      </c>
      <c r="J9" s="3">
        <v>98.316756220339329</v>
      </c>
      <c r="K9" s="4">
        <f>IF(I9=0,0,J9/I9)</f>
        <v>3.2856346515250559E-2</v>
      </c>
      <c r="L9" s="3">
        <v>12338.372316285961</v>
      </c>
      <c r="M9" s="3">
        <v>7.5329258607253431</v>
      </c>
      <c r="N9" s="4">
        <f>IF(L9=0,0,M9/L9)</f>
        <v>6.1052833125989424E-4</v>
      </c>
      <c r="O9" s="3">
        <v>347.46233821202492</v>
      </c>
      <c r="P9" s="3">
        <v>4.3335013344403119</v>
      </c>
      <c r="Q9" s="4">
        <f>IF(O9=0,0,P9/O9)</f>
        <v>1.2471859127926454E-2</v>
      </c>
      <c r="S9" s="3">
        <v>3341.6853150075108</v>
      </c>
      <c r="T9" s="3">
        <v>66.231079443360613</v>
      </c>
      <c r="U9" s="4">
        <f>IF(S9=0,0,T9/S9)</f>
        <v>1.9819663792373505E-2</v>
      </c>
      <c r="V9" s="3">
        <v>104825402.45792779</v>
      </c>
      <c r="W9" s="3">
        <v>2816078.9648278211</v>
      </c>
      <c r="X9" s="4">
        <f>IF(V9=0,0,W9/V9)</f>
        <v>2.6864470813341916E-2</v>
      </c>
      <c r="Y9" s="3">
        <v>3747214.4666106808</v>
      </c>
      <c r="Z9" s="3">
        <v>31907.42939718673</v>
      </c>
      <c r="AA9" s="4">
        <f>IF(Y9=0,0,Z9/Y9)</f>
        <v>8.5149728368888074E-3</v>
      </c>
      <c r="AB9" s="3">
        <v>137695.65800858309</v>
      </c>
      <c r="AC9" s="3">
        <v>83.726303176110378</v>
      </c>
      <c r="AD9" s="4">
        <f>IF(AB9=0,0,AC9/AB9)</f>
        <v>6.0805332852900413E-4</v>
      </c>
    </row>
    <row r="11" spans="1:30" x14ac:dyDescent="0.25">
      <c r="A11" s="2" t="s">
        <v>35</v>
      </c>
    </row>
    <row r="12" spans="1:30" x14ac:dyDescent="0.25">
      <c r="B12" t="s">
        <v>28</v>
      </c>
      <c r="C12" s="3">
        <f>C14+C15+C16+C17+C18</f>
        <v>1831.3001558514102</v>
      </c>
      <c r="D12" s="3">
        <f>D14+D15+D16+D17+D18</f>
        <v>552.48566944005017</v>
      </c>
      <c r="E12" s="3">
        <f>E14+E15+E16+E17+E18</f>
        <v>1278.8144864113599</v>
      </c>
      <c r="F12" s="3">
        <f>F14+F15+F16+F17+F18</f>
        <v>1475.2008350402737</v>
      </c>
      <c r="G12" s="3">
        <f>G14+G15+G16+G17+G18</f>
        <v>552.48566944005017</v>
      </c>
      <c r="H12" s="4">
        <f>IF(F12=0,0,G12/F12)</f>
        <v>0.3745155617573705</v>
      </c>
      <c r="I12" s="3">
        <f>I14+I15+I16+I17+I18</f>
        <v>18048.889405534985</v>
      </c>
      <c r="J12" s="3">
        <f>J14+J15+J16+J17+J18</f>
        <v>1113.8472905386166</v>
      </c>
      <c r="K12" s="4">
        <f>IF(I12=0,0,J12/I12)</f>
        <v>6.1712788278099659E-2</v>
      </c>
      <c r="L12" s="3">
        <f>L14+L15+L16+L17+L18</f>
        <v>72937.581127560086</v>
      </c>
      <c r="M12" s="3">
        <f>M14+M15+M16+M17+M18</f>
        <v>133.93810810954682</v>
      </c>
      <c r="N12" s="4">
        <f>IF(L12=0,0,M12/L12)</f>
        <v>1.8363387713023179E-3</v>
      </c>
      <c r="O12" s="3">
        <f>O14+O15+O16+O17+O18</f>
        <v>2197.413253833623</v>
      </c>
      <c r="P12" s="3">
        <f>P14+P15+P16+P17+P18</f>
        <v>31.0290877631965</v>
      </c>
      <c r="Q12" s="4">
        <f>IF(O12=0,0,P12/O12)</f>
        <v>1.4120733871547799E-2</v>
      </c>
      <c r="S12" s="3">
        <f>S14+S15+S16+S17+S18</f>
        <v>21308.331458638695</v>
      </c>
      <c r="T12" s="3">
        <f>T14+T15+T16+T17+T18</f>
        <v>7980.3017263443235</v>
      </c>
      <c r="U12" s="4">
        <f>IF(S12=0,0,T12/S12)</f>
        <v>0.37451556175737061</v>
      </c>
      <c r="V12" s="3">
        <f>V14+V15+V16+V17+V18</f>
        <v>586271135.92958963</v>
      </c>
      <c r="W12" s="3">
        <f>W14+W15+W16+W17+W18</f>
        <v>28540637.209694162</v>
      </c>
      <c r="X12" s="4">
        <f>IF(V12=0,0,W12/V12)</f>
        <v>4.8681634589497945E-2</v>
      </c>
      <c r="Y12" s="3">
        <f>Y14+Y15+Y16+Y17+Y18</f>
        <v>23683592.035162695</v>
      </c>
      <c r="Z12" s="3">
        <f>Z14+Z15+Z16+Z17+Z18</f>
        <v>357929.85937569803</v>
      </c>
      <c r="AA12" s="4">
        <f>IF(Y12=0,0,Z12/Y12)</f>
        <v>1.5112988724188654E-2</v>
      </c>
      <c r="AB12" s="3">
        <f>AB14+AB15+AB16+AB17+AB18</f>
        <v>813962.31168455421</v>
      </c>
      <c r="AC12" s="3">
        <f>AC14+AC15+AC16+AC17+AC18</f>
        <v>1488.4676120195945</v>
      </c>
      <c r="AD12" s="4">
        <f>IF(AB12=0,0,AC12/AB12)</f>
        <v>1.8286689575824494E-3</v>
      </c>
    </row>
    <row r="13" spans="1:30" x14ac:dyDescent="0.25">
      <c r="A13" s="5" t="s">
        <v>29</v>
      </c>
    </row>
    <row r="14" spans="1:30" x14ac:dyDescent="0.25">
      <c r="B14" t="s">
        <v>30</v>
      </c>
      <c r="C14" s="3">
        <f>J14+M14+G14+P14</f>
        <v>540.52142931971321</v>
      </c>
      <c r="D14" s="3">
        <f>G14</f>
        <v>171.69505976732529</v>
      </c>
      <c r="E14" s="3">
        <f>J14+M14+P14</f>
        <v>368.8263695523878</v>
      </c>
      <c r="F14" s="3">
        <v>363.2412074975357</v>
      </c>
      <c r="G14" s="3">
        <v>171.69505976732529</v>
      </c>
      <c r="H14" s="4">
        <f>IF(F14=0,0,G14/F14)</f>
        <v>0.47267506060278169</v>
      </c>
      <c r="I14" s="3">
        <v>4215.705028068518</v>
      </c>
      <c r="J14" s="3">
        <v>311.12629295529291</v>
      </c>
      <c r="K14" s="4">
        <f>IF(I14=0,0,J14/I14)</f>
        <v>7.3801722578735449E-2</v>
      </c>
      <c r="L14" s="3">
        <v>18587.84837263764</v>
      </c>
      <c r="M14" s="3">
        <v>48.273576582159848</v>
      </c>
      <c r="N14" s="4">
        <f>IF(L14=0,0,M14/L14)</f>
        <v>2.5970502671638571E-3</v>
      </c>
      <c r="O14" s="3">
        <v>591.47191788042619</v>
      </c>
      <c r="P14" s="3">
        <v>9.4265000149350389</v>
      </c>
      <c r="Q14" s="4">
        <f>IF(O14=0,0,P14/O14)</f>
        <v>1.5937358528728542E-2</v>
      </c>
      <c r="S14" s="3">
        <v>5246.7866509730784</v>
      </c>
      <c r="T14" s="3">
        <v>2480.0251982185669</v>
      </c>
      <c r="U14" s="4">
        <f>IF(S14=0,0,T14/S14)</f>
        <v>0.47267506060278192</v>
      </c>
      <c r="V14" s="3">
        <v>130504106.3683567</v>
      </c>
      <c r="W14" s="3">
        <v>7529815.8321291059</v>
      </c>
      <c r="X14" s="4">
        <f>IF(V14=0,0,W14/V14)</f>
        <v>5.7697922629926214E-2</v>
      </c>
      <c r="Y14" s="3">
        <v>6056561.9935170701</v>
      </c>
      <c r="Z14" s="3">
        <v>113528.6322764717</v>
      </c>
      <c r="AA14" s="4">
        <f>IF(Y14=0,0,Z14/Y14)</f>
        <v>1.8744732143085877E-2</v>
      </c>
      <c r="AB14" s="3">
        <v>207427.26465751129</v>
      </c>
      <c r="AC14" s="3">
        <v>536.46853516536066</v>
      </c>
      <c r="AD14" s="4">
        <f>IF(AB14=0,0,AC14/AB14)</f>
        <v>2.5862971102238574E-3</v>
      </c>
    </row>
    <row r="15" spans="1:30" x14ac:dyDescent="0.25">
      <c r="B15" t="s">
        <v>31</v>
      </c>
      <c r="C15" s="3">
        <f>J15+M15+G15+P15</f>
        <v>447.92399817572056</v>
      </c>
      <c r="D15" s="3">
        <f>G15</f>
        <v>136.7773803970469</v>
      </c>
      <c r="E15" s="3">
        <f>J15+M15+P15</f>
        <v>311.14661777867366</v>
      </c>
      <c r="F15" s="3">
        <v>320.88569787796308</v>
      </c>
      <c r="G15" s="3">
        <v>136.7773803970469</v>
      </c>
      <c r="H15" s="4">
        <f>IF(F15=0,0,G15/F15)</f>
        <v>0.42624953776863272</v>
      </c>
      <c r="I15" s="3">
        <v>3777.348955767648</v>
      </c>
      <c r="J15" s="3">
        <v>273.87484500182188</v>
      </c>
      <c r="K15" s="4">
        <f>IF(I15=0,0,J15/I15)</f>
        <v>7.2504512611587385E-2</v>
      </c>
      <c r="L15" s="3">
        <v>15367.676054976309</v>
      </c>
      <c r="M15" s="3">
        <v>30.710367296976969</v>
      </c>
      <c r="N15" s="4">
        <f>IF(L15=0,0,M15/L15)</f>
        <v>1.9983741970558029E-3</v>
      </c>
      <c r="O15" s="3">
        <v>469.23439497722012</v>
      </c>
      <c r="P15" s="3">
        <v>6.5614054798748107</v>
      </c>
      <c r="Q15" s="4">
        <f>IF(O15=0,0,P15/O15)</f>
        <v>1.3983215105519592E-2</v>
      </c>
      <c r="S15" s="3">
        <v>4634.9884356820912</v>
      </c>
      <c r="T15" s="3">
        <v>1975.66167827245</v>
      </c>
      <c r="U15" s="4">
        <f>IF(S15=0,0,T15/S15)</f>
        <v>0.42624953776863284</v>
      </c>
      <c r="V15" s="3">
        <v>120904784.0220684</v>
      </c>
      <c r="W15" s="3">
        <v>6963839.795960322</v>
      </c>
      <c r="X15" s="4">
        <f>IF(V15=0,0,W15/V15)</f>
        <v>5.7597719166259234E-2</v>
      </c>
      <c r="Y15" s="3">
        <v>5132795.0536682894</v>
      </c>
      <c r="Z15" s="3">
        <v>85655.404223025776</v>
      </c>
      <c r="AA15" s="4">
        <f>IF(Y15=0,0,Z15/Y15)</f>
        <v>1.6687867590156332E-2</v>
      </c>
      <c r="AB15" s="3">
        <v>171483.87280142889</v>
      </c>
      <c r="AC15" s="3">
        <v>341.10716108785709</v>
      </c>
      <c r="AD15" s="4">
        <f>IF(AB15=0,0,AC15/AB15)</f>
        <v>1.9891500904160521E-3</v>
      </c>
    </row>
    <row r="16" spans="1:30" x14ac:dyDescent="0.25">
      <c r="B16" t="s">
        <v>32</v>
      </c>
      <c r="C16" s="3">
        <f>J16+M16+G16+P16</f>
        <v>376.59508038259258</v>
      </c>
      <c r="D16" s="3">
        <f>G16</f>
        <v>109.3604706619396</v>
      </c>
      <c r="E16" s="3">
        <f>J16+M16+P16</f>
        <v>267.234609720653</v>
      </c>
      <c r="F16" s="3">
        <v>288.07994042728268</v>
      </c>
      <c r="G16" s="3">
        <v>109.3604706619396</v>
      </c>
      <c r="H16" s="4">
        <f>IF(F16=0,0,G16/F16)</f>
        <v>0.37961848540976229</v>
      </c>
      <c r="I16" s="3">
        <v>3687.8736715650298</v>
      </c>
      <c r="J16" s="3">
        <v>237.34124995700179</v>
      </c>
      <c r="K16" s="4">
        <f>IF(I16=0,0,J16/I16)</f>
        <v>6.4357207186080442E-2</v>
      </c>
      <c r="L16" s="3">
        <v>13749.346945394889</v>
      </c>
      <c r="M16" s="3">
        <v>26.21495619864762</v>
      </c>
      <c r="N16" s="4">
        <f>IF(L16=0,0,M16/L16)</f>
        <v>1.9066328242904565E-3</v>
      </c>
      <c r="O16" s="3">
        <v>412.21408373118408</v>
      </c>
      <c r="P16" s="3">
        <v>3.6784035650035949</v>
      </c>
      <c r="Q16" s="4">
        <f>IF(O16=0,0,P16/O16)</f>
        <v>8.9235271432462297E-3</v>
      </c>
      <c r="S16" s="3">
        <v>4161.1302755545457</v>
      </c>
      <c r="T16" s="3">
        <v>1579.6419727987229</v>
      </c>
      <c r="U16" s="4">
        <f>IF(S16=0,0,T16/S16)</f>
        <v>0.37961848540976217</v>
      </c>
      <c r="V16" s="3">
        <v>118273982.46310391</v>
      </c>
      <c r="W16" s="3">
        <v>6057749.0648616999</v>
      </c>
      <c r="X16" s="4">
        <f>IF(V16=0,0,W16/V16)</f>
        <v>5.1217934314095173E-2</v>
      </c>
      <c r="Y16" s="3">
        <v>4603060.9719898822</v>
      </c>
      <c r="Z16" s="3">
        <v>67998.015264652669</v>
      </c>
      <c r="AA16" s="4">
        <f>IF(Y16=0,0,Z16/Y16)</f>
        <v>1.4772347287691355E-2</v>
      </c>
      <c r="AB16" s="3">
        <v>153442.40495407421</v>
      </c>
      <c r="AC16" s="3">
        <v>291.49157402050332</v>
      </c>
      <c r="AD16" s="4">
        <f>IF(AB16=0,0,AC16/AB16)</f>
        <v>1.8996806919687401E-3</v>
      </c>
    </row>
    <row r="17" spans="1:30" x14ac:dyDescent="0.25">
      <c r="B17" t="s">
        <v>33</v>
      </c>
      <c r="C17" s="3">
        <f>J17+M17+G17+P17</f>
        <v>314.61496024507142</v>
      </c>
      <c r="D17" s="3">
        <f>G17</f>
        <v>93.191254300931007</v>
      </c>
      <c r="E17" s="3">
        <f>J17+M17+P17</f>
        <v>221.42370594414038</v>
      </c>
      <c r="F17" s="3">
        <v>271.64518669470311</v>
      </c>
      <c r="G17" s="3">
        <v>93.191254300931007</v>
      </c>
      <c r="H17" s="4">
        <f>IF(F17=0,0,G17/F17)</f>
        <v>0.34306241695225359</v>
      </c>
      <c r="I17" s="3">
        <v>3375.6401243953728</v>
      </c>
      <c r="J17" s="3">
        <v>193.18814640416059</v>
      </c>
      <c r="K17" s="4">
        <f>IF(I17=0,0,J17/I17)</f>
        <v>5.7230077640093066E-2</v>
      </c>
      <c r="L17" s="3">
        <v>12894.33743826528</v>
      </c>
      <c r="M17" s="3">
        <v>21.206282171037049</v>
      </c>
      <c r="N17" s="4">
        <f>IF(L17=0,0,M17/L17)</f>
        <v>1.6446197621682534E-3</v>
      </c>
      <c r="O17" s="3">
        <v>377.03051903276793</v>
      </c>
      <c r="P17" s="3">
        <v>7.0292773689427417</v>
      </c>
      <c r="Q17" s="4">
        <f>IF(O17=0,0,P17/O17)</f>
        <v>1.8643788802496977E-2</v>
      </c>
      <c r="S17" s="3">
        <v>3923.740781421468</v>
      </c>
      <c r="T17" s="3">
        <v>1346.0879959685731</v>
      </c>
      <c r="U17" s="4">
        <f>IF(S17=0,0,T17/S17)</f>
        <v>0.34306241695225359</v>
      </c>
      <c r="V17" s="3">
        <v>111762860.6181328</v>
      </c>
      <c r="W17" s="3">
        <v>5173153.5519152125</v>
      </c>
      <c r="X17" s="4">
        <f>IF(V17=0,0,W17/V17)</f>
        <v>4.6286874935947207E-2</v>
      </c>
      <c r="Y17" s="3">
        <v>4143959.5493767709</v>
      </c>
      <c r="Z17" s="3">
        <v>58840.378214361153</v>
      </c>
      <c r="AA17" s="4">
        <f>IF(Y17=0,0,Z17/Y17)</f>
        <v>1.4199071567484395E-2</v>
      </c>
      <c r="AB17" s="3">
        <v>143913.11126295681</v>
      </c>
      <c r="AC17" s="3">
        <v>235.6740385697631</v>
      </c>
      <c r="AD17" s="4">
        <f>IF(AB17=0,0,AC17/AB17)</f>
        <v>1.6376133939536718E-3</v>
      </c>
    </row>
    <row r="18" spans="1:30" x14ac:dyDescent="0.25">
      <c r="B18" t="s">
        <v>34</v>
      </c>
      <c r="C18" s="3">
        <f>J18+M18+G18+P18</f>
        <v>151.64468772831239</v>
      </c>
      <c r="D18" s="3">
        <f>G18</f>
        <v>41.461504312807413</v>
      </c>
      <c r="E18" s="3">
        <f>J18+M18+P18</f>
        <v>110.18318341550498</v>
      </c>
      <c r="F18" s="3">
        <v>231.34880254278889</v>
      </c>
      <c r="G18" s="3">
        <v>41.461504312807413</v>
      </c>
      <c r="H18" s="4">
        <f>IF(F18=0,0,G18/F18)</f>
        <v>0.17921642064751531</v>
      </c>
      <c r="I18" s="3">
        <v>2992.321625738417</v>
      </c>
      <c r="J18" s="3">
        <v>98.316756220339329</v>
      </c>
      <c r="K18" s="4">
        <f>IF(I18=0,0,J18/I18)</f>
        <v>3.2856346515250559E-2</v>
      </c>
      <c r="L18" s="3">
        <v>12338.372316285961</v>
      </c>
      <c r="M18" s="3">
        <v>7.5329258607253431</v>
      </c>
      <c r="N18" s="4">
        <f>IF(L18=0,0,M18/L18)</f>
        <v>6.1052833125989424E-4</v>
      </c>
      <c r="O18" s="3">
        <v>347.46233821202492</v>
      </c>
      <c r="P18" s="3">
        <v>4.3335013344403119</v>
      </c>
      <c r="Q18" s="4">
        <f>IF(O18=0,0,P18/O18)</f>
        <v>1.2471859127926454E-2</v>
      </c>
      <c r="S18" s="3">
        <v>3341.6853150075108</v>
      </c>
      <c r="T18" s="3">
        <v>598.88488108601132</v>
      </c>
      <c r="U18" s="4">
        <f>IF(S18=0,0,T18/S18)</f>
        <v>0.17921642064751547</v>
      </c>
      <c r="V18" s="3">
        <v>104825402.45792779</v>
      </c>
      <c r="W18" s="3">
        <v>2816078.9648278211</v>
      </c>
      <c r="X18" s="4">
        <f>IF(V18=0,0,W18/V18)</f>
        <v>2.6864470813341916E-2</v>
      </c>
      <c r="Y18" s="3">
        <v>3747214.4666106808</v>
      </c>
      <c r="Z18" s="3">
        <v>31907.42939718673</v>
      </c>
      <c r="AA18" s="4">
        <f>IF(Y18=0,0,Z18/Y18)</f>
        <v>8.5149728368888074E-3</v>
      </c>
      <c r="AB18" s="3">
        <v>137695.65800858309</v>
      </c>
      <c r="AC18" s="3">
        <v>83.726303176110378</v>
      </c>
      <c r="AD18" s="4">
        <f>IF(AB18=0,0,AC18/AB18)</f>
        <v>6.0805332852900413E-4</v>
      </c>
    </row>
    <row r="20" spans="1:30" x14ac:dyDescent="0.25">
      <c r="A20" s="2" t="s">
        <v>36</v>
      </c>
    </row>
    <row r="21" spans="1:30" x14ac:dyDescent="0.25">
      <c r="B21" t="s">
        <v>28</v>
      </c>
      <c r="C21" s="3">
        <f>C23+C24+C25+C26+C27</f>
        <v>1978.042623631017</v>
      </c>
      <c r="D21" s="3">
        <f>D23+D24+D25+D26+D27</f>
        <v>1041.7813801093714</v>
      </c>
      <c r="E21" s="3">
        <f>E23+E24+E25+E26+E27</f>
        <v>936.26124352164572</v>
      </c>
      <c r="F21" s="3">
        <f>F23+F24+F25+F26+F27</f>
        <v>1859.1790728805329</v>
      </c>
      <c r="G21" s="3">
        <f>G23+G24+G25+G26+G27</f>
        <v>1041.7813801093714</v>
      </c>
      <c r="H21" s="4">
        <f>IF(F21=0,0,G21/F21)</f>
        <v>0.56034482923437801</v>
      </c>
      <c r="I21" s="3">
        <f>I23+I24+I25+I26+I27</f>
        <v>3682.4352162782898</v>
      </c>
      <c r="J21" s="3">
        <f>J23+J24+J25+J26+J27</f>
        <v>585.89953258422668</v>
      </c>
      <c r="K21" s="4">
        <f>IF(I21=0,0,J21/I21)</f>
        <v>0.15910654177818098</v>
      </c>
      <c r="L21" s="3">
        <f>L23+L24+L25+L26+L27</f>
        <v>75120.106151105079</v>
      </c>
      <c r="M21" s="3">
        <f>M23+M24+M25+M26+M27</f>
        <v>270.09622799380867</v>
      </c>
      <c r="N21" s="4">
        <f>IF(L21=0,0,M21/L21)</f>
        <v>3.5955251108206179E-3</v>
      </c>
      <c r="O21" s="3">
        <f>O23+O24+O25+O26+O27</f>
        <v>1936.1737568351107</v>
      </c>
      <c r="P21" s="3">
        <f>P23+P24+P25+P26+P27</f>
        <v>80.265482943610337</v>
      </c>
      <c r="Q21" s="4">
        <f>IF(O21=0,0,P21/O21)</f>
        <v>4.1455723000198653E-2</v>
      </c>
      <c r="S21" s="3">
        <f>S23+S24+S25+S26+S27</f>
        <v>34100.200929874198</v>
      </c>
      <c r="T21" s="3">
        <f>T23+T24+T25+T26+T27</f>
        <v>19107.871266908332</v>
      </c>
      <c r="U21" s="4">
        <f>IF(S21=0,0,T21/S21)</f>
        <v>0.56034482923437789</v>
      </c>
      <c r="V21" s="3">
        <f>V23+V24+V25+V26+V27</f>
        <v>106670224.92367341</v>
      </c>
      <c r="W21" s="3">
        <f>W23+W24+W25+W26+W27</f>
        <v>13782093.295542261</v>
      </c>
      <c r="X21" s="4">
        <f>IF(V21=0,0,W21/V21)</f>
        <v>0.12920281461301755</v>
      </c>
      <c r="Y21" s="3">
        <f>Y23+Y24+Y25+Y26+Y27</f>
        <v>8082003.8383214176</v>
      </c>
      <c r="Z21" s="3">
        <f>Z23+Z24+Z25+Z26+Z27</f>
        <v>334084.07649866142</v>
      </c>
      <c r="AA21" s="4">
        <f>IF(Y21=0,0,Z21/Y21)</f>
        <v>4.1336787655875284E-2</v>
      </c>
      <c r="AB21" s="3">
        <f>AB23+AB24+AB25+AB26+AB27</f>
        <v>844449.53447731666</v>
      </c>
      <c r="AC21" s="3">
        <f>AC23+AC24+AC25+AC26+AC27</f>
        <v>2999.0317686344206</v>
      </c>
      <c r="AD21" s="4">
        <f>IF(AB21=0,0,AC21/AB21)</f>
        <v>3.5514635821200509E-3</v>
      </c>
    </row>
    <row r="22" spans="1:30" x14ac:dyDescent="0.25">
      <c r="A22" s="5" t="s">
        <v>29</v>
      </c>
    </row>
    <row r="23" spans="1:30" x14ac:dyDescent="0.25">
      <c r="B23" t="s">
        <v>30</v>
      </c>
      <c r="C23" s="3">
        <f>J23+M23+G23+P23</f>
        <v>516.60971559081213</v>
      </c>
      <c r="D23" s="3">
        <f>G23</f>
        <v>268.73883356068632</v>
      </c>
      <c r="E23" s="3">
        <f>J23+M23+P23</f>
        <v>247.87088203012584</v>
      </c>
      <c r="F23" s="3">
        <v>414.1174655591563</v>
      </c>
      <c r="G23" s="3">
        <v>268.73883356068632</v>
      </c>
      <c r="H23" s="4">
        <f>IF(F23=0,0,G23/F23)</f>
        <v>0.64894349046067279</v>
      </c>
      <c r="I23" s="3">
        <v>991.82050542122556</v>
      </c>
      <c r="J23" s="3">
        <v>137.38025624613479</v>
      </c>
      <c r="K23" s="4">
        <f>IF(I23=0,0,J23/I23)</f>
        <v>0.13851322441432029</v>
      </c>
      <c r="L23" s="3">
        <v>18248.150900694091</v>
      </c>
      <c r="M23" s="3">
        <v>92.706822166558354</v>
      </c>
      <c r="N23" s="4">
        <f>IF(L23=0,0,M23/L23)</f>
        <v>5.0803406148418103E-3</v>
      </c>
      <c r="O23" s="3">
        <v>476.04818802351332</v>
      </c>
      <c r="P23" s="3">
        <v>17.78380361743271</v>
      </c>
      <c r="Q23" s="4">
        <f>IF(O23=0,0,P23/O23)</f>
        <v>3.7357150105472768E-2</v>
      </c>
      <c r="S23" s="3">
        <v>7595.5506331395254</v>
      </c>
      <c r="T23" s="3">
        <v>4929.0831398403361</v>
      </c>
      <c r="U23" s="4">
        <f>IF(S23=0,0,T23/S23)</f>
        <v>0.64894349046067268</v>
      </c>
      <c r="V23" s="3">
        <v>25699987.560610589</v>
      </c>
      <c r="W23" s="3">
        <v>2724438.1987594548</v>
      </c>
      <c r="X23" s="4">
        <f>IF(V23=0,0,W23/V23)</f>
        <v>0.10600931974516203</v>
      </c>
      <c r="Y23" s="3">
        <v>1959206.3612258229</v>
      </c>
      <c r="Z23" s="3">
        <v>81685.476824872196</v>
      </c>
      <c r="AA23" s="4">
        <f>IF(Y23=0,0,Z23/Y23)</f>
        <v>4.1693145980683619E-2</v>
      </c>
      <c r="AB23" s="3">
        <v>205054.68928072241</v>
      </c>
      <c r="AC23" s="3">
        <v>1029.3601439886841</v>
      </c>
      <c r="AD23" s="4">
        <f>IF(AB23=0,0,AC23/AB23)</f>
        <v>5.0199297933610151E-3</v>
      </c>
    </row>
    <row r="24" spans="1:30" x14ac:dyDescent="0.25">
      <c r="B24" t="s">
        <v>31</v>
      </c>
      <c r="C24" s="3">
        <f>J24+M24+G24+P24</f>
        <v>493.50667596471601</v>
      </c>
      <c r="D24" s="3">
        <f>G24</f>
        <v>265.1770602919006</v>
      </c>
      <c r="E24" s="3">
        <f>J24+M24+P24</f>
        <v>228.32961567281538</v>
      </c>
      <c r="F24" s="3">
        <v>423.46088348022653</v>
      </c>
      <c r="G24" s="3">
        <v>265.1770602919006</v>
      </c>
      <c r="H24" s="4">
        <f>IF(F24=0,0,G24/F24)</f>
        <v>0.62621382667634995</v>
      </c>
      <c r="I24" s="3">
        <v>847.52939170447485</v>
      </c>
      <c r="J24" s="3">
        <v>129.63861091745869</v>
      </c>
      <c r="K24" s="4">
        <f>IF(I24=0,0,J24/I24)</f>
        <v>0.15296060784009058</v>
      </c>
      <c r="L24" s="3">
        <v>18442.648959675</v>
      </c>
      <c r="M24" s="3">
        <v>78.360818720057608</v>
      </c>
      <c r="N24" s="4">
        <f>IF(L24=0,0,M24/L24)</f>
        <v>4.2488917341209588E-3</v>
      </c>
      <c r="O24" s="3">
        <v>476.56393826290048</v>
      </c>
      <c r="P24" s="3">
        <v>20.330186035299089</v>
      </c>
      <c r="Q24" s="4">
        <f>IF(O24=0,0,P24/O24)</f>
        <v>4.2659933752863553E-2</v>
      </c>
      <c r="S24" s="3">
        <v>7766.9232744992596</v>
      </c>
      <c r="T24" s="3">
        <v>4863.7547452257877</v>
      </c>
      <c r="U24" s="4">
        <f>IF(S24=0,0,T24/S24)</f>
        <v>0.62621382667634995</v>
      </c>
      <c r="V24" s="3">
        <v>23322467.600951109</v>
      </c>
      <c r="W24" s="3">
        <v>2821008.1417387952</v>
      </c>
      <c r="X24" s="4">
        <f>IF(V24=0,0,W24/V24)</f>
        <v>0.12095667534012362</v>
      </c>
      <c r="Y24" s="3">
        <v>2033978.1299748039</v>
      </c>
      <c r="Z24" s="3">
        <v>83922.171154072974</v>
      </c>
      <c r="AA24" s="4">
        <f>IF(Y24=0,0,Z24/Y24)</f>
        <v>4.1260114805222889E-2</v>
      </c>
      <c r="AB24" s="3">
        <v>207305.28823611679</v>
      </c>
      <c r="AC24" s="3">
        <v>870.34467375359964</v>
      </c>
      <c r="AD24" s="4">
        <f>IF(AB24=0,0,AC24/AB24)</f>
        <v>4.1983717885782706E-3</v>
      </c>
    </row>
    <row r="25" spans="1:30" x14ac:dyDescent="0.25">
      <c r="B25" t="s">
        <v>32</v>
      </c>
      <c r="C25" s="3">
        <f>J25+M25+G25+P25</f>
        <v>391.06609673602094</v>
      </c>
      <c r="D25" s="3">
        <f>G25</f>
        <v>207.67060060169669</v>
      </c>
      <c r="E25" s="3">
        <f>J25+M25+P25</f>
        <v>183.39549613432428</v>
      </c>
      <c r="F25" s="3">
        <v>383.34862378459758</v>
      </c>
      <c r="G25" s="3">
        <v>207.67060060169669</v>
      </c>
      <c r="H25" s="4">
        <f>IF(F25=0,0,G25/F25)</f>
        <v>0.54172778436368185</v>
      </c>
      <c r="I25" s="3">
        <v>721.62080381298233</v>
      </c>
      <c r="J25" s="3">
        <v>117.9993820939182</v>
      </c>
      <c r="K25" s="4">
        <f>IF(I25=0,0,J25/I25)</f>
        <v>0.16351992829255976</v>
      </c>
      <c r="L25" s="3">
        <v>15355.961975565249</v>
      </c>
      <c r="M25" s="3">
        <v>48.616281052693722</v>
      </c>
      <c r="N25" s="4">
        <f>IF(L25=0,0,M25/L25)</f>
        <v>3.1659547692325001E-3</v>
      </c>
      <c r="O25" s="3">
        <v>391.5266582641886</v>
      </c>
      <c r="P25" s="3">
        <v>16.77983298771235</v>
      </c>
      <c r="Q25" s="4">
        <f>IF(O25=0,0,P25/O25)</f>
        <v>4.2857446954199227E-2</v>
      </c>
      <c r="S25" s="3">
        <v>7031.2027969376404</v>
      </c>
      <c r="T25" s="3">
        <v>3808.997912596752</v>
      </c>
      <c r="U25" s="4">
        <f>IF(S25=0,0,T25/S25)</f>
        <v>0.54172778436368207</v>
      </c>
      <c r="V25" s="3">
        <v>21162807.846375171</v>
      </c>
      <c r="W25" s="3">
        <v>2800683.8604466021</v>
      </c>
      <c r="X25" s="4">
        <f>IF(V25=0,0,W25/V25)</f>
        <v>0.13233989935443805</v>
      </c>
      <c r="Y25" s="3">
        <v>1664123.912966297</v>
      </c>
      <c r="Z25" s="3">
        <v>70162.630031719338</v>
      </c>
      <c r="AA25" s="4">
        <f>IF(Y25=0,0,Z25/Y25)</f>
        <v>4.2161902419066026E-2</v>
      </c>
      <c r="AB25" s="3">
        <v>172634.6152091868</v>
      </c>
      <c r="AC25" s="3">
        <v>539.59249566448852</v>
      </c>
      <c r="AD25" s="4">
        <f>IF(AB25=0,0,AC25/AB25)</f>
        <v>3.1256332631242425E-3</v>
      </c>
    </row>
    <row r="26" spans="1:30" x14ac:dyDescent="0.25">
      <c r="B26" t="s">
        <v>33</v>
      </c>
      <c r="C26" s="3">
        <f>J26+M26+G26+P26</f>
        <v>320.34355948644912</v>
      </c>
      <c r="D26" s="3">
        <f>G26</f>
        <v>163.9528075835068</v>
      </c>
      <c r="E26" s="3">
        <f>J26+M26+P26</f>
        <v>156.39075190294236</v>
      </c>
      <c r="F26" s="3">
        <v>339.79970462374757</v>
      </c>
      <c r="G26" s="3">
        <v>163.9528075835068</v>
      </c>
      <c r="H26" s="4">
        <f>IF(F26=0,0,G26/F26)</f>
        <v>0.48249838170120829</v>
      </c>
      <c r="I26" s="3">
        <v>656.23600296293523</v>
      </c>
      <c r="J26" s="3">
        <v>111.9114792464019</v>
      </c>
      <c r="K26" s="4">
        <f>IF(I26=0,0,J26/I26)</f>
        <v>0.17053541521817839</v>
      </c>
      <c r="L26" s="3">
        <v>12320.893910346331</v>
      </c>
      <c r="M26" s="3">
        <v>30.922360504940151</v>
      </c>
      <c r="N26" s="4">
        <f>IF(L26=0,0,M26/L26)</f>
        <v>2.5097497576026888E-3</v>
      </c>
      <c r="O26" s="3">
        <v>305.89771512841492</v>
      </c>
      <c r="P26" s="3">
        <v>13.55691215160029</v>
      </c>
      <c r="Q26" s="4">
        <f>IF(O26=0,0,P26/O26)</f>
        <v>4.4318448556927403E-2</v>
      </c>
      <c r="S26" s="3">
        <v>6232.4487041632419</v>
      </c>
      <c r="T26" s="3">
        <v>3007.1464137945559</v>
      </c>
      <c r="U26" s="4">
        <f>IF(S26=0,0,T26/S26)</f>
        <v>0.48249838170120812</v>
      </c>
      <c r="V26" s="3">
        <v>20232379.411657181</v>
      </c>
      <c r="W26" s="3">
        <v>2815905.181914039</v>
      </c>
      <c r="X26" s="4">
        <f>IF(V26=0,0,W26/V26)</f>
        <v>0.13917815223905963</v>
      </c>
      <c r="Y26" s="3">
        <v>1291512.2728871789</v>
      </c>
      <c r="Z26" s="3">
        <v>51650.776301899918</v>
      </c>
      <c r="AA26" s="4">
        <f>IF(Y26=0,0,Z26/Y26)</f>
        <v>3.9992478109739119E-2</v>
      </c>
      <c r="AB26" s="3">
        <v>138538.51808137319</v>
      </c>
      <c r="AC26" s="3">
        <v>343.4734157078783</v>
      </c>
      <c r="AD26" s="4">
        <f>IF(AB26=0,0,AC26/AB26)</f>
        <v>2.479262954914335E-3</v>
      </c>
    </row>
    <row r="27" spans="1:30" x14ac:dyDescent="0.25">
      <c r="B27" t="s">
        <v>34</v>
      </c>
      <c r="C27" s="3">
        <f>J27+M27+G27+P27</f>
        <v>256.51657585301888</v>
      </c>
      <c r="D27" s="3">
        <f>G27</f>
        <v>136.24207807158101</v>
      </c>
      <c r="E27" s="3">
        <f>J27+M27+P27</f>
        <v>120.27449778143787</v>
      </c>
      <c r="F27" s="3">
        <v>298.45239543280491</v>
      </c>
      <c r="G27" s="3">
        <v>136.24207807158101</v>
      </c>
      <c r="H27" s="4">
        <f>IF(F27=0,0,G27/F27)</f>
        <v>0.45649517362394648</v>
      </c>
      <c r="I27" s="3">
        <v>465.22851237667129</v>
      </c>
      <c r="J27" s="3">
        <v>88.969804080313125</v>
      </c>
      <c r="K27" s="4">
        <f>IF(I27=0,0,J27/I27)</f>
        <v>0.19123893251039376</v>
      </c>
      <c r="L27" s="3">
        <v>10752.450404824391</v>
      </c>
      <c r="M27" s="3">
        <v>19.489945549558851</v>
      </c>
      <c r="N27" s="4">
        <f>IF(L27=0,0,M27/L27)</f>
        <v>1.8126050170679359E-3</v>
      </c>
      <c r="O27" s="3">
        <v>286.13725715609343</v>
      </c>
      <c r="P27" s="3">
        <v>11.814748151565899</v>
      </c>
      <c r="Q27" s="4">
        <f>IF(O27=0,0,P27/O27)</f>
        <v>4.12904920840865E-2</v>
      </c>
      <c r="S27" s="3">
        <v>5474.0755211345286</v>
      </c>
      <c r="T27" s="3">
        <v>2498.8890554509012</v>
      </c>
      <c r="U27" s="4">
        <f>IF(S27=0,0,T27/S27)</f>
        <v>0.45649517362394637</v>
      </c>
      <c r="V27" s="3">
        <v>16252582.504079361</v>
      </c>
      <c r="W27" s="3">
        <v>2620057.9126833701</v>
      </c>
      <c r="X27" s="4">
        <f>IF(V27=0,0,W27/V27)</f>
        <v>0.16120871326299938</v>
      </c>
      <c r="Y27" s="3">
        <v>1133183.161267315</v>
      </c>
      <c r="Z27" s="3">
        <v>46663.02218609699</v>
      </c>
      <c r="AA27" s="4">
        <f>IF(Y27=0,0,Z27/Y27)</f>
        <v>4.1178711245506497E-2</v>
      </c>
      <c r="AB27" s="3">
        <v>120916.42366991749</v>
      </c>
      <c r="AC27" s="3">
        <v>216.26103951976981</v>
      </c>
      <c r="AD27" s="4">
        <f>IF(AB27=0,0,AC27/AB27)</f>
        <v>1.7885166709042592E-3</v>
      </c>
    </row>
    <row r="29" spans="1:30" x14ac:dyDescent="0.25">
      <c r="A29" s="2" t="s">
        <v>37</v>
      </c>
    </row>
    <row r="30" spans="1:30" x14ac:dyDescent="0.25">
      <c r="B30" t="s">
        <v>28</v>
      </c>
      <c r="C30" s="3">
        <f>C32+C33+C34+C35+C36</f>
        <v>280.67849666325867</v>
      </c>
      <c r="D30" s="3">
        <f>D32+D33+D34+D35+D36</f>
        <v>189.72309826269347</v>
      </c>
      <c r="E30" s="3">
        <f>E32+E33+E34+E35+E36</f>
        <v>90.955398400565215</v>
      </c>
      <c r="F30" s="3">
        <f>F32+F33+F34+F35+F36</f>
        <v>1859.1790728805329</v>
      </c>
      <c r="G30" s="3">
        <f>G32+G33+G34+G35+G36</f>
        <v>189.72309826269347</v>
      </c>
      <c r="H30" s="4">
        <f>IF(F30=0,0,G30/F30)</f>
        <v>0.1020467049302274</v>
      </c>
      <c r="I30" s="3">
        <f>I32+I33+I34+I35+I36</f>
        <v>3682.4352162782898</v>
      </c>
      <c r="J30" s="3">
        <f>J32+J33+J34+J35+J36</f>
        <v>73.986991036804866</v>
      </c>
      <c r="K30" s="4">
        <f>IF(I30=0,0,J30/I30)</f>
        <v>2.0091864945714095E-2</v>
      </c>
      <c r="L30" s="3">
        <f>L32+L33+L34+L35+L36</f>
        <v>75120.106151105079</v>
      </c>
      <c r="M30" s="3">
        <f>M32+M33+M34+M35+M36</f>
        <v>7.7175543162524711</v>
      </c>
      <c r="N30" s="4">
        <f>IF(L30=0,0,M30/L30)</f>
        <v>1.0273620088779572E-4</v>
      </c>
      <c r="O30" s="3">
        <f>O32+O33+O34+O35+O36</f>
        <v>1936.1737568351107</v>
      </c>
      <c r="P30" s="3">
        <f>P32+P33+P34+P35+P36</f>
        <v>9.2508530475078743</v>
      </c>
      <c r="Q30" s="4">
        <f>IF(O30=0,0,P30/O30)</f>
        <v>4.7779043667183123E-3</v>
      </c>
      <c r="S30" s="3">
        <f>S32+S33+S34+S35+S36</f>
        <v>34100.200929874198</v>
      </c>
      <c r="T30" s="3">
        <f>T32+T33+T34+T35+T36</f>
        <v>3479.8131423523364</v>
      </c>
      <c r="U30" s="4">
        <f>IF(S30=0,0,T30/S30)</f>
        <v>0.10204670493022734</v>
      </c>
      <c r="V30" s="3">
        <f>V32+V33+V34+V35+V36</f>
        <v>106670224.92367341</v>
      </c>
      <c r="W30" s="3">
        <f>W32+W33+W34+W35+W36</f>
        <v>1767252.4081023186</v>
      </c>
      <c r="X30" s="4">
        <f>IF(V30=0,0,W30/V30)</f>
        <v>1.6567438658415267E-2</v>
      </c>
      <c r="Y30" s="3">
        <f>Y32+Y33+Y34+Y35+Y36</f>
        <v>8082003.8383214176</v>
      </c>
      <c r="Z30" s="3">
        <f>Z32+Z33+Z34+Z35+Z36</f>
        <v>39755.677394214319</v>
      </c>
      <c r="AA30" s="4">
        <f>IF(Y30=0,0,Z30/Y30)</f>
        <v>4.9190371830448582E-3</v>
      </c>
      <c r="AB30" s="3">
        <f>AB32+AB33+AB34+AB35+AB36</f>
        <v>844449.53447731666</v>
      </c>
      <c r="AC30" s="3">
        <f>AC32+AC33+AC34+AC35+AC36</f>
        <v>85.868353927085991</v>
      </c>
      <c r="AD30" s="4">
        <f>IF(AB30=0,0,AC30/AB30)</f>
        <v>1.0168559567059903E-4</v>
      </c>
    </row>
    <row r="31" spans="1:30" x14ac:dyDescent="0.25">
      <c r="A31" s="5" t="s">
        <v>29</v>
      </c>
    </row>
    <row r="32" spans="1:30" x14ac:dyDescent="0.25">
      <c r="B32" t="s">
        <v>30</v>
      </c>
      <c r="C32" s="3">
        <f>J32+M32+G32+P32</f>
        <v>31.460329582100499</v>
      </c>
      <c r="D32" s="3">
        <f>G32</f>
        <v>17.33188958193897</v>
      </c>
      <c r="E32" s="3">
        <f>J32+M32+P32</f>
        <v>14.128440000161532</v>
      </c>
      <c r="F32" s="3">
        <v>414.1174655591563</v>
      </c>
      <c r="G32" s="3">
        <v>17.33188958193897</v>
      </c>
      <c r="H32" s="4">
        <f>IF(F32=0,0,G32/F32)</f>
        <v>4.1852592617741512E-2</v>
      </c>
      <c r="I32" s="3">
        <v>991.82050542122556</v>
      </c>
      <c r="J32" s="3">
        <v>11.67126541163598</v>
      </c>
      <c r="K32" s="4">
        <f>IF(I32=0,0,J32/I32)</f>
        <v>1.1767517759354251E-2</v>
      </c>
      <c r="L32" s="3">
        <v>18248.150900694091</v>
      </c>
      <c r="M32" s="3">
        <v>1.0535630249716339</v>
      </c>
      <c r="N32" s="4">
        <f>IF(L32=0,0,M32/L32)</f>
        <v>5.773533059349922E-5</v>
      </c>
      <c r="O32" s="3">
        <v>476.04818802351332</v>
      </c>
      <c r="P32" s="3">
        <v>1.403611563553917</v>
      </c>
      <c r="Q32" s="4">
        <f>IF(O32=0,0,P32/O32)</f>
        <v>2.9484653000813204E-3</v>
      </c>
      <c r="S32" s="3">
        <v>7595.5506331395254</v>
      </c>
      <c r="T32" s="3">
        <v>317.89348635621809</v>
      </c>
      <c r="U32" s="4">
        <f>IF(S32=0,0,T32/S32)</f>
        <v>4.1852592617741637E-2</v>
      </c>
      <c r="V32" s="3">
        <v>25699987.560610589</v>
      </c>
      <c r="W32" s="3">
        <v>227272.75268540901</v>
      </c>
      <c r="X32" s="4">
        <f>IF(V32=0,0,W32/V32)</f>
        <v>8.8433020502212793E-3</v>
      </c>
      <c r="Y32" s="3">
        <v>1959206.3612258229</v>
      </c>
      <c r="Z32" s="3">
        <v>6013.3033886032636</v>
      </c>
      <c r="AA32" s="4">
        <f>IF(Y32=0,0,Z32/Y32)</f>
        <v>3.0692547286549749E-3</v>
      </c>
      <c r="AB32" s="3">
        <v>205054.68928072241</v>
      </c>
      <c r="AC32" s="3">
        <v>11.66113448393298</v>
      </c>
      <c r="AD32" s="4">
        <f>IF(AB32=0,0,AC32/AB32)</f>
        <v>5.686841166538134E-5</v>
      </c>
    </row>
    <row r="33" spans="1:30" x14ac:dyDescent="0.25">
      <c r="B33" t="s">
        <v>31</v>
      </c>
      <c r="C33" s="3">
        <f>J33+M33+G33+P33</f>
        <v>51.199869194986363</v>
      </c>
      <c r="D33" s="3">
        <f>G33</f>
        <v>33.493628411801069</v>
      </c>
      <c r="E33" s="3">
        <f>J33+M33+P33</f>
        <v>17.706240783185294</v>
      </c>
      <c r="F33" s="3">
        <v>423.46088348022653</v>
      </c>
      <c r="G33" s="3">
        <v>33.493628411801069</v>
      </c>
      <c r="H33" s="4">
        <f>IF(F33=0,0,G33/F33)</f>
        <v>7.9094975990539274E-2</v>
      </c>
      <c r="I33" s="3">
        <v>847.52939170447485</v>
      </c>
      <c r="J33" s="3">
        <v>14.3231196181163</v>
      </c>
      <c r="K33" s="4">
        <f>IF(I33=0,0,J33/I33)</f>
        <v>1.6899850032706158E-2</v>
      </c>
      <c r="L33" s="3">
        <v>18442.648959675</v>
      </c>
      <c r="M33" s="3">
        <v>1.708336847607046</v>
      </c>
      <c r="N33" s="4">
        <f>IF(L33=0,0,M33/L33)</f>
        <v>9.2629689549605278E-5</v>
      </c>
      <c r="O33" s="3">
        <v>476.56393826290048</v>
      </c>
      <c r="P33" s="3">
        <v>1.6747843174619479</v>
      </c>
      <c r="Q33" s="4">
        <f>IF(O33=0,0,P33/O33)</f>
        <v>3.514290912498795E-3</v>
      </c>
      <c r="S33" s="3">
        <v>7766.9232744992596</v>
      </c>
      <c r="T33" s="3">
        <v>614.32460991687913</v>
      </c>
      <c r="U33" s="4">
        <f>IF(S33=0,0,T33/S33)</f>
        <v>7.9094975990539204E-2</v>
      </c>
      <c r="V33" s="3">
        <v>23322467.600951109</v>
      </c>
      <c r="W33" s="3">
        <v>307442.101903148</v>
      </c>
      <c r="X33" s="4">
        <f>IF(V33=0,0,W33/V33)</f>
        <v>1.3182228705962926E-2</v>
      </c>
      <c r="Y33" s="3">
        <v>2033978.1299748039</v>
      </c>
      <c r="Z33" s="3">
        <v>8632.8553056851961</v>
      </c>
      <c r="AA33" s="4">
        <f>IF(Y33=0,0,Z33/Y33)</f>
        <v>4.244320614102245E-3</v>
      </c>
      <c r="AB33" s="3">
        <v>207305.28823611679</v>
      </c>
      <c r="AC33" s="3">
        <v>19.081856428296309</v>
      </c>
      <c r="AD33" s="4">
        <f>IF(AB33=0,0,AC33/AB33)</f>
        <v>9.2047128129999444E-5</v>
      </c>
    </row>
    <row r="34" spans="1:30" x14ac:dyDescent="0.25">
      <c r="B34" t="s">
        <v>32</v>
      </c>
      <c r="C34" s="3">
        <f>J34+M34+G34+P34</f>
        <v>61.694651508568448</v>
      </c>
      <c r="D34" s="3">
        <f>G34</f>
        <v>41.906726289321213</v>
      </c>
      <c r="E34" s="3">
        <f>J34+M34+P34</f>
        <v>19.787925219247239</v>
      </c>
      <c r="F34" s="3">
        <v>383.34862378459758</v>
      </c>
      <c r="G34" s="3">
        <v>41.906726289321213</v>
      </c>
      <c r="H34" s="4">
        <f>IF(F34=0,0,G34/F34)</f>
        <v>0.10931753419537114</v>
      </c>
      <c r="I34" s="3">
        <v>721.62080381298233</v>
      </c>
      <c r="J34" s="3">
        <v>15.78004529479356</v>
      </c>
      <c r="K34" s="4">
        <f>IF(I34=0,0,J34/I34)</f>
        <v>2.1867503280688632E-2</v>
      </c>
      <c r="L34" s="3">
        <v>15355.961975565249</v>
      </c>
      <c r="M34" s="3">
        <v>1.813587757010013</v>
      </c>
      <c r="N34" s="4">
        <f>IF(L34=0,0,M34/L34)</f>
        <v>1.181031680005352E-4</v>
      </c>
      <c r="O34" s="3">
        <v>391.5266582641886</v>
      </c>
      <c r="P34" s="3">
        <v>2.194292167443666</v>
      </c>
      <c r="Q34" s="4">
        <f>IF(O34=0,0,P34/O34)</f>
        <v>5.6044515006256198E-3</v>
      </c>
      <c r="S34" s="3">
        <v>7031.2027969376404</v>
      </c>
      <c r="T34" s="3">
        <v>768.63375218881993</v>
      </c>
      <c r="U34" s="4">
        <f>IF(S34=0,0,T34/S34)</f>
        <v>0.10931753419537117</v>
      </c>
      <c r="V34" s="3">
        <v>21162807.846375171</v>
      </c>
      <c r="W34" s="3">
        <v>369371.39764320478</v>
      </c>
      <c r="X34" s="4">
        <f>IF(V34=0,0,W34/V34)</f>
        <v>1.7453799152009584E-2</v>
      </c>
      <c r="Y34" s="3">
        <v>1664123.912966297</v>
      </c>
      <c r="Z34" s="3">
        <v>9278.7286326091271</v>
      </c>
      <c r="AA34" s="4">
        <f>IF(Y34=0,0,Z34/Y34)</f>
        <v>5.5757438255122568E-3</v>
      </c>
      <c r="AB34" s="3">
        <v>172634.6152091868</v>
      </c>
      <c r="AC34" s="3">
        <v>20.141959563101409</v>
      </c>
      <c r="AD34" s="4">
        <f>IF(AB34=0,0,AC34/AB34)</f>
        <v>1.1667393320102554E-4</v>
      </c>
    </row>
    <row r="35" spans="1:30" x14ac:dyDescent="0.25">
      <c r="B35" t="s">
        <v>33</v>
      </c>
      <c r="C35" s="3">
        <f>J35+M35+G35+P35</f>
        <v>69.409153233409029</v>
      </c>
      <c r="D35" s="3">
        <f>G35</f>
        <v>49.152212620382947</v>
      </c>
      <c r="E35" s="3">
        <f>J35+M35+P35</f>
        <v>20.256940613026089</v>
      </c>
      <c r="F35" s="3">
        <v>339.79970462374757</v>
      </c>
      <c r="G35" s="3">
        <v>49.152212620382947</v>
      </c>
      <c r="H35" s="4">
        <f>IF(F35=0,0,G35/F35)</f>
        <v>0.14465054545826656</v>
      </c>
      <c r="I35" s="3">
        <v>656.23600296293523</v>
      </c>
      <c r="J35" s="3">
        <v>17.337373260950319</v>
      </c>
      <c r="K35" s="4">
        <f>IF(I35=0,0,J35/I35)</f>
        <v>2.6419417987844761E-2</v>
      </c>
      <c r="L35" s="3">
        <v>12320.893910346331</v>
      </c>
      <c r="M35" s="3">
        <v>0.76115932066179814</v>
      </c>
      <c r="N35" s="4">
        <f>IF(L35=0,0,M35/L35)</f>
        <v>6.1777929929469097E-5</v>
      </c>
      <c r="O35" s="3">
        <v>305.89771512841492</v>
      </c>
      <c r="P35" s="3">
        <v>2.158408031413972</v>
      </c>
      <c r="Q35" s="4">
        <f>IF(O35=0,0,P35/O35)</f>
        <v>7.0559795796705412E-3</v>
      </c>
      <c r="S35" s="3">
        <v>6232.4487041632419</v>
      </c>
      <c r="T35" s="3">
        <v>901.52710459787795</v>
      </c>
      <c r="U35" s="4">
        <f>IF(S35=0,0,T35/S35)</f>
        <v>0.14465054545826631</v>
      </c>
      <c r="V35" s="3">
        <v>20232379.411657181</v>
      </c>
      <c r="W35" s="3">
        <v>430534.00670235232</v>
      </c>
      <c r="X35" s="4">
        <f>IF(V35=0,0,W35/V35)</f>
        <v>2.1279454973758244E-2</v>
      </c>
      <c r="Y35" s="3">
        <v>1291512.2728871789</v>
      </c>
      <c r="Z35" s="3">
        <v>8071.8257655487396</v>
      </c>
      <c r="AA35" s="4">
        <f>IF(Y35=0,0,Z35/Y35)</f>
        <v>6.2499024864116487E-3</v>
      </c>
      <c r="AB35" s="3">
        <v>138538.51808137319</v>
      </c>
      <c r="AC35" s="3">
        <v>8.4808250792266335</v>
      </c>
      <c r="AD35" s="4">
        <f>IF(AB35=0,0,AC35/AB35)</f>
        <v>6.1216369257286713E-5</v>
      </c>
    </row>
    <row r="36" spans="1:30" x14ac:dyDescent="0.25">
      <c r="B36" t="s">
        <v>34</v>
      </c>
      <c r="C36" s="3">
        <f>J36+M36+G36+P36</f>
        <v>66.914493144194338</v>
      </c>
      <c r="D36" s="3">
        <f>G36</f>
        <v>47.838641359249273</v>
      </c>
      <c r="E36" s="3">
        <f>J36+M36+P36</f>
        <v>19.075851784945058</v>
      </c>
      <c r="F36" s="3">
        <v>298.45239543280491</v>
      </c>
      <c r="G36" s="3">
        <v>47.838641359249273</v>
      </c>
      <c r="H36" s="4">
        <f>IF(F36=0,0,G36/F36)</f>
        <v>0.16028901791816882</v>
      </c>
      <c r="I36" s="3">
        <v>465.22851237667129</v>
      </c>
      <c r="J36" s="3">
        <v>14.87518745130871</v>
      </c>
      <c r="K36" s="4">
        <f>IF(I36=0,0,J36/I36)</f>
        <v>3.1973937657683901E-2</v>
      </c>
      <c r="L36" s="3">
        <v>10752.450404824391</v>
      </c>
      <c r="M36" s="3">
        <v>2.3809073660019791</v>
      </c>
      <c r="N36" s="4">
        <f>IF(L36=0,0,M36/L36)</f>
        <v>2.2142928136024861E-4</v>
      </c>
      <c r="O36" s="3">
        <v>286.13725715609343</v>
      </c>
      <c r="P36" s="3">
        <v>1.8197569676343699</v>
      </c>
      <c r="Q36" s="4">
        <f>IF(O36=0,0,P36/O36)</f>
        <v>6.3597344355672538E-3</v>
      </c>
      <c r="S36" s="3">
        <v>5474.0755211345286</v>
      </c>
      <c r="T36" s="3">
        <v>877.4341892925413</v>
      </c>
      <c r="U36" s="4">
        <f>IF(S36=0,0,T36/S36)</f>
        <v>0.16028901791816874</v>
      </c>
      <c r="V36" s="3">
        <v>16252582.504079361</v>
      </c>
      <c r="W36" s="3">
        <v>432632.14916820452</v>
      </c>
      <c r="X36" s="4">
        <f>IF(V36=0,0,W36/V36)</f>
        <v>2.6619286446299524E-2</v>
      </c>
      <c r="Y36" s="3">
        <v>1133183.161267315</v>
      </c>
      <c r="Z36" s="3">
        <v>7758.9643017679919</v>
      </c>
      <c r="AA36" s="4">
        <f>IF(Y36=0,0,Z36/Y36)</f>
        <v>6.8470522391901939E-3</v>
      </c>
      <c r="AB36" s="3">
        <v>120916.42366991749</v>
      </c>
      <c r="AC36" s="3">
        <v>26.50257837252866</v>
      </c>
      <c r="AD36" s="4">
        <f>IF(AB36=0,0,AC36/AB36)</f>
        <v>2.1918096457166532E-4</v>
      </c>
    </row>
    <row r="38" spans="1:30" x14ac:dyDescent="0.25">
      <c r="A38" s="2" t="s">
        <v>38</v>
      </c>
    </row>
    <row r="39" spans="1:30" x14ac:dyDescent="0.25">
      <c r="B39" t="s">
        <v>28</v>
      </c>
      <c r="C39" s="3">
        <f>C41+C42+C43+C44+C45</f>
        <v>278.75634518647166</v>
      </c>
      <c r="D39" s="3">
        <f>D41+D42+D43+D44+D45</f>
        <v>278.75634518647166</v>
      </c>
      <c r="E39" s="3">
        <f>E41+E42+E43+E44+E45</f>
        <v>0</v>
      </c>
      <c r="F39" s="3">
        <f>F41+F42+F43+F44+F45</f>
        <v>651.08593726395497</v>
      </c>
      <c r="G39" s="3">
        <f>G41+G42+G43+G44+G45</f>
        <v>270.32651231194274</v>
      </c>
      <c r="H39" s="4">
        <f>IF(F39=0,0,G39/F39)</f>
        <v>0.41519328991796423</v>
      </c>
      <c r="I39" s="3">
        <f>I41+I42+I43+I44+I45</f>
        <v>814.53034621778045</v>
      </c>
      <c r="J39" s="6">
        <f>J41+J42+J43+J44+J45</f>
        <v>8.4298328745289179</v>
      </c>
      <c r="K39" s="7">
        <f>IF(I39=0,0,J39/I39)</f>
        <v>1.0349317141678402E-2</v>
      </c>
      <c r="L39" s="3">
        <f>L41+L42+L43+L44+L45</f>
        <v>0</v>
      </c>
      <c r="M39" s="3">
        <f>M41+M42+M43+M44+M45</f>
        <v>0</v>
      </c>
      <c r="N39" s="4">
        <f>IF(L39=0,0,M39/L39)</f>
        <v>0</v>
      </c>
      <c r="O39" s="3">
        <f>O41+O42+O43+O44+O45</f>
        <v>0</v>
      </c>
      <c r="P39" s="3">
        <f>P41+P42+P43+P44+P45</f>
        <v>0</v>
      </c>
      <c r="Q39" s="4">
        <f>IF(O39=0,0,P39/O39)</f>
        <v>0</v>
      </c>
      <c r="S39" s="3">
        <f>S41+S42+S43+S44+S45</f>
        <v>8683.3005265167885</v>
      </c>
      <c r="T39" s="3">
        <f>T41+T42+T43+T44+T45</f>
        <v>3605.2481129508969</v>
      </c>
      <c r="U39" s="4">
        <f>IF(S39=0,0,T39/S39)</f>
        <v>0.41519328991796428</v>
      </c>
      <c r="V39" s="3">
        <f>V41+V42+V43+V44+V45</f>
        <v>26890169.836246081</v>
      </c>
      <c r="W39" s="6">
        <f>W41+W42+W43+W44+W45</f>
        <v>317460.72176834382</v>
      </c>
      <c r="X39" s="7">
        <f>IF(V39=0,0,W39/V39)</f>
        <v>1.1805828066598108E-2</v>
      </c>
      <c r="Y39" s="3">
        <f>Y41+Y42+Y43+Y44+Y45</f>
        <v>0</v>
      </c>
      <c r="Z39" s="3">
        <f>Z41+Z42+Z43+Z44+Z45</f>
        <v>0</v>
      </c>
      <c r="AA39" s="4">
        <f>IF(Y39=0,0,Z39/Y39)</f>
        <v>0</v>
      </c>
      <c r="AB39" s="3">
        <f>AB41+AB42+AB43+AB44+AB45</f>
        <v>0</v>
      </c>
      <c r="AC39" s="3">
        <f>AC41+AC42+AC43+AC44+AC45</f>
        <v>0</v>
      </c>
      <c r="AD39" s="4">
        <f>IF(AB39=0,0,AC39/AB39)</f>
        <v>0</v>
      </c>
    </row>
    <row r="40" spans="1:30" x14ac:dyDescent="0.25">
      <c r="A40" s="5" t="s">
        <v>29</v>
      </c>
    </row>
    <row r="41" spans="1:30" x14ac:dyDescent="0.25">
      <c r="B41" t="s">
        <v>30</v>
      </c>
      <c r="C41" s="3">
        <f>J41+M41+G41+P41</f>
        <v>74.745208573138058</v>
      </c>
      <c r="D41" s="3">
        <f>J41+G41</f>
        <v>74.745208573138058</v>
      </c>
      <c r="E41" s="3">
        <f>M41+P41</f>
        <v>0</v>
      </c>
      <c r="F41" s="3">
        <v>155.69318362382799</v>
      </c>
      <c r="G41" s="3">
        <v>72.167708957411648</v>
      </c>
      <c r="H41" s="4">
        <f>IF(F41=0,0,G41/F41)</f>
        <v>0.46352516711185532</v>
      </c>
      <c r="I41" s="3">
        <v>289.90090139463632</v>
      </c>
      <c r="J41" s="6">
        <v>2.5774996157264098</v>
      </c>
      <c r="K41" s="7">
        <f>IF(I41=0,0,J41/I41)</f>
        <v>8.8909679249934825E-3</v>
      </c>
      <c r="L41" s="3">
        <v>0</v>
      </c>
      <c r="M41" s="3">
        <v>0</v>
      </c>
      <c r="N41" s="4">
        <f>IF(L41=0,0,M41/L41)</f>
        <v>0</v>
      </c>
      <c r="O41" s="3">
        <v>0</v>
      </c>
      <c r="P41" s="3">
        <v>0</v>
      </c>
      <c r="Q41" s="4">
        <f>IF(O41=0,0,P41/O41)</f>
        <v>0</v>
      </c>
      <c r="S41" s="3">
        <v>2076.4243642199531</v>
      </c>
      <c r="T41" s="3">
        <v>962.47495042018159</v>
      </c>
      <c r="U41" s="4">
        <f>IF(S41=0,0,T41/S41)</f>
        <v>0.46352516711185526</v>
      </c>
      <c r="V41" s="3">
        <v>7917202.4300766056</v>
      </c>
      <c r="W41" s="6">
        <v>75888.026322795078</v>
      </c>
      <c r="X41" s="7">
        <f>IF(V41=0,0,W41/V41)</f>
        <v>9.585207274037175E-3</v>
      </c>
      <c r="Y41" s="3">
        <v>0</v>
      </c>
      <c r="Z41" s="3">
        <v>0</v>
      </c>
      <c r="AA41" s="4">
        <f>IF(Y41=0,0,Z41/Y41)</f>
        <v>0</v>
      </c>
      <c r="AB41" s="3">
        <v>0</v>
      </c>
      <c r="AC41" s="3">
        <v>0</v>
      </c>
      <c r="AD41" s="4">
        <f>IF(AB41=0,0,AC41/AB41)</f>
        <v>0</v>
      </c>
    </row>
    <row r="42" spans="1:30" x14ac:dyDescent="0.25">
      <c r="B42" t="s">
        <v>31</v>
      </c>
      <c r="C42" s="3">
        <f>J42+M42+G42+P42</f>
        <v>75.003443181858643</v>
      </c>
      <c r="D42" s="3">
        <f>J42+G42</f>
        <v>75.003443181858643</v>
      </c>
      <c r="E42" s="3">
        <f>M42+P42</f>
        <v>0</v>
      </c>
      <c r="F42" s="3">
        <v>148.09982986674899</v>
      </c>
      <c r="G42" s="3">
        <v>72.910490479003187</v>
      </c>
      <c r="H42" s="4">
        <f>IF(F42=0,0,G42/F42)</f>
        <v>0.4923063756697324</v>
      </c>
      <c r="I42" s="3">
        <v>172.51020331953049</v>
      </c>
      <c r="J42" s="6">
        <v>2.0929527028554591</v>
      </c>
      <c r="K42" s="7">
        <f>IF(I42=0,0,J42/I42)</f>
        <v>1.2132341522888394E-2</v>
      </c>
      <c r="L42" s="3">
        <v>0</v>
      </c>
      <c r="M42" s="3">
        <v>0</v>
      </c>
      <c r="N42" s="4">
        <f>IF(L42=0,0,M42/L42)</f>
        <v>0</v>
      </c>
      <c r="O42" s="3">
        <v>0</v>
      </c>
      <c r="P42" s="3">
        <v>0</v>
      </c>
      <c r="Q42" s="4">
        <f>IF(O42=0,0,P42/O42)</f>
        <v>0</v>
      </c>
      <c r="S42" s="3">
        <v>1975.1545181010979</v>
      </c>
      <c r="T42" s="3">
        <v>972.38116219404844</v>
      </c>
      <c r="U42" s="4">
        <f>IF(S42=0,0,T42/S42)</f>
        <v>0.49230637566973245</v>
      </c>
      <c r="V42" s="3">
        <v>5775458.9344058</v>
      </c>
      <c r="W42" s="6">
        <v>81365.067625927739</v>
      </c>
      <c r="X42" s="7">
        <f>IF(V42=0,0,W42/V42)</f>
        <v>1.4088069632218564E-2</v>
      </c>
      <c r="Y42" s="3">
        <v>0</v>
      </c>
      <c r="Z42" s="3">
        <v>0</v>
      </c>
      <c r="AA42" s="4">
        <f>IF(Y42=0,0,Z42/Y42)</f>
        <v>0</v>
      </c>
      <c r="AB42" s="3">
        <v>0</v>
      </c>
      <c r="AC42" s="3">
        <v>0</v>
      </c>
      <c r="AD42" s="4">
        <f>IF(AB42=0,0,AC42/AB42)</f>
        <v>0</v>
      </c>
    </row>
    <row r="43" spans="1:30" x14ac:dyDescent="0.25">
      <c r="B43" t="s">
        <v>32</v>
      </c>
      <c r="C43" s="3">
        <f>J43+M43+G43+P43</f>
        <v>75.235790083751482</v>
      </c>
      <c r="D43" s="3">
        <f>J43+G43</f>
        <v>75.235790083751482</v>
      </c>
      <c r="E43" s="3">
        <f>M43+P43</f>
        <v>0</v>
      </c>
      <c r="F43" s="3">
        <v>134.796744990006</v>
      </c>
      <c r="G43" s="3">
        <v>72.948475873586105</v>
      </c>
      <c r="H43" s="4">
        <f>IF(F43=0,0,G43/F43)</f>
        <v>0.54117386795203837</v>
      </c>
      <c r="I43" s="3">
        <v>135.45605543604131</v>
      </c>
      <c r="J43" s="6">
        <v>2.2873142101653792</v>
      </c>
      <c r="K43" s="7">
        <f>IF(I43=0,0,J43/I43)</f>
        <v>1.6886024052615255E-2</v>
      </c>
      <c r="L43" s="3">
        <v>0</v>
      </c>
      <c r="M43" s="3">
        <v>0</v>
      </c>
      <c r="N43" s="4">
        <f>IF(L43=0,0,M43/L43)</f>
        <v>0</v>
      </c>
      <c r="O43" s="3">
        <v>0</v>
      </c>
      <c r="P43" s="3">
        <v>0</v>
      </c>
      <c r="Q43" s="4">
        <f>IF(O43=0,0,P43/O43)</f>
        <v>0</v>
      </c>
      <c r="S43" s="3">
        <v>1797.736028001397</v>
      </c>
      <c r="T43" s="3">
        <v>972.88775983024993</v>
      </c>
      <c r="U43" s="4">
        <f>IF(S43=0,0,T43/S43)</f>
        <v>0.54117386795203837</v>
      </c>
      <c r="V43" s="3">
        <v>4941006.3189266957</v>
      </c>
      <c r="W43" s="6">
        <v>93694.982139615342</v>
      </c>
      <c r="X43" s="7">
        <f>IF(V43=0,0,W43/V43)</f>
        <v>1.8962732709066465E-2</v>
      </c>
      <c r="Y43" s="3">
        <v>0</v>
      </c>
      <c r="Z43" s="3">
        <v>0</v>
      </c>
      <c r="AA43" s="4">
        <f>IF(Y43=0,0,Z43/Y43)</f>
        <v>0</v>
      </c>
      <c r="AB43" s="3">
        <v>0</v>
      </c>
      <c r="AC43" s="3">
        <v>0</v>
      </c>
      <c r="AD43" s="4">
        <f>IF(AB43=0,0,AC43/AB43)</f>
        <v>0</v>
      </c>
    </row>
    <row r="44" spans="1:30" x14ac:dyDescent="0.25">
      <c r="B44" t="s">
        <v>33</v>
      </c>
      <c r="C44" s="3">
        <f>J44+M44+G44+P44</f>
        <v>34.066310779577314</v>
      </c>
      <c r="D44" s="3">
        <f>J44+G44</f>
        <v>34.066310779577314</v>
      </c>
      <c r="E44" s="3">
        <f>M44+P44</f>
        <v>0</v>
      </c>
      <c r="F44" s="3">
        <v>118.7859525719791</v>
      </c>
      <c r="G44" s="3">
        <v>33.213641030588931</v>
      </c>
      <c r="H44" s="4">
        <f>IF(F44=0,0,G44/F44)</f>
        <v>0.27960916515328627</v>
      </c>
      <c r="I44" s="3">
        <v>131.31388542968341</v>
      </c>
      <c r="J44" s="6">
        <v>0.85266974898838088</v>
      </c>
      <c r="K44" s="7">
        <f>IF(I44=0,0,J44/I44)</f>
        <v>6.4933707977514118E-3</v>
      </c>
      <c r="L44" s="3">
        <v>0</v>
      </c>
      <c r="M44" s="3">
        <v>0</v>
      </c>
      <c r="N44" s="4">
        <f>IF(L44=0,0,M44/L44)</f>
        <v>0</v>
      </c>
      <c r="O44" s="3">
        <v>0</v>
      </c>
      <c r="P44" s="3">
        <v>0</v>
      </c>
      <c r="Q44" s="4">
        <f>IF(O44=0,0,P44/O44)</f>
        <v>0</v>
      </c>
      <c r="S44" s="3">
        <v>1584.2058098283051</v>
      </c>
      <c r="T44" s="3">
        <v>442.95846391707801</v>
      </c>
      <c r="U44" s="4">
        <f>IF(S44=0,0,T44/S44)</f>
        <v>0.27960916515328615</v>
      </c>
      <c r="V44" s="3">
        <v>4714339.9302510964</v>
      </c>
      <c r="W44" s="6">
        <v>37175.273221418262</v>
      </c>
      <c r="X44" s="7">
        <f>IF(V44=0,0,W44/V44)</f>
        <v>7.885573329761612E-3</v>
      </c>
      <c r="Y44" s="3">
        <v>0</v>
      </c>
      <c r="Z44" s="3">
        <v>0</v>
      </c>
      <c r="AA44" s="4">
        <f>IF(Y44=0,0,Z44/Y44)</f>
        <v>0</v>
      </c>
      <c r="AB44" s="3">
        <v>0</v>
      </c>
      <c r="AC44" s="3">
        <v>0</v>
      </c>
      <c r="AD44" s="4">
        <f>IF(AB44=0,0,AC44/AB44)</f>
        <v>0</v>
      </c>
    </row>
    <row r="45" spans="1:30" x14ac:dyDescent="0.25">
      <c r="B45" t="s">
        <v>34</v>
      </c>
      <c r="C45" s="3">
        <f>J45+M45+G45+P45</f>
        <v>19.70559256814618</v>
      </c>
      <c r="D45" s="3">
        <f>J45+G45</f>
        <v>19.70559256814618</v>
      </c>
      <c r="E45" s="3">
        <f>M45+P45</f>
        <v>0</v>
      </c>
      <c r="F45" s="3">
        <v>93.71022621139285</v>
      </c>
      <c r="G45" s="3">
        <v>19.08619597135289</v>
      </c>
      <c r="H45" s="4">
        <f>IF(F45=0,0,G45/F45)</f>
        <v>0.20367249918165792</v>
      </c>
      <c r="I45" s="3">
        <v>85.349300637888987</v>
      </c>
      <c r="J45" s="6">
        <v>0.61939659679328907</v>
      </c>
      <c r="K45" s="7">
        <f>IF(I45=0,0,J45/I45)</f>
        <v>7.2571959250281341E-3</v>
      </c>
      <c r="L45" s="3">
        <v>0</v>
      </c>
      <c r="M45" s="3">
        <v>0</v>
      </c>
      <c r="N45" s="4">
        <f>IF(L45=0,0,M45/L45)</f>
        <v>0</v>
      </c>
      <c r="O45" s="3">
        <v>0</v>
      </c>
      <c r="P45" s="3">
        <v>0</v>
      </c>
      <c r="Q45" s="4">
        <f>IF(O45=0,0,P45/O45)</f>
        <v>0</v>
      </c>
      <c r="S45" s="3">
        <v>1249.7798063660359</v>
      </c>
      <c r="T45" s="3">
        <v>254.545776589339</v>
      </c>
      <c r="U45" s="4">
        <f>IF(S45=0,0,T45/S45)</f>
        <v>0.20367249918165789</v>
      </c>
      <c r="V45" s="3">
        <v>3542162.2225858839</v>
      </c>
      <c r="W45" s="6">
        <v>29337.372458587401</v>
      </c>
      <c r="X45" s="7">
        <f>IF(V45=0,0,W45/V45)</f>
        <v>8.2823345219830858E-3</v>
      </c>
      <c r="Y45" s="3">
        <v>0</v>
      </c>
      <c r="Z45" s="3">
        <v>0</v>
      </c>
      <c r="AA45" s="4">
        <f>IF(Y45=0,0,Z45/Y45)</f>
        <v>0</v>
      </c>
      <c r="AB45" s="3">
        <v>0</v>
      </c>
      <c r="AC45" s="3">
        <v>0</v>
      </c>
      <c r="AD45" s="4">
        <f>IF(AB45=0,0,AC45/AB45)</f>
        <v>0</v>
      </c>
    </row>
    <row r="47" spans="1:30" x14ac:dyDescent="0.25">
      <c r="A47" s="2" t="s">
        <v>39</v>
      </c>
    </row>
    <row r="48" spans="1:30" x14ac:dyDescent="0.25">
      <c r="B48" t="s">
        <v>28</v>
      </c>
      <c r="C48" s="3">
        <f>C50+C51+C52+C53+C54</f>
        <v>528.42153794517515</v>
      </c>
      <c r="D48" s="3">
        <f>D50+D51+D52+D53+D54</f>
        <v>528.42153794517515</v>
      </c>
      <c r="E48" s="3">
        <f>E50+E51+E52+E53+E54</f>
        <v>0</v>
      </c>
      <c r="F48" s="3">
        <f>F50+F51+F52+F53+F54</f>
        <v>651.08593726395497</v>
      </c>
      <c r="G48" s="3">
        <f>G50+G51+G52+G53+G54</f>
        <v>497.58010436954146</v>
      </c>
      <c r="H48" s="4">
        <f>IF(F48=0,0,G48/F48)</f>
        <v>0.76423107287574366</v>
      </c>
      <c r="I48" s="3">
        <f>I50+I51+I52+I53+I54</f>
        <v>814.53034621778045</v>
      </c>
      <c r="J48" s="6">
        <f>J50+J51+J52+J53+J54</f>
        <v>30.841433575633754</v>
      </c>
      <c r="K48" s="7">
        <f>IF(I48=0,0,J48/I48)</f>
        <v>3.7864069422144896E-2</v>
      </c>
      <c r="L48" s="3">
        <f>L50+L51+L52+L53+L54</f>
        <v>0</v>
      </c>
      <c r="M48" s="3">
        <f>M50+M51+M52+M53+M54</f>
        <v>0</v>
      </c>
      <c r="N48" s="4">
        <f>IF(L48=0,0,M48/L48)</f>
        <v>0</v>
      </c>
      <c r="O48" s="3">
        <f>O50+O51+O52+O53+O54</f>
        <v>0</v>
      </c>
      <c r="P48" s="3">
        <f>P50+P51+P52+P53+P54</f>
        <v>0</v>
      </c>
      <c r="Q48" s="4">
        <f>IF(O48=0,0,P48/O48)</f>
        <v>0</v>
      </c>
      <c r="S48" s="3">
        <f>S50+S51+S52+S53+S54</f>
        <v>8683.3005265167885</v>
      </c>
      <c r="T48" s="3">
        <f>T50+T51+T52+T53+T54</f>
        <v>6636.0480774824346</v>
      </c>
      <c r="U48" s="4">
        <f>IF(S48=0,0,T48/S48)</f>
        <v>0.76423107287574354</v>
      </c>
      <c r="V48" s="3">
        <f>V50+V51+V52+V53+V54</f>
        <v>26890169.836246081</v>
      </c>
      <c r="W48" s="6">
        <f>W50+W51+W52+W53+W54</f>
        <v>1188772.635306214</v>
      </c>
      <c r="X48" s="7">
        <f>IF(V48=0,0,W48/V48)</f>
        <v>4.420844652694722E-2</v>
      </c>
      <c r="Y48" s="3">
        <f>Y50+Y51+Y52+Y53+Y54</f>
        <v>0</v>
      </c>
      <c r="Z48" s="3">
        <f>Z50+Z51+Z52+Z53+Z54</f>
        <v>0</v>
      </c>
      <c r="AA48" s="4">
        <f>IF(Y48=0,0,Z48/Y48)</f>
        <v>0</v>
      </c>
      <c r="AB48" s="3">
        <f>AB50+AB51+AB52+AB53+AB54</f>
        <v>0</v>
      </c>
      <c r="AC48" s="3">
        <f>AC50+AC51+AC52+AC53+AC54</f>
        <v>0</v>
      </c>
      <c r="AD48" s="4">
        <f>IF(AB48=0,0,AC48/AB48)</f>
        <v>0</v>
      </c>
    </row>
    <row r="49" spans="1:30" x14ac:dyDescent="0.25">
      <c r="A49" s="5" t="s">
        <v>29</v>
      </c>
    </row>
    <row r="50" spans="1:30" x14ac:dyDescent="0.25">
      <c r="B50" t="s">
        <v>30</v>
      </c>
      <c r="C50" s="3">
        <f>J50+M50+G50+P50</f>
        <v>137.72092160936992</v>
      </c>
      <c r="D50" s="3">
        <f>J50+G50</f>
        <v>137.72092160936992</v>
      </c>
      <c r="E50" s="3">
        <f>M50+P50</f>
        <v>0</v>
      </c>
      <c r="F50" s="3">
        <v>155.69318362382799</v>
      </c>
      <c r="G50" s="3">
        <v>128.14136087094829</v>
      </c>
      <c r="H50" s="4">
        <f>IF(F50=0,0,G50/F50)</f>
        <v>0.82303770716483027</v>
      </c>
      <c r="I50" s="3">
        <v>289.90090139463632</v>
      </c>
      <c r="J50" s="6">
        <v>9.5795607384216268</v>
      </c>
      <c r="K50" s="7">
        <f>IF(I50=0,0,J50/I50)</f>
        <v>3.3044259925846732E-2</v>
      </c>
      <c r="L50" s="3">
        <v>0</v>
      </c>
      <c r="M50" s="3">
        <v>0</v>
      </c>
      <c r="N50" s="4">
        <f>IF(L50=0,0,M50/L50)</f>
        <v>0</v>
      </c>
      <c r="O50" s="3">
        <v>0</v>
      </c>
      <c r="P50" s="3">
        <v>0</v>
      </c>
      <c r="Q50" s="4">
        <f>IF(O50=0,0,P50/O50)</f>
        <v>0</v>
      </c>
      <c r="S50" s="3">
        <v>2076.4243642199531</v>
      </c>
      <c r="T50" s="3">
        <v>1708.9755478287809</v>
      </c>
      <c r="U50" s="4">
        <f>IF(S50=0,0,T50/S50)</f>
        <v>0.82303770716483038</v>
      </c>
      <c r="V50" s="3">
        <v>7917202.4300766056</v>
      </c>
      <c r="W50" s="6">
        <v>289948.80979634362</v>
      </c>
      <c r="X50" s="7">
        <f>IF(V50=0,0,W50/V50)</f>
        <v>3.6622634365752617E-2</v>
      </c>
      <c r="Y50" s="3">
        <v>0</v>
      </c>
      <c r="Z50" s="3">
        <v>0</v>
      </c>
      <c r="AA50" s="4">
        <f>IF(Y50=0,0,Z50/Y50)</f>
        <v>0</v>
      </c>
      <c r="AB50" s="3">
        <v>0</v>
      </c>
      <c r="AC50" s="3">
        <v>0</v>
      </c>
      <c r="AD50" s="4">
        <f>IF(AB50=0,0,AC50/AB50)</f>
        <v>0</v>
      </c>
    </row>
    <row r="51" spans="1:30" x14ac:dyDescent="0.25">
      <c r="B51" t="s">
        <v>31</v>
      </c>
      <c r="C51" s="3">
        <f>J51+M51+G51+P51</f>
        <v>132.24626801308187</v>
      </c>
      <c r="D51" s="3">
        <f>J51+G51</f>
        <v>132.24626801308187</v>
      </c>
      <c r="E51" s="3">
        <f>M51+P51</f>
        <v>0</v>
      </c>
      <c r="F51" s="3">
        <v>148.09982986674899</v>
      </c>
      <c r="G51" s="3">
        <v>124.690141566094</v>
      </c>
      <c r="H51" s="4">
        <f>IF(F51=0,0,G51/F51)</f>
        <v>0.84193305068805568</v>
      </c>
      <c r="I51" s="3">
        <v>172.51020331953049</v>
      </c>
      <c r="J51" s="6">
        <v>7.5561264469878804</v>
      </c>
      <c r="K51" s="7">
        <f>IF(I51=0,0,J51/I51)</f>
        <v>4.3801040759265192E-2</v>
      </c>
      <c r="L51" s="3">
        <v>0</v>
      </c>
      <c r="M51" s="3">
        <v>0</v>
      </c>
      <c r="N51" s="4">
        <f>IF(L51=0,0,M51/L51)</f>
        <v>0</v>
      </c>
      <c r="O51" s="3">
        <v>0</v>
      </c>
      <c r="P51" s="3">
        <v>0</v>
      </c>
      <c r="Q51" s="4">
        <f>IF(O51=0,0,P51/O51)</f>
        <v>0</v>
      </c>
      <c r="S51" s="3">
        <v>1975.1545181010979</v>
      </c>
      <c r="T51" s="3">
        <v>1662.9478690051531</v>
      </c>
      <c r="U51" s="4">
        <f>IF(S51=0,0,T51/S51)</f>
        <v>0.84193305068805524</v>
      </c>
      <c r="V51" s="3">
        <v>5775458.9344058</v>
      </c>
      <c r="W51" s="6">
        <v>301589.20337983972</v>
      </c>
      <c r="X51" s="7">
        <f>IF(V51=0,0,W51/V51)</f>
        <v>5.2219088873301511E-2</v>
      </c>
      <c r="Y51" s="3">
        <v>0</v>
      </c>
      <c r="Z51" s="3">
        <v>0</v>
      </c>
      <c r="AA51" s="4">
        <f>IF(Y51=0,0,Z51/Y51)</f>
        <v>0</v>
      </c>
      <c r="AB51" s="3">
        <v>0</v>
      </c>
      <c r="AC51" s="3">
        <v>0</v>
      </c>
      <c r="AD51" s="4">
        <f>IF(AB51=0,0,AC51/AB51)</f>
        <v>0</v>
      </c>
    </row>
    <row r="52" spans="1:30" x14ac:dyDescent="0.25">
      <c r="B52" t="s">
        <v>32</v>
      </c>
      <c r="C52" s="3">
        <f>J52+M52+G52+P52</f>
        <v>125.40247723253992</v>
      </c>
      <c r="D52" s="3">
        <f>J52+G52</f>
        <v>125.40247723253992</v>
      </c>
      <c r="E52" s="3">
        <f>M52+P52</f>
        <v>0</v>
      </c>
      <c r="F52" s="3">
        <v>134.796744990006</v>
      </c>
      <c r="G52" s="3">
        <v>117.3169351601271</v>
      </c>
      <c r="H52" s="4">
        <f>IF(F52=0,0,G52/F52)</f>
        <v>0.87032468898878179</v>
      </c>
      <c r="I52" s="3">
        <v>135.45605543604131</v>
      </c>
      <c r="J52" s="6">
        <v>8.0855420724128191</v>
      </c>
      <c r="K52" s="7">
        <f>IF(I52=0,0,J52/I52)</f>
        <v>5.9691255930825429E-2</v>
      </c>
      <c r="L52" s="3">
        <v>0</v>
      </c>
      <c r="M52" s="3">
        <v>0</v>
      </c>
      <c r="N52" s="4">
        <f>IF(L52=0,0,M52/L52)</f>
        <v>0</v>
      </c>
      <c r="O52" s="3">
        <v>0</v>
      </c>
      <c r="P52" s="3">
        <v>0</v>
      </c>
      <c r="Q52" s="4">
        <f>IF(O52=0,0,P52/O52)</f>
        <v>0</v>
      </c>
      <c r="S52" s="3">
        <v>1797.736028001397</v>
      </c>
      <c r="T52" s="3">
        <v>1564.614049454244</v>
      </c>
      <c r="U52" s="4">
        <f>IF(S52=0,0,T52/S52)</f>
        <v>0.8703246889887819</v>
      </c>
      <c r="V52" s="3">
        <v>4941006.3189266957</v>
      </c>
      <c r="W52" s="6">
        <v>340742.81144367717</v>
      </c>
      <c r="X52" s="7">
        <f>IF(V52=0,0,W52/V52)</f>
        <v>6.8962229442704831E-2</v>
      </c>
      <c r="Y52" s="3">
        <v>0</v>
      </c>
      <c r="Z52" s="3">
        <v>0</v>
      </c>
      <c r="AA52" s="4">
        <f>IF(Y52=0,0,Z52/Y52)</f>
        <v>0</v>
      </c>
      <c r="AB52" s="3">
        <v>0</v>
      </c>
      <c r="AC52" s="3">
        <v>0</v>
      </c>
      <c r="AD52" s="4">
        <f>IF(AB52=0,0,AC52/AB52)</f>
        <v>0</v>
      </c>
    </row>
    <row r="53" spans="1:30" x14ac:dyDescent="0.25">
      <c r="B53" t="s">
        <v>33</v>
      </c>
      <c r="C53" s="3">
        <f>J53+M53+G53+P53</f>
        <v>80.327792038537325</v>
      </c>
      <c r="D53" s="3">
        <f>J53+G53</f>
        <v>80.327792038537325</v>
      </c>
      <c r="E53" s="3">
        <f>M53+P53</f>
        <v>0</v>
      </c>
      <c r="F53" s="3">
        <v>118.7859525719791</v>
      </c>
      <c r="G53" s="3">
        <v>77.087486119977598</v>
      </c>
      <c r="H53" s="4">
        <f>IF(F53=0,0,G53/F53)</f>
        <v>0.64896129930233926</v>
      </c>
      <c r="I53" s="3">
        <v>131.31388542968341</v>
      </c>
      <c r="J53" s="6">
        <v>3.2403059185597232</v>
      </c>
      <c r="K53" s="7">
        <f>IF(I53=0,0,J53/I53)</f>
        <v>2.467603412964928E-2</v>
      </c>
      <c r="L53" s="3">
        <v>0</v>
      </c>
      <c r="M53" s="3">
        <v>0</v>
      </c>
      <c r="N53" s="4">
        <f>IF(L53=0,0,M53/L53)</f>
        <v>0</v>
      </c>
      <c r="O53" s="3">
        <v>0</v>
      </c>
      <c r="P53" s="3">
        <v>0</v>
      </c>
      <c r="Q53" s="4">
        <f>IF(O53=0,0,P53/O53)</f>
        <v>0</v>
      </c>
      <c r="S53" s="3">
        <v>1584.2058098283051</v>
      </c>
      <c r="T53" s="3">
        <v>1028.0882607084909</v>
      </c>
      <c r="U53" s="4">
        <f>IF(S53=0,0,T53/S53)</f>
        <v>0.64896129930233892</v>
      </c>
      <c r="V53" s="3">
        <v>4714339.9302510964</v>
      </c>
      <c r="W53" s="6">
        <v>142904.16362350431</v>
      </c>
      <c r="X53" s="7">
        <f>IF(V53=0,0,W53/V53)</f>
        <v>3.0312655798643888E-2</v>
      </c>
      <c r="Y53" s="3">
        <v>0</v>
      </c>
      <c r="Z53" s="3">
        <v>0</v>
      </c>
      <c r="AA53" s="4">
        <f>IF(Y53=0,0,Z53/Y53)</f>
        <v>0</v>
      </c>
      <c r="AB53" s="3">
        <v>0</v>
      </c>
      <c r="AC53" s="3">
        <v>0</v>
      </c>
      <c r="AD53" s="4">
        <f>IF(AB53=0,0,AC53/AB53)</f>
        <v>0</v>
      </c>
    </row>
    <row r="54" spans="1:30" x14ac:dyDescent="0.25">
      <c r="B54" t="s">
        <v>34</v>
      </c>
      <c r="C54" s="3">
        <f>J54+M54+G54+P54</f>
        <v>52.724079051646143</v>
      </c>
      <c r="D54" s="3">
        <f>J54+G54</f>
        <v>52.724079051646143</v>
      </c>
      <c r="E54" s="3">
        <f>M54+P54</f>
        <v>0</v>
      </c>
      <c r="F54" s="3">
        <v>93.71022621139285</v>
      </c>
      <c r="G54" s="3">
        <v>50.344180652394442</v>
      </c>
      <c r="H54" s="4">
        <f>IF(F54=0,0,G54/F54)</f>
        <v>0.53723251653269222</v>
      </c>
      <c r="I54" s="3">
        <v>85.349300637888987</v>
      </c>
      <c r="J54" s="6">
        <v>2.3798983992517022</v>
      </c>
      <c r="K54" s="7">
        <f>IF(I54=0,0,J54/I54)</f>
        <v>2.7884216759418851E-2</v>
      </c>
      <c r="L54" s="3">
        <v>0</v>
      </c>
      <c r="M54" s="3">
        <v>0</v>
      </c>
      <c r="N54" s="4">
        <f>IF(L54=0,0,M54/L54)</f>
        <v>0</v>
      </c>
      <c r="O54" s="3">
        <v>0</v>
      </c>
      <c r="P54" s="3">
        <v>0</v>
      </c>
      <c r="Q54" s="4">
        <f>IF(O54=0,0,P54/O54)</f>
        <v>0</v>
      </c>
      <c r="S54" s="3">
        <v>1249.7798063660359</v>
      </c>
      <c r="T54" s="3">
        <v>671.4223504857664</v>
      </c>
      <c r="U54" s="4">
        <f>IF(S54=0,0,T54/S54)</f>
        <v>0.53723251653269233</v>
      </c>
      <c r="V54" s="3">
        <v>3542162.2225858839</v>
      </c>
      <c r="W54" s="6">
        <v>113587.6470628493</v>
      </c>
      <c r="X54" s="7">
        <f>IF(V54=0,0,W54/V54)</f>
        <v>3.2067319316597231E-2</v>
      </c>
      <c r="Y54" s="3">
        <v>0</v>
      </c>
      <c r="Z54" s="3">
        <v>0</v>
      </c>
      <c r="AA54" s="4">
        <f>IF(Y54=0,0,Z54/Y54)</f>
        <v>0</v>
      </c>
      <c r="AB54" s="3">
        <v>0</v>
      </c>
      <c r="AC54" s="3">
        <v>0</v>
      </c>
      <c r="AD54" s="4">
        <f>IF(AB54=0,0,AC54/AB54)</f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Zeb Burke-Conte</cp:lastModifiedBy>
  <dcterms:created xsi:type="dcterms:W3CDTF">2025-04-30T21:41:30Z</dcterms:created>
  <dcterms:modified xsi:type="dcterms:W3CDTF">2025-04-30T22:16:34Z</dcterms:modified>
</cp:coreProperties>
</file>