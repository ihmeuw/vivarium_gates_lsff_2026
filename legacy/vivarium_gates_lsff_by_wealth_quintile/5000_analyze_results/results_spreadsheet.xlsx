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el Results" sheetId="1" r:id="rId1"/>
  </sheets>
  <calcPr calcId="124519" fullCalcOnLoad="1"/>
</workbook>
</file>

<file path=xl/sharedStrings.xml><?xml version="1.0" encoding="utf-8"?>
<sst xmlns="http://schemas.openxmlformats.org/spreadsheetml/2006/main" count="66" uniqueCount="38">
  <si>
    <t>DALYs Averted by Fortification (1000s)</t>
  </si>
  <si>
    <t>Baseline NTD DALYs (1000s)</t>
  </si>
  <si>
    <t>NTD DALYs Averted by Folate Fortification (1000s)</t>
  </si>
  <si>
    <t>NTD DALYs Averted by Folate Fortification (%)</t>
  </si>
  <si>
    <t>DALYs Averted by Iron Fortification (1000s)</t>
  </si>
  <si>
    <t>Baseline Anemia DALYs (1000s)</t>
  </si>
  <si>
    <t>Anemia DALYs Averted by Iron Fortification (1000s)</t>
  </si>
  <si>
    <t>Anemia DALYs Averted by Iron Fortification (%)</t>
  </si>
  <si>
    <t>Baseline Child YLLs (1000s)</t>
  </si>
  <si>
    <t>Child YLLs Averted by Iron Fortification (1000s)</t>
  </si>
  <si>
    <t>Child YLLs Averted by Iron Fortification (%)</t>
  </si>
  <si>
    <t>Baseline Maternal Disorders DALYs (1000s)</t>
  </si>
  <si>
    <t>Maternal Disorders DALYs Averted by Iron Fortification (1000s)</t>
  </si>
  <si>
    <t>Maternal Disorders DALYs Averted by Iron Fortification (%)</t>
  </si>
  <si>
    <t>Baseline Annual NTD Deaths and Stillbirths</t>
  </si>
  <si>
    <t>Annual NTD Deaths and Stillbirths Averted</t>
  </si>
  <si>
    <t>Annual NTD Deaths and Stillbirths Averted (%)</t>
  </si>
  <si>
    <t>Baseline Prevalent Anemia Cases</t>
  </si>
  <si>
    <t>Prevalent Anemia Cases Averted</t>
  </si>
  <si>
    <t>Prevalent Anemia Cases Averted (%)</t>
  </si>
  <si>
    <t>Baseline Annual Maternal Disorders Cases</t>
  </si>
  <si>
    <t>Annual Maternal Disorders Cases Averted</t>
  </si>
  <si>
    <t>Annual Maternal Disorders Cases Averted (%)</t>
  </si>
  <si>
    <t>Baseline Annual Child Deaths</t>
  </si>
  <si>
    <t>Annual Child Deaths Averted</t>
  </si>
  <si>
    <t>Annual Child Deaths Averted (%)</t>
  </si>
  <si>
    <t>India -- Rice-- 80% PDS vs none</t>
  </si>
  <si>
    <t>National</t>
  </si>
  <si>
    <t>Wealth quintile</t>
  </si>
  <si>
    <t>Poorest</t>
  </si>
  <si>
    <t>Second</t>
  </si>
  <si>
    <t>Third</t>
  </si>
  <si>
    <t>Fourth</t>
  </si>
  <si>
    <t>Wealthiest</t>
  </si>
  <si>
    <t>India -- Rice-- 80% PDS with increased folate vs none</t>
  </si>
  <si>
    <t>Nigeria -- Bouillon</t>
  </si>
  <si>
    <t>Ethiopia -- Salt-- 25% NRV per average intake</t>
  </si>
  <si>
    <t>Ethiopia -- Salt-- 100% NRV per average intake</t>
  </si>
</sst>
</file>

<file path=xl/styles.xml><?xml version="1.0" encoding="utf-8"?>
<styleSheet xmlns="http://schemas.openxmlformats.org/spreadsheetml/2006/main">
  <numFmts count="2">
    <numFmt numFmtId="164" formatCode="_(* #,##0_);_(* (#,##0);_(* &quot;-&quot;??_);_(@_)"/>
    <numFmt numFmtId="165" formatCode="0.0%;-0.0%;&quot;-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C45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.7109375" customWidth="1"/>
    <col min="2" max="2" width="10.7109375" customWidth="1"/>
    <col min="3" max="16" width="15.7109375" customWidth="1"/>
    <col min="17" max="17" width="1.7109375" customWidth="1"/>
    <col min="18" max="29" width="15.7109375" customWidth="1"/>
  </cols>
  <sheetData>
    <row r="1" spans="1:29"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/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  <c r="Z1" s="1" t="s">
        <v>22</v>
      </c>
      <c r="AA1" s="1" t="s">
        <v>23</v>
      </c>
      <c r="AB1" s="1" t="s">
        <v>24</v>
      </c>
      <c r="AC1" s="1" t="s">
        <v>25</v>
      </c>
    </row>
    <row r="2" spans="1:29">
      <c r="A2" s="2" t="s">
        <v>26</v>
      </c>
    </row>
    <row r="3" spans="1:29">
      <c r="B3" t="s">
        <v>27</v>
      </c>
      <c r="C3" s="3">
        <f>C5+C6+C7+C8+C9</f>
        <v>0</v>
      </c>
      <c r="D3" s="3">
        <f>D5+D6+D7+D8+D9</f>
        <v>0</v>
      </c>
      <c r="E3" s="3">
        <f>E5+E6+E7+E8+E9</f>
        <v>0</v>
      </c>
      <c r="F3" s="4">
        <f>IF(D3=0,0,E3/D3)</f>
        <v>0</v>
      </c>
      <c r="G3" s="3">
        <f>G5+G6+G7+G8+G9</f>
        <v>0</v>
      </c>
      <c r="H3" s="3">
        <f>H5+H6+H7+H8+H9</f>
        <v>0</v>
      </c>
      <c r="I3" s="3">
        <f>I5+I6+I7+I8+I9</f>
        <v>0</v>
      </c>
      <c r="J3" s="4">
        <f>IF(H3=0,0,I3/H3)</f>
        <v>0</v>
      </c>
      <c r="K3" s="3">
        <f>K5+K6+K7+K8+K9</f>
        <v>0</v>
      </c>
      <c r="L3" s="3">
        <f>L5+L6+L7+L8+L9</f>
        <v>0</v>
      </c>
      <c r="M3" s="4">
        <f>IF(K3=0,0,L3/K3)</f>
        <v>0</v>
      </c>
      <c r="N3" s="3">
        <f>N5+N6+N7+N8+N9</f>
        <v>0</v>
      </c>
      <c r="O3" s="3">
        <f>O5+O6+O7+O8+O9</f>
        <v>0</v>
      </c>
      <c r="P3" s="4">
        <f>IF(N3=0,0,O3/N3)</f>
        <v>0</v>
      </c>
      <c r="R3" s="3">
        <f>R5+R6+R7+R8+R9</f>
        <v>0</v>
      </c>
      <c r="S3" s="3">
        <f>S5+S6+S7+S8+S9</f>
        <v>0</v>
      </c>
      <c r="T3" s="4">
        <f>IF(R3=0,0,S3/R3)</f>
        <v>0</v>
      </c>
      <c r="U3" s="3">
        <f>U5+U6+U7+U8+U9</f>
        <v>0</v>
      </c>
      <c r="V3" s="3">
        <f>V5+V6+V7+V8+V9</f>
        <v>0</v>
      </c>
      <c r="W3" s="4">
        <f>IF(U3=0,0,V3/U3)</f>
        <v>0</v>
      </c>
      <c r="X3" s="3">
        <f>X5+X6+X7+X8+X9</f>
        <v>0</v>
      </c>
      <c r="Y3" s="3">
        <f>Y5+Y6+Y7+Y8+Y9</f>
        <v>0</v>
      </c>
      <c r="Z3" s="4">
        <f>IF(X3=0,0,Y3/X3)</f>
        <v>0</v>
      </c>
      <c r="AA3" s="3">
        <f>AA5+AA6+AA7+AA8+AA9</f>
        <v>0</v>
      </c>
      <c r="AB3" s="3">
        <f>AB5+AB6+AB7+AB8+AB9</f>
        <v>0</v>
      </c>
      <c r="AC3" s="4">
        <f>IF(AA3=0,0,AB3/AA3)</f>
        <v>0</v>
      </c>
    </row>
    <row r="4" spans="1:29">
      <c r="A4" s="5" t="s">
        <v>28</v>
      </c>
    </row>
    <row r="5" spans="1:29">
      <c r="B5" t="s">
        <v>29</v>
      </c>
      <c r="C5" s="3">
        <f>G5+E5</f>
        <v>0</v>
      </c>
      <c r="D5" s="3">
        <v>397.3411120525218</v>
      </c>
      <c r="E5" s="3">
        <v>28.56318031742599</v>
      </c>
      <c r="F5" s="4">
        <f>IF(D5=0,0,E5/D5)</f>
        <v>0</v>
      </c>
      <c r="G5" s="3">
        <f>I5+L5</f>
        <v>0</v>
      </c>
      <c r="H5" s="3">
        <v>4596.975610776038</v>
      </c>
      <c r="I5" s="3">
        <v>361.186598697369</v>
      </c>
      <c r="J5" s="4">
        <f>IF(H5=0,0,I5/H5)</f>
        <v>0</v>
      </c>
      <c r="K5" s="3">
        <v>18641.71267966566</v>
      </c>
      <c r="L5" s="3">
        <v>53.86430702802166</v>
      </c>
      <c r="M5" s="4">
        <f>IF(K5=0,0,L5/K5)</f>
        <v>0</v>
      </c>
      <c r="N5" s="3">
        <v>597.8493372780317</v>
      </c>
      <c r="O5" s="3">
        <v>6.377419397605583</v>
      </c>
      <c r="P5" s="4">
        <f>IF(N5=0,0,O5/N5)</f>
        <v>0</v>
      </c>
      <c r="R5" s="3">
        <v>4416.960542685817</v>
      </c>
      <c r="S5" s="3">
        <v>317.516704435594</v>
      </c>
      <c r="T5" s="4">
        <f>IF(R5=0,0,S5/R5)</f>
        <v>0</v>
      </c>
      <c r="U5" s="3">
        <v>139164134.1773752</v>
      </c>
      <c r="V5" s="3">
        <v>8505845.668995231</v>
      </c>
      <c r="W5" s="4">
        <f>IF(U5=0,0,V5/U5)</f>
        <v>0</v>
      </c>
      <c r="X5" s="3">
        <v>6122536.701646247</v>
      </c>
      <c r="Y5" s="3">
        <v>65974.70812917687</v>
      </c>
      <c r="Z5" s="4">
        <f>IF(X5=0,0,Y5/X5)</f>
        <v>0</v>
      </c>
      <c r="AA5" s="3">
        <v>208025.7526765109</v>
      </c>
      <c r="AB5" s="3">
        <v>598.4880189995747</v>
      </c>
      <c r="AC5" s="4">
        <f>IF(AA5=0,0,AB5/AA5)</f>
        <v>0</v>
      </c>
    </row>
    <row r="6" spans="1:29">
      <c r="B6" t="s">
        <v>30</v>
      </c>
      <c r="C6" s="3">
        <f>G6+E6</f>
        <v>0</v>
      </c>
      <c r="D6" s="3">
        <v>347.0110890283472</v>
      </c>
      <c r="E6" s="3">
        <v>21.23427311571193</v>
      </c>
      <c r="F6" s="4">
        <f>IF(D6=0,0,E6/D6)</f>
        <v>0</v>
      </c>
      <c r="G6" s="3">
        <f>I6+L6</f>
        <v>0</v>
      </c>
      <c r="H6" s="3">
        <v>4120.991562496513</v>
      </c>
      <c r="I6" s="3">
        <v>324.6769341642303</v>
      </c>
      <c r="J6" s="4">
        <f>IF(H6=0,0,I6/H6)</f>
        <v>0</v>
      </c>
      <c r="K6" s="3">
        <v>15401.72183860733</v>
      </c>
      <c r="L6" s="3">
        <v>34.04578363102674</v>
      </c>
      <c r="M6" s="4">
        <f>IF(K6=0,0,L6/K6)</f>
        <v>0</v>
      </c>
      <c r="N6" s="3">
        <v>474.6651747340384</v>
      </c>
      <c r="O6" s="3">
        <v>5.430779756818316</v>
      </c>
      <c r="P6" s="4">
        <f>IF(N6=0,0,O6/N6)</f>
        <v>0</v>
      </c>
      <c r="R6" s="3">
        <v>3857.4772194981</v>
      </c>
      <c r="S6" s="3">
        <v>236.0464187061425</v>
      </c>
      <c r="T6" s="4">
        <f>IF(R6=0,0,S6/R6)</f>
        <v>0</v>
      </c>
      <c r="U6" s="3">
        <v>129179305.0153213</v>
      </c>
      <c r="V6" s="3">
        <v>8078008.133128017</v>
      </c>
      <c r="W6" s="4">
        <f>IF(U6=0,0,V6/U6)</f>
        <v>0</v>
      </c>
      <c r="X6" s="3">
        <v>5177909.837618522</v>
      </c>
      <c r="Y6" s="3">
        <v>45114.78395023383</v>
      </c>
      <c r="Z6" s="4">
        <f>IF(X6=0,0,Y6/X6)</f>
        <v>0</v>
      </c>
      <c r="AA6" s="3">
        <v>171862.1916528172</v>
      </c>
      <c r="AB6" s="3">
        <v>378.3188513883215</v>
      </c>
      <c r="AC6" s="4">
        <f>IF(AA6=0,0,AB6/AA6)</f>
        <v>0</v>
      </c>
    </row>
    <row r="7" spans="1:29">
      <c r="B7" t="s">
        <v>31</v>
      </c>
      <c r="C7" s="3">
        <f>G7+E7</f>
        <v>0</v>
      </c>
      <c r="D7" s="3">
        <v>308.5630389483282</v>
      </c>
      <c r="E7" s="3">
        <v>16.09202406254137</v>
      </c>
      <c r="F7" s="4">
        <f>IF(D7=0,0,E7/D7)</f>
        <v>0</v>
      </c>
      <c r="G7" s="3">
        <f>I7+L7</f>
        <v>0</v>
      </c>
      <c r="H7" s="3">
        <v>3985.27603271578</v>
      </c>
      <c r="I7" s="3">
        <v>280.1356634412236</v>
      </c>
      <c r="J7" s="4">
        <f>IF(H7=0,0,I7/H7)</f>
        <v>0</v>
      </c>
      <c r="K7" s="3">
        <v>13777.25618273796</v>
      </c>
      <c r="L7" s="3">
        <v>27.90923734307103</v>
      </c>
      <c r="M7" s="4">
        <f>IF(K7=0,0,L7/K7)</f>
        <v>0</v>
      </c>
      <c r="N7" s="3">
        <v>416.3511467675295</v>
      </c>
      <c r="O7" s="3">
        <v>4.137063036345412</v>
      </c>
      <c r="P7" s="4">
        <f>IF(N7=0,0,O7/N7)</f>
        <v>0</v>
      </c>
      <c r="R7" s="3">
        <v>3430.077398549784</v>
      </c>
      <c r="S7" s="3">
        <v>178.8836674086738</v>
      </c>
      <c r="T7" s="4">
        <f>IF(R7=0,0,S7/R7)</f>
        <v>0</v>
      </c>
      <c r="U7" s="3">
        <v>125490666.0533599</v>
      </c>
      <c r="V7" s="3">
        <v>7026848.53325662</v>
      </c>
      <c r="W7" s="4">
        <f>IF(U7=0,0,V7/U7)</f>
        <v>0</v>
      </c>
      <c r="X7" s="3">
        <v>4635731.796410576</v>
      </c>
      <c r="Y7" s="3">
        <v>32670.82442069426</v>
      </c>
      <c r="Z7" s="4">
        <f>IF(X7=0,0,Y7/X7)</f>
        <v>0</v>
      </c>
      <c r="AA7" s="3">
        <v>153752.5023732449</v>
      </c>
      <c r="AB7" s="3">
        <v>310.0974191707501</v>
      </c>
      <c r="AC7" s="4">
        <f>IF(AA7=0,0,AB7/AA7)</f>
        <v>0</v>
      </c>
    </row>
    <row r="8" spans="1:29">
      <c r="B8" t="s">
        <v>32</v>
      </c>
      <c r="C8" s="3">
        <f>G8+E8</f>
        <v>0</v>
      </c>
      <c r="D8" s="3">
        <v>288.8667873653179</v>
      </c>
      <c r="E8" s="3">
        <v>13.08103385675908</v>
      </c>
      <c r="F8" s="4">
        <f>IF(D8=0,0,E8/D8)</f>
        <v>0</v>
      </c>
      <c r="G8" s="3">
        <f>I8+L8</f>
        <v>0</v>
      </c>
      <c r="H8" s="3">
        <v>3614.331723906642</v>
      </c>
      <c r="I8" s="3">
        <v>223.0981557032196</v>
      </c>
      <c r="J8" s="4">
        <f>IF(H8=0,0,I8/H8)</f>
        <v>0</v>
      </c>
      <c r="K8" s="3">
        <v>12916.93282914493</v>
      </c>
      <c r="L8" s="3">
        <v>22.59539087964408</v>
      </c>
      <c r="M8" s="4">
        <f>IF(K8=0,0,L8/K8)</f>
        <v>0</v>
      </c>
      <c r="N8" s="3">
        <v>380.9954178449788</v>
      </c>
      <c r="O8" s="3">
        <v>3.964898812210828</v>
      </c>
      <c r="P8" s="4">
        <f>IF(N8=0,0,O8/N8)</f>
        <v>0</v>
      </c>
      <c r="R8" s="3">
        <v>3211.128079080749</v>
      </c>
      <c r="S8" s="3">
        <v>145.4126156349134</v>
      </c>
      <c r="T8" s="4">
        <f>IF(R8=0,0,S8/R8)</f>
        <v>0</v>
      </c>
      <c r="U8" s="3">
        <v>117876445.5371973</v>
      </c>
      <c r="V8" s="3">
        <v>5909428.329053834</v>
      </c>
      <c r="W8" s="4">
        <f>IF(U8=0,0,V8/U8)</f>
        <v>0</v>
      </c>
      <c r="X8" s="3">
        <v>4171603.138276804</v>
      </c>
      <c r="Y8" s="3">
        <v>27643.58890003292</v>
      </c>
      <c r="Z8" s="4">
        <f>IF(X8=0,0,Y8/X8)</f>
        <v>0</v>
      </c>
      <c r="AA8" s="3">
        <v>144164.2901724851</v>
      </c>
      <c r="AB8" s="3">
        <v>251.178909528302</v>
      </c>
      <c r="AC8" s="4">
        <f>IF(AA8=0,0,AB8/AA8)</f>
        <v>0</v>
      </c>
    </row>
    <row r="9" spans="1:29">
      <c r="B9" t="s">
        <v>33</v>
      </c>
      <c r="C9" s="3">
        <f>G9+E9</f>
        <v>0</v>
      </c>
      <c r="D9" s="3">
        <v>239.8485203759585</v>
      </c>
      <c r="E9" s="3">
        <v>4.973370888136327</v>
      </c>
      <c r="F9" s="4">
        <f>IF(D9=0,0,E9/D9)</f>
        <v>0</v>
      </c>
      <c r="G9" s="3">
        <f>I9+L9</f>
        <v>0</v>
      </c>
      <c r="H9" s="3">
        <v>3112.211854938035</v>
      </c>
      <c r="I9" s="3">
        <v>109.9352002503402</v>
      </c>
      <c r="J9" s="4">
        <f>IF(H9=0,0,I9/H9)</f>
        <v>0</v>
      </c>
      <c r="K9" s="3">
        <v>12351.2134831508</v>
      </c>
      <c r="L9" s="3">
        <v>12.84116686484776</v>
      </c>
      <c r="M9" s="4">
        <f>IF(K9=0,0,L9/K9)</f>
        <v>0</v>
      </c>
      <c r="N9" s="3">
        <v>348.5810464336233</v>
      </c>
      <c r="O9" s="3">
        <v>1.118708221598412</v>
      </c>
      <c r="P9" s="4">
        <f>IF(N9=0,0,O9/N9)</f>
        <v>0</v>
      </c>
      <c r="R9" s="3">
        <v>2666.226621377526</v>
      </c>
      <c r="S9" s="3">
        <v>55.285451997569</v>
      </c>
      <c r="T9" s="4">
        <f>IF(R9=0,0,S9/R9)</f>
        <v>0</v>
      </c>
      <c r="U9" s="3">
        <v>108133914.5048333</v>
      </c>
      <c r="V9" s="3">
        <v>3152520.131594807</v>
      </c>
      <c r="W9" s="4">
        <f>IF(U9=0,0,V9/U9)</f>
        <v>0</v>
      </c>
      <c r="X9" s="3">
        <v>3758069.571457146</v>
      </c>
      <c r="Y9" s="3">
        <v>10855.1048464654</v>
      </c>
      <c r="Z9" s="4">
        <f>IF(X9=0,0,Y9/X9)</f>
        <v>0</v>
      </c>
      <c r="AA9" s="3">
        <v>137838.3028214017</v>
      </c>
      <c r="AB9" s="3">
        <v>142.6448128185584</v>
      </c>
      <c r="AC9" s="4">
        <f>IF(AA9=0,0,AB9/AA9)</f>
        <v>0</v>
      </c>
    </row>
    <row r="11" spans="1:29">
      <c r="A11" s="2" t="s">
        <v>34</v>
      </c>
    </row>
    <row r="12" spans="1:29">
      <c r="B12" t="s">
        <v>27</v>
      </c>
      <c r="C12" s="3">
        <f>C14+C15+C16+C17+C18</f>
        <v>0</v>
      </c>
      <c r="D12" s="3">
        <f>D14+D15+D16+D17+D18</f>
        <v>0</v>
      </c>
      <c r="E12" s="3">
        <f>E14+E15+E16+E17+E18</f>
        <v>0</v>
      </c>
      <c r="F12" s="4">
        <f>IF(D12=0,0,E12/D12)</f>
        <v>0</v>
      </c>
      <c r="G12" s="3">
        <f>G14+G15+G16+G17+G18</f>
        <v>0</v>
      </c>
      <c r="H12" s="3">
        <f>H14+H15+H16+H17+H18</f>
        <v>0</v>
      </c>
      <c r="I12" s="3">
        <f>I14+I15+I16+I17+I18</f>
        <v>0</v>
      </c>
      <c r="J12" s="4">
        <f>IF(H12=0,0,I12/H12)</f>
        <v>0</v>
      </c>
      <c r="K12" s="3">
        <f>K14+K15+K16+K17+K18</f>
        <v>0</v>
      </c>
      <c r="L12" s="3">
        <f>L14+L15+L16+L17+L18</f>
        <v>0</v>
      </c>
      <c r="M12" s="4">
        <f>IF(K12=0,0,L12/K12)</f>
        <v>0</v>
      </c>
      <c r="N12" s="3">
        <f>N14+N15+N16+N17+N18</f>
        <v>0</v>
      </c>
      <c r="O12" s="3">
        <f>O14+O15+O16+O17+O18</f>
        <v>0</v>
      </c>
      <c r="P12" s="4">
        <f>IF(N12=0,0,O12/N12)</f>
        <v>0</v>
      </c>
      <c r="R12" s="3">
        <f>R14+R15+R16+R17+R18</f>
        <v>0</v>
      </c>
      <c r="S12" s="3">
        <f>S14+S15+S16+S17+S18</f>
        <v>0</v>
      </c>
      <c r="T12" s="4">
        <f>IF(R12=0,0,S12/R12)</f>
        <v>0</v>
      </c>
      <c r="U12" s="3">
        <f>U14+U15+U16+U17+U18</f>
        <v>0</v>
      </c>
      <c r="V12" s="3">
        <f>V14+V15+V16+V17+V18</f>
        <v>0</v>
      </c>
      <c r="W12" s="4">
        <f>IF(U12=0,0,V12/U12)</f>
        <v>0</v>
      </c>
      <c r="X12" s="3">
        <f>X14+X15+X16+X17+X18</f>
        <v>0</v>
      </c>
      <c r="Y12" s="3">
        <f>Y14+Y15+Y16+Y17+Y18</f>
        <v>0</v>
      </c>
      <c r="Z12" s="4">
        <f>IF(X12=0,0,Y12/X12)</f>
        <v>0</v>
      </c>
      <c r="AA12" s="3">
        <f>AA14+AA15+AA16+AA17+AA18</f>
        <v>0</v>
      </c>
      <c r="AB12" s="3">
        <f>AB14+AB15+AB16+AB17+AB18</f>
        <v>0</v>
      </c>
      <c r="AC12" s="4">
        <f>IF(AA12=0,0,AB12/AA12)</f>
        <v>0</v>
      </c>
    </row>
    <row r="13" spans="1:29">
      <c r="A13" s="5" t="s">
        <v>28</v>
      </c>
    </row>
    <row r="14" spans="1:29">
      <c r="B14" t="s">
        <v>29</v>
      </c>
      <c r="C14" s="3">
        <f>G14+E14</f>
        <v>0</v>
      </c>
      <c r="D14" s="3">
        <v>397.3411120525218</v>
      </c>
      <c r="E14" s="3">
        <v>188.7955694390699</v>
      </c>
      <c r="F14" s="4">
        <f>IF(D14=0,0,E14/D14)</f>
        <v>0</v>
      </c>
      <c r="G14" s="3">
        <f>I14+L14</f>
        <v>0</v>
      </c>
      <c r="H14" s="3">
        <v>4596.975610776038</v>
      </c>
      <c r="I14" s="3">
        <v>361.186598697369</v>
      </c>
      <c r="J14" s="4">
        <f>IF(H14=0,0,I14/H14)</f>
        <v>0</v>
      </c>
      <c r="K14" s="3">
        <v>18641.71267966566</v>
      </c>
      <c r="L14" s="3">
        <v>53.86430702802166</v>
      </c>
      <c r="M14" s="4">
        <f>IF(K14=0,0,L14/K14)</f>
        <v>0</v>
      </c>
      <c r="N14" s="3">
        <v>597.8493372780317</v>
      </c>
      <c r="O14" s="3">
        <v>6.377419397605583</v>
      </c>
      <c r="P14" s="4">
        <f>IF(N14=0,0,O14/N14)</f>
        <v>0</v>
      </c>
      <c r="R14" s="3">
        <v>4416.960542685817</v>
      </c>
      <c r="S14" s="3">
        <v>2098.707019111691</v>
      </c>
      <c r="T14" s="4">
        <f>IF(R14=0,0,S14/R14)</f>
        <v>0</v>
      </c>
      <c r="U14" s="3">
        <v>139164134.1773752</v>
      </c>
      <c r="V14" s="3">
        <v>8505845.668995231</v>
      </c>
      <c r="W14" s="4">
        <f>IF(U14=0,0,V14/U14)</f>
        <v>0</v>
      </c>
      <c r="X14" s="3">
        <v>6122536.701646247</v>
      </c>
      <c r="Y14" s="3">
        <v>65974.70812917687</v>
      </c>
      <c r="Z14" s="4">
        <f>IF(X14=0,0,Y14/X14)</f>
        <v>0</v>
      </c>
      <c r="AA14" s="3">
        <v>208025.7526765109</v>
      </c>
      <c r="AB14" s="3">
        <v>598.4880189995747</v>
      </c>
      <c r="AC14" s="4">
        <f>IF(AA14=0,0,AB14/AA14)</f>
        <v>0</v>
      </c>
    </row>
    <row r="15" spans="1:29">
      <c r="B15" t="s">
        <v>30</v>
      </c>
      <c r="C15" s="3">
        <f>G15+E15</f>
        <v>0</v>
      </c>
      <c r="D15" s="3">
        <v>347.0110890283472</v>
      </c>
      <c r="E15" s="3">
        <v>148.3134259115594</v>
      </c>
      <c r="F15" s="4">
        <f>IF(D15=0,0,E15/D15)</f>
        <v>0</v>
      </c>
      <c r="G15" s="3">
        <f>I15+L15</f>
        <v>0</v>
      </c>
      <c r="H15" s="3">
        <v>4120.991562496513</v>
      </c>
      <c r="I15" s="3">
        <v>324.6769341642303</v>
      </c>
      <c r="J15" s="4">
        <f>IF(H15=0,0,I15/H15)</f>
        <v>0</v>
      </c>
      <c r="K15" s="3">
        <v>15401.72183860733</v>
      </c>
      <c r="L15" s="3">
        <v>34.04578363102674</v>
      </c>
      <c r="M15" s="4">
        <f>IF(K15=0,0,L15/K15)</f>
        <v>0</v>
      </c>
      <c r="N15" s="3">
        <v>474.6651747340384</v>
      </c>
      <c r="O15" s="3">
        <v>5.430779756818316</v>
      </c>
      <c r="P15" s="4">
        <f>IF(N15=0,0,O15/N15)</f>
        <v>0</v>
      </c>
      <c r="R15" s="3">
        <v>3857.4772194981</v>
      </c>
      <c r="S15" s="3">
        <v>1648.695617772675</v>
      </c>
      <c r="T15" s="4">
        <f>IF(R15=0,0,S15/R15)</f>
        <v>0</v>
      </c>
      <c r="U15" s="3">
        <v>129179305.0153213</v>
      </c>
      <c r="V15" s="3">
        <v>8078008.133128017</v>
      </c>
      <c r="W15" s="4">
        <f>IF(U15=0,0,V15/U15)</f>
        <v>0</v>
      </c>
      <c r="X15" s="3">
        <v>5177909.837618522</v>
      </c>
      <c r="Y15" s="3">
        <v>45114.78395023383</v>
      </c>
      <c r="Z15" s="4">
        <f>IF(X15=0,0,Y15/X15)</f>
        <v>0</v>
      </c>
      <c r="AA15" s="3">
        <v>171862.1916528172</v>
      </c>
      <c r="AB15" s="3">
        <v>378.3188513883215</v>
      </c>
      <c r="AC15" s="4">
        <f>IF(AA15=0,0,AB15/AA15)</f>
        <v>0</v>
      </c>
    </row>
    <row r="16" spans="1:29">
      <c r="B16" t="s">
        <v>31</v>
      </c>
      <c r="C16" s="3">
        <f>G16+E16</f>
        <v>0</v>
      </c>
      <c r="D16" s="3">
        <v>308.5630389483282</v>
      </c>
      <c r="E16" s="3">
        <v>117.9406018300627</v>
      </c>
      <c r="F16" s="4">
        <f>IF(D16=0,0,E16/D16)</f>
        <v>0</v>
      </c>
      <c r="G16" s="3">
        <f>I16+L16</f>
        <v>0</v>
      </c>
      <c r="H16" s="3">
        <v>3985.27603271578</v>
      </c>
      <c r="I16" s="3">
        <v>280.1356634412236</v>
      </c>
      <c r="J16" s="4">
        <f>IF(H16=0,0,I16/H16)</f>
        <v>0</v>
      </c>
      <c r="K16" s="3">
        <v>13777.25618273796</v>
      </c>
      <c r="L16" s="3">
        <v>27.90923734307103</v>
      </c>
      <c r="M16" s="4">
        <f>IF(K16=0,0,L16/K16)</f>
        <v>0</v>
      </c>
      <c r="N16" s="3">
        <v>416.3511467675295</v>
      </c>
      <c r="O16" s="3">
        <v>4.137063036345412</v>
      </c>
      <c r="P16" s="4">
        <f>IF(N16=0,0,O16/N16)</f>
        <v>0</v>
      </c>
      <c r="R16" s="3">
        <v>3430.077398549784</v>
      </c>
      <c r="S16" s="3">
        <v>1311.062381571898</v>
      </c>
      <c r="T16" s="4">
        <f>IF(R16=0,0,S16/R16)</f>
        <v>0</v>
      </c>
      <c r="U16" s="3">
        <v>125490666.0533599</v>
      </c>
      <c r="V16" s="3">
        <v>7026848.53325662</v>
      </c>
      <c r="W16" s="4">
        <f>IF(U16=0,0,V16/U16)</f>
        <v>0</v>
      </c>
      <c r="X16" s="3">
        <v>4635731.796410576</v>
      </c>
      <c r="Y16" s="3">
        <v>32670.82442069426</v>
      </c>
      <c r="Z16" s="4">
        <f>IF(X16=0,0,Y16/X16)</f>
        <v>0</v>
      </c>
      <c r="AA16" s="3">
        <v>153752.5023732449</v>
      </c>
      <c r="AB16" s="3">
        <v>310.0974191707501</v>
      </c>
      <c r="AC16" s="4">
        <f>IF(AA16=0,0,AB16/AA16)</f>
        <v>0</v>
      </c>
    </row>
    <row r="17" spans="1:29">
      <c r="B17" t="s">
        <v>32</v>
      </c>
      <c r="C17" s="3">
        <f>G17+E17</f>
        <v>0</v>
      </c>
      <c r="D17" s="3">
        <v>288.8667873653179</v>
      </c>
      <c r="E17" s="3">
        <v>99.52220596925804</v>
      </c>
      <c r="F17" s="4">
        <f>IF(D17=0,0,E17/D17)</f>
        <v>0</v>
      </c>
      <c r="G17" s="3">
        <f>I17+L17</f>
        <v>0</v>
      </c>
      <c r="H17" s="3">
        <v>3614.331723906642</v>
      </c>
      <c r="I17" s="3">
        <v>223.0981557032196</v>
      </c>
      <c r="J17" s="4">
        <f>IF(H17=0,0,I17/H17)</f>
        <v>0</v>
      </c>
      <c r="K17" s="3">
        <v>12916.93282914493</v>
      </c>
      <c r="L17" s="3">
        <v>22.59539087964408</v>
      </c>
      <c r="M17" s="4">
        <f>IF(K17=0,0,L17/K17)</f>
        <v>0</v>
      </c>
      <c r="N17" s="3">
        <v>380.9954178449788</v>
      </c>
      <c r="O17" s="3">
        <v>3.964898812210828</v>
      </c>
      <c r="P17" s="4">
        <f>IF(N17=0,0,O17/N17)</f>
        <v>0</v>
      </c>
      <c r="R17" s="3">
        <v>3211.128079080749</v>
      </c>
      <c r="S17" s="3">
        <v>1106.318081752279</v>
      </c>
      <c r="T17" s="4">
        <f>IF(R17=0,0,S17/R17)</f>
        <v>0</v>
      </c>
      <c r="U17" s="3">
        <v>117876445.5371973</v>
      </c>
      <c r="V17" s="3">
        <v>5909428.329053834</v>
      </c>
      <c r="W17" s="4">
        <f>IF(U17=0,0,V17/U17)</f>
        <v>0</v>
      </c>
      <c r="X17" s="3">
        <v>4171603.138276804</v>
      </c>
      <c r="Y17" s="3">
        <v>27643.58890003292</v>
      </c>
      <c r="Z17" s="4">
        <f>IF(X17=0,0,Y17/X17)</f>
        <v>0</v>
      </c>
      <c r="AA17" s="3">
        <v>144164.2901724851</v>
      </c>
      <c r="AB17" s="3">
        <v>251.178909528302</v>
      </c>
      <c r="AC17" s="4">
        <f>IF(AA17=0,0,AB17/AA17)</f>
        <v>0</v>
      </c>
    </row>
    <row r="18" spans="1:29">
      <c r="B18" t="s">
        <v>33</v>
      </c>
      <c r="C18" s="3">
        <f>G18+E18</f>
        <v>0</v>
      </c>
      <c r="D18" s="3">
        <v>239.8485203759585</v>
      </c>
      <c r="E18" s="3">
        <v>43.14219718359905</v>
      </c>
      <c r="F18" s="4">
        <f>IF(D18=0,0,E18/D18)</f>
        <v>0</v>
      </c>
      <c r="G18" s="3">
        <f>I18+L18</f>
        <v>0</v>
      </c>
      <c r="H18" s="3">
        <v>3112.211854938035</v>
      </c>
      <c r="I18" s="3">
        <v>109.9352002503402</v>
      </c>
      <c r="J18" s="4">
        <f>IF(H18=0,0,I18/H18)</f>
        <v>0</v>
      </c>
      <c r="K18" s="3">
        <v>12351.2134831508</v>
      </c>
      <c r="L18" s="3">
        <v>12.84116686484776</v>
      </c>
      <c r="M18" s="4">
        <f>IF(K18=0,0,L18/K18)</f>
        <v>0</v>
      </c>
      <c r="N18" s="3">
        <v>348.5810464336233</v>
      </c>
      <c r="O18" s="3">
        <v>1.118708221598412</v>
      </c>
      <c r="P18" s="4">
        <f>IF(N18=0,0,O18/N18)</f>
        <v>0</v>
      </c>
      <c r="R18" s="3">
        <v>2666.226621377526</v>
      </c>
      <c r="S18" s="3">
        <v>479.5813393191988</v>
      </c>
      <c r="T18" s="4">
        <f>IF(R18=0,0,S18/R18)</f>
        <v>0</v>
      </c>
      <c r="U18" s="3">
        <v>108133914.5048333</v>
      </c>
      <c r="V18" s="3">
        <v>3152520.131594807</v>
      </c>
      <c r="W18" s="4">
        <f>IF(U18=0,0,V18/U18)</f>
        <v>0</v>
      </c>
      <c r="X18" s="3">
        <v>3758069.571457146</v>
      </c>
      <c r="Y18" s="3">
        <v>10855.1048464654</v>
      </c>
      <c r="Z18" s="4">
        <f>IF(X18=0,0,Y18/X18)</f>
        <v>0</v>
      </c>
      <c r="AA18" s="3">
        <v>137838.3028214017</v>
      </c>
      <c r="AB18" s="3">
        <v>142.6448128185584</v>
      </c>
      <c r="AC18" s="4">
        <f>IF(AA18=0,0,AB18/AA18)</f>
        <v>0</v>
      </c>
    </row>
    <row r="20" spans="1:29">
      <c r="A20" s="2" t="s">
        <v>35</v>
      </c>
    </row>
    <row r="21" spans="1:29">
      <c r="B21" t="s">
        <v>27</v>
      </c>
      <c r="C21" s="3">
        <f>C23+C24+C25+C26+C27</f>
        <v>0</v>
      </c>
      <c r="D21" s="3">
        <f>D23+D24+D25+D26+D27</f>
        <v>0</v>
      </c>
      <c r="E21" s="3">
        <f>E23+E24+E25+E26+E27</f>
        <v>0</v>
      </c>
      <c r="F21" s="4">
        <f>IF(D21=0,0,E21/D21)</f>
        <v>0</v>
      </c>
      <c r="G21" s="3">
        <f>G23+G24+G25+G26+G27</f>
        <v>0</v>
      </c>
      <c r="H21" s="3">
        <f>H23+H24+H25+H26+H27</f>
        <v>0</v>
      </c>
      <c r="I21" s="3">
        <f>I23+I24+I25+I26+I27</f>
        <v>0</v>
      </c>
      <c r="J21" s="4">
        <f>IF(H21=0,0,I21/H21)</f>
        <v>0</v>
      </c>
      <c r="K21" s="3">
        <f>K23+K24+K25+K26+K27</f>
        <v>0</v>
      </c>
      <c r="L21" s="3">
        <f>L23+L24+L25+L26+L27</f>
        <v>0</v>
      </c>
      <c r="M21" s="4">
        <f>IF(K21=0,0,L21/K21)</f>
        <v>0</v>
      </c>
      <c r="N21" s="3">
        <f>N23+N24+N25+N26+N27</f>
        <v>0</v>
      </c>
      <c r="O21" s="3">
        <f>O23+O24+O25+O26+O27</f>
        <v>0</v>
      </c>
      <c r="P21" s="4">
        <f>IF(N21=0,0,O21/N21)</f>
        <v>0</v>
      </c>
      <c r="R21" s="3">
        <f>R23+R24+R25+R26+R27</f>
        <v>0</v>
      </c>
      <c r="S21" s="3">
        <f>S23+S24+S25+S26+S27</f>
        <v>0</v>
      </c>
      <c r="T21" s="4">
        <f>IF(R21=0,0,S21/R21)</f>
        <v>0</v>
      </c>
      <c r="U21" s="3">
        <f>U23+U24+U25+U26+U27</f>
        <v>0</v>
      </c>
      <c r="V21" s="3">
        <f>V23+V24+V25+V26+V27</f>
        <v>0</v>
      </c>
      <c r="W21" s="4">
        <f>IF(U21=0,0,V21/U21)</f>
        <v>0</v>
      </c>
      <c r="X21" s="3">
        <f>X23+X24+X25+X26+X27</f>
        <v>0</v>
      </c>
      <c r="Y21" s="3">
        <f>Y23+Y24+Y25+Y26+Y27</f>
        <v>0</v>
      </c>
      <c r="Z21" s="4">
        <f>IF(X21=0,0,Y21/X21)</f>
        <v>0</v>
      </c>
      <c r="AA21" s="3">
        <f>AA23+AA24+AA25+AA26+AA27</f>
        <v>0</v>
      </c>
      <c r="AB21" s="3">
        <f>AB23+AB24+AB25+AB26+AB27</f>
        <v>0</v>
      </c>
      <c r="AC21" s="4">
        <f>IF(AA21=0,0,AB21/AA21)</f>
        <v>0</v>
      </c>
    </row>
    <row r="22" spans="1:29">
      <c r="A22" s="5" t="s">
        <v>28</v>
      </c>
    </row>
    <row r="23" spans="1:29">
      <c r="B23" t="s">
        <v>29</v>
      </c>
      <c r="C23" s="3">
        <f>G23+E23</f>
        <v>0</v>
      </c>
      <c r="D23" s="3">
        <v>428.0924408213336</v>
      </c>
      <c r="E23" s="3">
        <v>277.4814427955994</v>
      </c>
      <c r="F23" s="4">
        <f>IF(D23=0,0,E23/D23)</f>
        <v>0</v>
      </c>
      <c r="G23" s="3">
        <f>I23+L23</f>
        <v>0</v>
      </c>
      <c r="H23" s="3">
        <v>991.8205054212256</v>
      </c>
      <c r="I23" s="3">
        <v>166.9730500601802</v>
      </c>
      <c r="J23" s="4">
        <f>IF(H23=0,0,I23/H23)</f>
        <v>0</v>
      </c>
      <c r="K23" s="3">
        <v>18248.15090069409</v>
      </c>
      <c r="L23" s="3">
        <v>73.90757351603359</v>
      </c>
      <c r="M23" s="4">
        <f>IF(K23=0,0,L23/K23)</f>
        <v>0</v>
      </c>
      <c r="N23" s="3">
        <v>476.0481880235133</v>
      </c>
      <c r="O23" s="3">
        <v>13.77730805208051</v>
      </c>
      <c r="P23" s="4">
        <f>IF(N23=0,0,O23/N23)</f>
        <v>0</v>
      </c>
      <c r="R23" s="3">
        <v>4758.801348197649</v>
      </c>
      <c r="S23" s="3">
        <v>3084.565243763871</v>
      </c>
      <c r="T23" s="4">
        <f>IF(R23=0,0,S23/R23)</f>
        <v>0</v>
      </c>
      <c r="U23" s="3">
        <v>25699987.56061059</v>
      </c>
      <c r="V23" s="3">
        <v>3401420.686246444</v>
      </c>
      <c r="W23" s="4">
        <f>IF(U23=0,0,V23/U23)</f>
        <v>0</v>
      </c>
      <c r="X23" s="3">
        <v>1959206.361225823</v>
      </c>
      <c r="Y23" s="3">
        <v>65082.60829778411</v>
      </c>
      <c r="Z23" s="4">
        <f>IF(X23=0,0,Y23/X23)</f>
        <v>0</v>
      </c>
      <c r="AA23" s="3">
        <v>205054.6892807224</v>
      </c>
      <c r="AB23" s="3">
        <v>820.5198264132196</v>
      </c>
      <c r="AC23" s="4">
        <f>IF(AA23=0,0,AB23/AA23)</f>
        <v>0</v>
      </c>
    </row>
    <row r="24" spans="1:29">
      <c r="B24" t="s">
        <v>30</v>
      </c>
      <c r="C24" s="3">
        <f>G24+E24</f>
        <v>0</v>
      </c>
      <c r="D24" s="3">
        <v>437.751165497541</v>
      </c>
      <c r="E24" s="3">
        <v>273.770501668117</v>
      </c>
      <c r="F24" s="4">
        <f>IF(D24=0,0,E24/D24)</f>
        <v>0</v>
      </c>
      <c r="G24" s="3">
        <f>I24+L24</f>
        <v>0</v>
      </c>
      <c r="H24" s="3">
        <v>847.5293917044748</v>
      </c>
      <c r="I24" s="3">
        <v>153.3462496447697</v>
      </c>
      <c r="J24" s="4">
        <f>IF(H24=0,0,I24/H24)</f>
        <v>0</v>
      </c>
      <c r="K24" s="3">
        <v>18442.648959675</v>
      </c>
      <c r="L24" s="3">
        <v>61.55660439713299</v>
      </c>
      <c r="M24" s="4">
        <f>IF(K24=0,0,L24/K24)</f>
        <v>0</v>
      </c>
      <c r="N24" s="3">
        <v>476.5639382629005</v>
      </c>
      <c r="O24" s="3">
        <v>17.11333176183799</v>
      </c>
      <c r="P24" s="4">
        <f>IF(N24=0,0,O24/N24)</f>
        <v>0</v>
      </c>
      <c r="R24" s="3">
        <v>4866.170569487376</v>
      </c>
      <c r="S24" s="3">
        <v>3043.313331894874</v>
      </c>
      <c r="T24" s="4">
        <f>IF(R24=0,0,S24/R24)</f>
        <v>0</v>
      </c>
      <c r="U24" s="3">
        <v>23322467.60095111</v>
      </c>
      <c r="V24" s="3">
        <v>3423888.863861896</v>
      </c>
      <c r="W24" s="4">
        <f>IF(U24=0,0,V24/U24)</f>
        <v>0</v>
      </c>
      <c r="X24" s="3">
        <v>2033978.129974804</v>
      </c>
      <c r="Y24" s="3">
        <v>70352.46800465789</v>
      </c>
      <c r="Z24" s="4">
        <f>IF(X24=0,0,Y24/X24)</f>
        <v>0</v>
      </c>
      <c r="AA24" s="3">
        <v>207305.2882361168</v>
      </c>
      <c r="AB24" s="3">
        <v>683.7665220110794</v>
      </c>
      <c r="AC24" s="4">
        <f>IF(AA24=0,0,AB24/AA24)</f>
        <v>0</v>
      </c>
    </row>
    <row r="25" spans="1:29">
      <c r="B25" t="s">
        <v>31</v>
      </c>
      <c r="C25" s="3">
        <f>G25+E25</f>
        <v>0</v>
      </c>
      <c r="D25" s="3">
        <v>396.2852612841676</v>
      </c>
      <c r="E25" s="3">
        <v>214.2843575815982</v>
      </c>
      <c r="F25" s="4">
        <f>IF(D25=0,0,E25/D25)</f>
        <v>0</v>
      </c>
      <c r="G25" s="3">
        <f>I25+L25</f>
        <v>0</v>
      </c>
      <c r="H25" s="3">
        <v>721.6208038129823</v>
      </c>
      <c r="I25" s="3">
        <v>137.5109848284852</v>
      </c>
      <c r="J25" s="4">
        <f>IF(H25=0,0,I25/H25)</f>
        <v>0</v>
      </c>
      <c r="K25" s="3">
        <v>15355.96197556525</v>
      </c>
      <c r="L25" s="3">
        <v>36.00561252910085</v>
      </c>
      <c r="M25" s="4">
        <f>IF(K25=0,0,L25/K25)</f>
        <v>0</v>
      </c>
      <c r="N25" s="3">
        <v>391.5266582641886</v>
      </c>
      <c r="O25" s="3">
        <v>12.83719225678127</v>
      </c>
      <c r="P25" s="4">
        <f>IF(N25=0,0,O25/N25)</f>
        <v>0</v>
      </c>
      <c r="R25" s="3">
        <v>4405.223395329747</v>
      </c>
      <c r="S25" s="3">
        <v>2382.047876856971</v>
      </c>
      <c r="T25" s="4">
        <f>IF(R25=0,0,S25/R25)</f>
        <v>0</v>
      </c>
      <c r="U25" s="3">
        <v>21162807.84637517</v>
      </c>
      <c r="V25" s="3">
        <v>3337513.179638252</v>
      </c>
      <c r="W25" s="4">
        <f>IF(U25=0,0,V25/U25)</f>
        <v>0</v>
      </c>
      <c r="X25" s="3">
        <v>1664123.912966297</v>
      </c>
      <c r="Y25" s="3">
        <v>53910.80267246673</v>
      </c>
      <c r="Z25" s="4">
        <f>IF(X25=0,0,Y25/X25)</f>
        <v>0</v>
      </c>
      <c r="AA25" s="3">
        <v>172634.6152091868</v>
      </c>
      <c r="AB25" s="3">
        <v>399.6588818575838</v>
      </c>
      <c r="AC25" s="4">
        <f>IF(AA25=0,0,AB25/AA25)</f>
        <v>0</v>
      </c>
    </row>
    <row r="26" spans="1:29">
      <c r="B26" t="s">
        <v>32</v>
      </c>
      <c r="C26" s="3">
        <f>G26+E26</f>
        <v>0</v>
      </c>
      <c r="D26" s="3">
        <v>351.2667227071316</v>
      </c>
      <c r="E26" s="3">
        <v>169.09086715748</v>
      </c>
      <c r="F26" s="4">
        <f>IF(D26=0,0,E26/D26)</f>
        <v>0</v>
      </c>
      <c r="G26" s="3">
        <f>I26+L26</f>
        <v>0</v>
      </c>
      <c r="H26" s="3">
        <v>656.2360029629353</v>
      </c>
      <c r="I26" s="3">
        <v>131.2280987012676</v>
      </c>
      <c r="J26" s="4">
        <f>IF(H26=0,0,I26/H26)</f>
        <v>0</v>
      </c>
      <c r="K26" s="3">
        <v>12320.89391034633</v>
      </c>
      <c r="L26" s="3">
        <v>21.95304164142348</v>
      </c>
      <c r="M26" s="4">
        <f>IF(K26=0,0,L26/K26)</f>
        <v>0</v>
      </c>
      <c r="N26" s="3">
        <v>305.8977151284149</v>
      </c>
      <c r="O26" s="3">
        <v>8.875008555083362</v>
      </c>
      <c r="P26" s="4">
        <f>IF(N26=0,0,O26/N26)</f>
        <v>0</v>
      </c>
      <c r="R26" s="3">
        <v>3904.784093801182</v>
      </c>
      <c r="S26" s="3">
        <v>1879.66375919438</v>
      </c>
      <c r="T26" s="4">
        <f>IF(R26=0,0,S26/R26)</f>
        <v>0</v>
      </c>
      <c r="U26" s="3">
        <v>20232379.41165718</v>
      </c>
      <c r="V26" s="3">
        <v>3377261.96968253</v>
      </c>
      <c r="W26" s="4">
        <f>IF(U26=0,0,V26/U26)</f>
        <v>0</v>
      </c>
      <c r="X26" s="3">
        <v>1291512.272887179</v>
      </c>
      <c r="Y26" s="3">
        <v>35946.19136743061</v>
      </c>
      <c r="Z26" s="4">
        <f>IF(X26=0,0,Y26/X26)</f>
        <v>0</v>
      </c>
      <c r="AA26" s="3">
        <v>138538.5180813732</v>
      </c>
      <c r="AB26" s="3">
        <v>243.8237210272055</v>
      </c>
      <c r="AC26" s="4">
        <f>IF(AA26=0,0,AB26/AA26)</f>
        <v>0</v>
      </c>
    </row>
    <row r="27" spans="1:29">
      <c r="B27" t="s">
        <v>33</v>
      </c>
      <c r="C27" s="3">
        <f>G27+E27</f>
        <v>0</v>
      </c>
      <c r="D27" s="3">
        <v>308.5240905193169</v>
      </c>
      <c r="E27" s="3">
        <v>140.4756128853948</v>
      </c>
      <c r="F27" s="4">
        <f>IF(D27=0,0,E27/D27)</f>
        <v>0</v>
      </c>
      <c r="G27" s="3">
        <f>I27+L27</f>
        <v>0</v>
      </c>
      <c r="H27" s="3">
        <v>465.2285123766713</v>
      </c>
      <c r="I27" s="3">
        <v>103.1977001550724</v>
      </c>
      <c r="J27" s="4">
        <f>IF(H27=0,0,I27/H27)</f>
        <v>0</v>
      </c>
      <c r="K27" s="3">
        <v>10752.45040482439</v>
      </c>
      <c r="L27" s="3">
        <v>14.52551999851316</v>
      </c>
      <c r="M27" s="4">
        <f>IF(K27=0,0,L27/K27)</f>
        <v>0</v>
      </c>
      <c r="N27" s="3">
        <v>286.1372571560934</v>
      </c>
      <c r="O27" s="3">
        <v>7.29031820436957</v>
      </c>
      <c r="P27" s="4">
        <f>IF(N27=0,0,O27/N27)</f>
        <v>0</v>
      </c>
      <c r="R27" s="3">
        <v>3429.644436369622</v>
      </c>
      <c r="S27" s="3">
        <v>1561.568185379165</v>
      </c>
      <c r="T27" s="4">
        <f>IF(R27=0,0,S27/R27)</f>
        <v>0</v>
      </c>
      <c r="U27" s="3">
        <v>16252582.50407936</v>
      </c>
      <c r="V27" s="3">
        <v>3097271.060642572</v>
      </c>
      <c r="W27" s="4">
        <f>IF(U27=0,0,V27/U27)</f>
        <v>0</v>
      </c>
      <c r="X27" s="3">
        <v>1133183.161267315</v>
      </c>
      <c r="Y27" s="3">
        <v>32857.87752834521</v>
      </c>
      <c r="Z27" s="4">
        <f>IF(X27=0,0,Y27/X27)</f>
        <v>0</v>
      </c>
      <c r="AA27" s="3">
        <v>120916.4236699175</v>
      </c>
      <c r="AB27" s="3">
        <v>161.1356765049277</v>
      </c>
      <c r="AC27" s="4">
        <f>IF(AA27=0,0,AB27/AA27)</f>
        <v>0</v>
      </c>
    </row>
    <row r="29" spans="1:29">
      <c r="A29" s="2" t="s">
        <v>36</v>
      </c>
    </row>
    <row r="30" spans="1:29">
      <c r="B30" t="s">
        <v>27</v>
      </c>
      <c r="C30" s="3">
        <f>C32+C33+C34+C35+C36</f>
        <v>0</v>
      </c>
      <c r="D30" s="3">
        <f>D32+D33+D34+D35+D36</f>
        <v>0</v>
      </c>
      <c r="E30" s="3">
        <f>E32+E33+E34+E35+E36</f>
        <v>0</v>
      </c>
      <c r="F30" s="4">
        <f>IF(D30=0,0,E30/D30)</f>
        <v>0</v>
      </c>
      <c r="G30" s="3">
        <f>G32+G33+G34+G35+G36</f>
        <v>0</v>
      </c>
      <c r="H30" s="3">
        <f>H32+H33+H34+H35+H36</f>
        <v>0</v>
      </c>
      <c r="I30" s="3">
        <f>I32+I33+I34+I35+I36</f>
        <v>0</v>
      </c>
      <c r="J30" s="4">
        <f>IF(H30=0,0,I30/H30)</f>
        <v>0</v>
      </c>
      <c r="K30" s="3">
        <f>K32+K33+K34+K35+K36</f>
        <v>0</v>
      </c>
      <c r="L30" s="3">
        <f>L32+L33+L34+L35+L36</f>
        <v>0</v>
      </c>
      <c r="M30" s="4">
        <f>IF(K30=0,0,L30/K30)</f>
        <v>0</v>
      </c>
      <c r="N30" s="3">
        <f>N32+N33+N34+N35+N36</f>
        <v>0</v>
      </c>
      <c r="O30" s="3">
        <f>O32+O33+O34+O35+O36</f>
        <v>0</v>
      </c>
      <c r="P30" s="4">
        <f>IF(N30=0,0,O30/N30)</f>
        <v>0</v>
      </c>
      <c r="R30" s="3">
        <f>R32+R33+R34+R35+R36</f>
        <v>0</v>
      </c>
      <c r="S30" s="3">
        <f>S32+S33+S34+S35+S36</f>
        <v>0</v>
      </c>
      <c r="T30" s="4">
        <f>IF(R30=0,0,S30/R30)</f>
        <v>0</v>
      </c>
      <c r="U30" s="3">
        <f>U32+U33+U34+U35+U36</f>
        <v>0</v>
      </c>
      <c r="V30" s="3">
        <f>V32+V33+V34+V35+V36</f>
        <v>0</v>
      </c>
      <c r="W30" s="4">
        <f>IF(U30=0,0,V30/U30)</f>
        <v>0</v>
      </c>
      <c r="X30" s="3">
        <f>X32+X33+X34+X35+X36</f>
        <v>0</v>
      </c>
      <c r="Y30" s="3">
        <f>Y32+Y33+Y34+Y35+Y36</f>
        <v>0</v>
      </c>
      <c r="Z30" s="4">
        <f>IF(X30=0,0,Y30/X30)</f>
        <v>0</v>
      </c>
      <c r="AA30" s="3">
        <f>AA32+AA33+AA34+AA35+AA36</f>
        <v>0</v>
      </c>
      <c r="AB30" s="3">
        <f>AB32+AB33+AB34+AB35+AB36</f>
        <v>0</v>
      </c>
      <c r="AC30" s="4">
        <f>IF(AA30=0,0,AB30/AA30)</f>
        <v>0</v>
      </c>
    </row>
    <row r="31" spans="1:29">
      <c r="A31" s="5" t="s">
        <v>28</v>
      </c>
    </row>
    <row r="32" spans="1:29">
      <c r="B32" t="s">
        <v>29</v>
      </c>
      <c r="C32" s="3">
        <f>G32+E32</f>
        <v>0</v>
      </c>
      <c r="D32" s="3">
        <v>158.0163635061618</v>
      </c>
      <c r="E32" s="3">
        <v>71.12054726642127</v>
      </c>
      <c r="F32" s="4">
        <f>IF(D32=0,0,E32/D32)</f>
        <v>0</v>
      </c>
      <c r="G32" s="3">
        <f>I32+L32</f>
        <v>0</v>
      </c>
      <c r="H32" s="3">
        <v>0</v>
      </c>
      <c r="I32" s="3">
        <v>0</v>
      </c>
      <c r="J32" s="4">
        <f>IF(H32=0,0,I32/H32)</f>
        <v>0</v>
      </c>
      <c r="K32" s="3">
        <v>0</v>
      </c>
      <c r="L32" s="3">
        <v>0</v>
      </c>
      <c r="M32" s="4">
        <f>IF(K32=0,0,L32/K32)</f>
        <v>0</v>
      </c>
      <c r="N32" s="3">
        <v>0</v>
      </c>
      <c r="O32" s="3">
        <v>0</v>
      </c>
      <c r="P32" s="4">
        <f>IF(N32=0,0,O32/N32)</f>
        <v>0</v>
      </c>
      <c r="R32" s="3">
        <v>1756.556322853292</v>
      </c>
      <c r="S32" s="3">
        <v>790.5968990404418</v>
      </c>
      <c r="T32" s="4">
        <f>IF(R32=0,0,S32/R32)</f>
        <v>0</v>
      </c>
      <c r="U32" s="3">
        <v>0</v>
      </c>
      <c r="V32" s="3">
        <v>0</v>
      </c>
      <c r="W32" s="4">
        <f>IF(U32=0,0,V32/U32)</f>
        <v>0</v>
      </c>
      <c r="X32" s="3">
        <v>0</v>
      </c>
      <c r="Y32" s="3">
        <v>0</v>
      </c>
      <c r="Z32" s="4">
        <f>IF(X32=0,0,Y32/X32)</f>
        <v>0</v>
      </c>
      <c r="AA32" s="3">
        <v>0</v>
      </c>
      <c r="AB32" s="3">
        <v>0</v>
      </c>
      <c r="AC32" s="4">
        <f>IF(AA32=0,0,AB32/AA32)</f>
        <v>0</v>
      </c>
    </row>
    <row r="33" spans="1:29">
      <c r="B33" t="s">
        <v>30</v>
      </c>
      <c r="C33" s="3">
        <f>G33+E33</f>
        <v>0</v>
      </c>
      <c r="D33" s="3">
        <v>150.3097053238197</v>
      </c>
      <c r="E33" s="3">
        <v>64.21837985347172</v>
      </c>
      <c r="F33" s="4">
        <f>IF(D33=0,0,E33/D33)</f>
        <v>0</v>
      </c>
      <c r="G33" s="3">
        <f>I33+L33</f>
        <v>0</v>
      </c>
      <c r="H33" s="3">
        <v>0</v>
      </c>
      <c r="I33" s="3">
        <v>0</v>
      </c>
      <c r="J33" s="4">
        <f>IF(H33=0,0,I33/H33)</f>
        <v>0</v>
      </c>
      <c r="K33" s="3">
        <v>0</v>
      </c>
      <c r="L33" s="3">
        <v>0</v>
      </c>
      <c r="M33" s="4">
        <f>IF(K33=0,0,L33/K33)</f>
        <v>0</v>
      </c>
      <c r="N33" s="3">
        <v>0</v>
      </c>
      <c r="O33" s="3">
        <v>0</v>
      </c>
      <c r="P33" s="4">
        <f>IF(N33=0,0,O33/N33)</f>
        <v>0</v>
      </c>
      <c r="R33" s="3">
        <v>1670.886846237763</v>
      </c>
      <c r="S33" s="3">
        <v>713.8703781815071</v>
      </c>
      <c r="T33" s="4">
        <f>IF(R33=0,0,S33/R33)</f>
        <v>0</v>
      </c>
      <c r="U33" s="3">
        <v>0</v>
      </c>
      <c r="V33" s="3">
        <v>0</v>
      </c>
      <c r="W33" s="4">
        <f>IF(U33=0,0,V33/U33)</f>
        <v>0</v>
      </c>
      <c r="X33" s="3">
        <v>0</v>
      </c>
      <c r="Y33" s="3">
        <v>0</v>
      </c>
      <c r="Z33" s="4">
        <f>IF(X33=0,0,Y33/X33)</f>
        <v>0</v>
      </c>
      <c r="AA33" s="3">
        <v>0</v>
      </c>
      <c r="AB33" s="3">
        <v>0</v>
      </c>
      <c r="AC33" s="4">
        <f>IF(AA33=0,0,AB33/AA33)</f>
        <v>0</v>
      </c>
    </row>
    <row r="34" spans="1:29">
      <c r="B34" t="s">
        <v>31</v>
      </c>
      <c r="C34" s="3">
        <f>G34+E34</f>
        <v>0</v>
      </c>
      <c r="D34" s="3">
        <v>136.8081181206467</v>
      </c>
      <c r="E34" s="3">
        <v>63.50419089781865</v>
      </c>
      <c r="F34" s="4">
        <f>IF(D34=0,0,E34/D34)</f>
        <v>0</v>
      </c>
      <c r="G34" s="3">
        <f>I34+L34</f>
        <v>0</v>
      </c>
      <c r="H34" s="3">
        <v>0</v>
      </c>
      <c r="I34" s="3">
        <v>0</v>
      </c>
      <c r="J34" s="4">
        <f>IF(H34=0,0,I34/H34)</f>
        <v>0</v>
      </c>
      <c r="K34" s="3">
        <v>0</v>
      </c>
      <c r="L34" s="3">
        <v>0</v>
      </c>
      <c r="M34" s="4">
        <f>IF(K34=0,0,L34/K34)</f>
        <v>0</v>
      </c>
      <c r="N34" s="3">
        <v>0</v>
      </c>
      <c r="O34" s="3">
        <v>0</v>
      </c>
      <c r="P34" s="4">
        <f>IF(N34=0,0,O34/N34)</f>
        <v>0</v>
      </c>
      <c r="R34" s="3">
        <v>1520.799236043115</v>
      </c>
      <c r="S34" s="3">
        <v>705.931243917634</v>
      </c>
      <c r="T34" s="4">
        <f>IF(R34=0,0,S34/R34)</f>
        <v>0</v>
      </c>
      <c r="U34" s="3">
        <v>0</v>
      </c>
      <c r="V34" s="3">
        <v>0</v>
      </c>
      <c r="W34" s="4">
        <f>IF(U34=0,0,V34/U34)</f>
        <v>0</v>
      </c>
      <c r="X34" s="3">
        <v>0</v>
      </c>
      <c r="Y34" s="3">
        <v>0</v>
      </c>
      <c r="Z34" s="4">
        <f>IF(X34=0,0,Y34/X34)</f>
        <v>0</v>
      </c>
      <c r="AA34" s="3">
        <v>0</v>
      </c>
      <c r="AB34" s="3">
        <v>0</v>
      </c>
      <c r="AC34" s="4">
        <f>IF(AA34=0,0,AB34/AA34)</f>
        <v>0</v>
      </c>
    </row>
    <row r="35" spans="1:29">
      <c r="B35" t="s">
        <v>32</v>
      </c>
      <c r="C35" s="3">
        <f>G35+E35</f>
        <v>0</v>
      </c>
      <c r="D35" s="3">
        <v>120.5584202478013</v>
      </c>
      <c r="E35" s="3">
        <v>28.61946098787946</v>
      </c>
      <c r="F35" s="4">
        <f>IF(D35=0,0,E35/D35)</f>
        <v>0</v>
      </c>
      <c r="G35" s="3">
        <f>I35+L35</f>
        <v>0</v>
      </c>
      <c r="H35" s="3">
        <v>0</v>
      </c>
      <c r="I35" s="3">
        <v>0</v>
      </c>
      <c r="J35" s="4">
        <f>IF(H35=0,0,I35/H35)</f>
        <v>0</v>
      </c>
      <c r="K35" s="3">
        <v>0</v>
      </c>
      <c r="L35" s="3">
        <v>0</v>
      </c>
      <c r="M35" s="4">
        <f>IF(K35=0,0,L35/K35)</f>
        <v>0</v>
      </c>
      <c r="N35" s="3">
        <v>0</v>
      </c>
      <c r="O35" s="3">
        <v>0</v>
      </c>
      <c r="P35" s="4">
        <f>IF(N35=0,0,O35/N35)</f>
        <v>0</v>
      </c>
      <c r="R35" s="3">
        <v>1340.162820233627</v>
      </c>
      <c r="S35" s="3">
        <v>318.14233690394</v>
      </c>
      <c r="T35" s="4">
        <f>IF(R35=0,0,S35/R35)</f>
        <v>0</v>
      </c>
      <c r="U35" s="3">
        <v>0</v>
      </c>
      <c r="V35" s="3">
        <v>0</v>
      </c>
      <c r="W35" s="4">
        <f>IF(U35=0,0,V35/U35)</f>
        <v>0</v>
      </c>
      <c r="X35" s="3">
        <v>0</v>
      </c>
      <c r="Y35" s="3">
        <v>0</v>
      </c>
      <c r="Z35" s="4">
        <f>IF(X35=0,0,Y35/X35)</f>
        <v>0</v>
      </c>
      <c r="AA35" s="3">
        <v>0</v>
      </c>
      <c r="AB35" s="3">
        <v>0</v>
      </c>
      <c r="AC35" s="4">
        <f>IF(AA35=0,0,AB35/AA35)</f>
        <v>0</v>
      </c>
    </row>
    <row r="36" spans="1:29">
      <c r="B36" t="s">
        <v>33</v>
      </c>
      <c r="C36" s="3">
        <f>G36+E36</f>
        <v>0</v>
      </c>
      <c r="D36" s="3">
        <v>95.10852578518319</v>
      </c>
      <c r="E36" s="3">
        <v>17.66967513098351</v>
      </c>
      <c r="F36" s="4">
        <f>IF(D36=0,0,E36/D36)</f>
        <v>0</v>
      </c>
      <c r="G36" s="3">
        <f>I36+L36</f>
        <v>0</v>
      </c>
      <c r="H36" s="3">
        <v>0</v>
      </c>
      <c r="I36" s="3">
        <v>0</v>
      </c>
      <c r="J36" s="4">
        <f>IF(H36=0,0,I36/H36)</f>
        <v>0</v>
      </c>
      <c r="K36" s="3">
        <v>0</v>
      </c>
      <c r="L36" s="3">
        <v>0</v>
      </c>
      <c r="M36" s="4">
        <f>IF(K36=0,0,L36/K36)</f>
        <v>0</v>
      </c>
      <c r="N36" s="3">
        <v>0</v>
      </c>
      <c r="O36" s="3">
        <v>0</v>
      </c>
      <c r="P36" s="4">
        <f>IF(N36=0,0,O36/N36)</f>
        <v>0</v>
      </c>
      <c r="R36" s="3">
        <v>1057.254316061414</v>
      </c>
      <c r="S36" s="3">
        <v>196.4213002084581</v>
      </c>
      <c r="T36" s="4">
        <f>IF(R36=0,0,S36/R36)</f>
        <v>0</v>
      </c>
      <c r="U36" s="3">
        <v>0</v>
      </c>
      <c r="V36" s="3">
        <v>0</v>
      </c>
      <c r="W36" s="4">
        <f>IF(U36=0,0,V36/U36)</f>
        <v>0</v>
      </c>
      <c r="X36" s="3">
        <v>0</v>
      </c>
      <c r="Y36" s="3">
        <v>0</v>
      </c>
      <c r="Z36" s="4">
        <f>IF(X36=0,0,Y36/X36)</f>
        <v>0</v>
      </c>
      <c r="AA36" s="3">
        <v>0</v>
      </c>
      <c r="AB36" s="3">
        <v>0</v>
      </c>
      <c r="AC36" s="4">
        <f>IF(AA36=0,0,AB36/AA36)</f>
        <v>0</v>
      </c>
    </row>
    <row r="38" spans="1:29">
      <c r="A38" s="2" t="s">
        <v>37</v>
      </c>
    </row>
    <row r="39" spans="1:29">
      <c r="B39" t="s">
        <v>27</v>
      </c>
      <c r="C39" s="3">
        <f>C41+C42+C43+C44+C45</f>
        <v>0</v>
      </c>
      <c r="D39" s="3">
        <f>D41+D42+D43+D44+D45</f>
        <v>0</v>
      </c>
      <c r="E39" s="3">
        <f>E41+E42+E43+E44+E45</f>
        <v>0</v>
      </c>
      <c r="F39" s="4">
        <f>IF(D39=0,0,E39/D39)</f>
        <v>0</v>
      </c>
      <c r="G39" s="3">
        <f>G41+G42+G43+G44+G45</f>
        <v>0</v>
      </c>
      <c r="H39" s="3">
        <f>H41+H42+H43+H44+H45</f>
        <v>0</v>
      </c>
      <c r="I39" s="3">
        <f>I41+I42+I43+I44+I45</f>
        <v>0</v>
      </c>
      <c r="J39" s="4">
        <f>IF(H39=0,0,I39/H39)</f>
        <v>0</v>
      </c>
      <c r="K39" s="3">
        <f>K41+K42+K43+K44+K45</f>
        <v>0</v>
      </c>
      <c r="L39" s="3">
        <f>L41+L42+L43+L44+L45</f>
        <v>0</v>
      </c>
      <c r="M39" s="4">
        <f>IF(K39=0,0,L39/K39)</f>
        <v>0</v>
      </c>
      <c r="N39" s="3">
        <f>N41+N42+N43+N44+N45</f>
        <v>0</v>
      </c>
      <c r="O39" s="3">
        <f>O41+O42+O43+O44+O45</f>
        <v>0</v>
      </c>
      <c r="P39" s="4">
        <f>IF(N39=0,0,O39/N39)</f>
        <v>0</v>
      </c>
      <c r="R39" s="3">
        <f>R41+R42+R43+R44+R45</f>
        <v>0</v>
      </c>
      <c r="S39" s="3">
        <f>S41+S42+S43+S44+S45</f>
        <v>0</v>
      </c>
      <c r="T39" s="4">
        <f>IF(R39=0,0,S39/R39)</f>
        <v>0</v>
      </c>
      <c r="U39" s="3">
        <f>U41+U42+U43+U44+U45</f>
        <v>0</v>
      </c>
      <c r="V39" s="3">
        <f>V41+V42+V43+V44+V45</f>
        <v>0</v>
      </c>
      <c r="W39" s="4">
        <f>IF(U39=0,0,V39/U39)</f>
        <v>0</v>
      </c>
      <c r="X39" s="3">
        <f>X41+X42+X43+X44+X45</f>
        <v>0</v>
      </c>
      <c r="Y39" s="3">
        <f>Y41+Y42+Y43+Y44+Y45</f>
        <v>0</v>
      </c>
      <c r="Z39" s="4">
        <f>IF(X39=0,0,Y39/X39)</f>
        <v>0</v>
      </c>
      <c r="AA39" s="3">
        <f>AA41+AA42+AA43+AA44+AA45</f>
        <v>0</v>
      </c>
      <c r="AB39" s="3">
        <f>AB41+AB42+AB43+AB44+AB45</f>
        <v>0</v>
      </c>
      <c r="AC39" s="4">
        <f>IF(AA39=0,0,AB39/AA39)</f>
        <v>0</v>
      </c>
    </row>
    <row r="40" spans="1:29">
      <c r="A40" s="5" t="s">
        <v>28</v>
      </c>
    </row>
    <row r="41" spans="1:29">
      <c r="B41" t="s">
        <v>29</v>
      </c>
      <c r="C41" s="3">
        <f>G41+E41</f>
        <v>0</v>
      </c>
      <c r="D41" s="3">
        <v>158.0163635061618</v>
      </c>
      <c r="E41" s="3">
        <v>128.6268341827941</v>
      </c>
      <c r="F41" s="4">
        <f>IF(D41=0,0,E41/D41)</f>
        <v>0</v>
      </c>
      <c r="G41" s="3">
        <f>I41+L41</f>
        <v>0</v>
      </c>
      <c r="H41" s="3">
        <v>0</v>
      </c>
      <c r="I41" s="3">
        <v>0</v>
      </c>
      <c r="J41" s="4">
        <f>IF(H41=0,0,I41/H41)</f>
        <v>0</v>
      </c>
      <c r="K41" s="3">
        <v>0</v>
      </c>
      <c r="L41" s="3">
        <v>0</v>
      </c>
      <c r="M41" s="4">
        <f>IF(K41=0,0,L41/K41)</f>
        <v>0</v>
      </c>
      <c r="N41" s="3">
        <v>0</v>
      </c>
      <c r="O41" s="3">
        <v>0</v>
      </c>
      <c r="P41" s="4">
        <f>IF(N41=0,0,O41/N41)</f>
        <v>0</v>
      </c>
      <c r="R41" s="3">
        <v>1756.556322853292</v>
      </c>
      <c r="S41" s="3">
        <v>1429.853680081547</v>
      </c>
      <c r="T41" s="4">
        <f>IF(R41=0,0,S41/R41)</f>
        <v>0</v>
      </c>
      <c r="U41" s="3">
        <v>0</v>
      </c>
      <c r="V41" s="3">
        <v>0</v>
      </c>
      <c r="W41" s="4">
        <f>IF(U41=0,0,V41/U41)</f>
        <v>0</v>
      </c>
      <c r="X41" s="3">
        <v>0</v>
      </c>
      <c r="Y41" s="3">
        <v>0</v>
      </c>
      <c r="Z41" s="4">
        <f>IF(X41=0,0,Y41/X41)</f>
        <v>0</v>
      </c>
      <c r="AA41" s="3">
        <v>0</v>
      </c>
      <c r="AB41" s="3">
        <v>0</v>
      </c>
      <c r="AC41" s="4">
        <f>IF(AA41=0,0,AB41/AA41)</f>
        <v>0</v>
      </c>
    </row>
    <row r="42" spans="1:29">
      <c r="B42" t="s">
        <v>30</v>
      </c>
      <c r="C42" s="3">
        <f>G42+E42</f>
        <v>0</v>
      </c>
      <c r="D42" s="3">
        <v>150.3097053238197</v>
      </c>
      <c r="E42" s="3">
        <v>119.8057513836579</v>
      </c>
      <c r="F42" s="4">
        <f>IF(D42=0,0,E42/D42)</f>
        <v>0</v>
      </c>
      <c r="G42" s="3">
        <f>I42+L42</f>
        <v>0</v>
      </c>
      <c r="H42" s="3">
        <v>0</v>
      </c>
      <c r="I42" s="3">
        <v>0</v>
      </c>
      <c r="J42" s="4">
        <f>IF(H42=0,0,I42/H42)</f>
        <v>0</v>
      </c>
      <c r="K42" s="3">
        <v>0</v>
      </c>
      <c r="L42" s="3">
        <v>0</v>
      </c>
      <c r="M42" s="4">
        <f>IF(K42=0,0,L42/K42)</f>
        <v>0</v>
      </c>
      <c r="N42" s="3">
        <v>0</v>
      </c>
      <c r="O42" s="3">
        <v>0</v>
      </c>
      <c r="P42" s="4">
        <f>IF(N42=0,0,O42/N42)</f>
        <v>0</v>
      </c>
      <c r="R42" s="3">
        <v>1670.886846237763</v>
      </c>
      <c r="S42" s="3">
        <v>1331.795932001357</v>
      </c>
      <c r="T42" s="4">
        <f>IF(R42=0,0,S42/R42)</f>
        <v>0</v>
      </c>
      <c r="U42" s="3">
        <v>0</v>
      </c>
      <c r="V42" s="3">
        <v>0</v>
      </c>
      <c r="W42" s="4">
        <f>IF(U42=0,0,V42/U42)</f>
        <v>0</v>
      </c>
      <c r="X42" s="3">
        <v>0</v>
      </c>
      <c r="Y42" s="3">
        <v>0</v>
      </c>
      <c r="Z42" s="4">
        <f>IF(X42=0,0,Y42/X42)</f>
        <v>0</v>
      </c>
      <c r="AA42" s="3">
        <v>0</v>
      </c>
      <c r="AB42" s="3">
        <v>0</v>
      </c>
      <c r="AC42" s="4">
        <f>IF(AA42=0,0,AB42/AA42)</f>
        <v>0</v>
      </c>
    </row>
    <row r="43" spans="1:29">
      <c r="B43" t="s">
        <v>31</v>
      </c>
      <c r="C43" s="3">
        <f>G43+E43</f>
        <v>0</v>
      </c>
      <c r="D43" s="3">
        <v>136.8081181206467</v>
      </c>
      <c r="E43" s="3">
        <v>112.711691144088</v>
      </c>
      <c r="F43" s="4">
        <f>IF(D43=0,0,E43/D43)</f>
        <v>0</v>
      </c>
      <c r="G43" s="3">
        <f>I43+L43</f>
        <v>0</v>
      </c>
      <c r="H43" s="3">
        <v>0</v>
      </c>
      <c r="I43" s="3">
        <v>0</v>
      </c>
      <c r="J43" s="4">
        <f>IF(H43=0,0,I43/H43)</f>
        <v>0</v>
      </c>
      <c r="K43" s="3">
        <v>0</v>
      </c>
      <c r="L43" s="3">
        <v>0</v>
      </c>
      <c r="M43" s="4">
        <f>IF(K43=0,0,L43/K43)</f>
        <v>0</v>
      </c>
      <c r="N43" s="3">
        <v>0</v>
      </c>
      <c r="O43" s="3">
        <v>0</v>
      </c>
      <c r="P43" s="4">
        <f>IF(N43=0,0,O43/N43)</f>
        <v>0</v>
      </c>
      <c r="R43" s="3">
        <v>1520.799236043115</v>
      </c>
      <c r="S43" s="3">
        <v>1252.936274102491</v>
      </c>
      <c r="T43" s="4">
        <f>IF(R43=0,0,S43/R43)</f>
        <v>0</v>
      </c>
      <c r="U43" s="3">
        <v>0</v>
      </c>
      <c r="V43" s="3">
        <v>0</v>
      </c>
      <c r="W43" s="4">
        <f>IF(U43=0,0,V43/U43)</f>
        <v>0</v>
      </c>
      <c r="X43" s="3">
        <v>0</v>
      </c>
      <c r="Y43" s="3">
        <v>0</v>
      </c>
      <c r="Z43" s="4">
        <f>IF(X43=0,0,Y43/X43)</f>
        <v>0</v>
      </c>
      <c r="AA43" s="3">
        <v>0</v>
      </c>
      <c r="AB43" s="3">
        <v>0</v>
      </c>
      <c r="AC43" s="4">
        <f>IF(AA43=0,0,AB43/AA43)</f>
        <v>0</v>
      </c>
    </row>
    <row r="44" spans="1:29">
      <c r="B44" t="s">
        <v>32</v>
      </c>
      <c r="C44" s="3">
        <f>G44+E44</f>
        <v>0</v>
      </c>
      <c r="D44" s="3">
        <v>120.5584202478013</v>
      </c>
      <c r="E44" s="3">
        <v>71.38879362468384</v>
      </c>
      <c r="F44" s="4">
        <f>IF(D44=0,0,E44/D44)</f>
        <v>0</v>
      </c>
      <c r="G44" s="3">
        <f>I44+L44</f>
        <v>0</v>
      </c>
      <c r="H44" s="3">
        <v>0</v>
      </c>
      <c r="I44" s="3">
        <v>0</v>
      </c>
      <c r="J44" s="4">
        <f>IF(H44=0,0,I44/H44)</f>
        <v>0</v>
      </c>
      <c r="K44" s="3">
        <v>0</v>
      </c>
      <c r="L44" s="3">
        <v>0</v>
      </c>
      <c r="M44" s="4">
        <f>IF(K44=0,0,L44/K44)</f>
        <v>0</v>
      </c>
      <c r="N44" s="3">
        <v>0</v>
      </c>
      <c r="O44" s="3">
        <v>0</v>
      </c>
      <c r="P44" s="4">
        <f>IF(N44=0,0,O44/N44)</f>
        <v>0</v>
      </c>
      <c r="R44" s="3">
        <v>1340.162820233627</v>
      </c>
      <c r="S44" s="3">
        <v>793.5788043712153</v>
      </c>
      <c r="T44" s="4">
        <f>IF(R44=0,0,S44/R44)</f>
        <v>0</v>
      </c>
      <c r="U44" s="3">
        <v>0</v>
      </c>
      <c r="V44" s="3">
        <v>0</v>
      </c>
      <c r="W44" s="4">
        <f>IF(U44=0,0,V44/U44)</f>
        <v>0</v>
      </c>
      <c r="X44" s="3">
        <v>0</v>
      </c>
      <c r="Y44" s="3">
        <v>0</v>
      </c>
      <c r="Z44" s="4">
        <f>IF(X44=0,0,Y44/X44)</f>
        <v>0</v>
      </c>
      <c r="AA44" s="3">
        <v>0</v>
      </c>
      <c r="AB44" s="3">
        <v>0</v>
      </c>
      <c r="AC44" s="4">
        <f>IF(AA44=0,0,AB44/AA44)</f>
        <v>0</v>
      </c>
    </row>
    <row r="45" spans="1:29">
      <c r="B45" t="s">
        <v>33</v>
      </c>
      <c r="C45" s="3">
        <f>G45+E45</f>
        <v>0</v>
      </c>
      <c r="D45" s="3">
        <v>95.10852578518319</v>
      </c>
      <c r="E45" s="3">
        <v>48.30456152387401</v>
      </c>
      <c r="F45" s="4">
        <f>IF(D45=0,0,E45/D45)</f>
        <v>0</v>
      </c>
      <c r="G45" s="3">
        <f>I45+L45</f>
        <v>0</v>
      </c>
      <c r="H45" s="3">
        <v>0</v>
      </c>
      <c r="I45" s="3">
        <v>0</v>
      </c>
      <c r="J45" s="4">
        <f>IF(H45=0,0,I45/H45)</f>
        <v>0</v>
      </c>
      <c r="K45" s="3">
        <v>0</v>
      </c>
      <c r="L45" s="3">
        <v>0</v>
      </c>
      <c r="M45" s="4">
        <f>IF(K45=0,0,L45/K45)</f>
        <v>0</v>
      </c>
      <c r="N45" s="3">
        <v>0</v>
      </c>
      <c r="O45" s="3">
        <v>0</v>
      </c>
      <c r="P45" s="4">
        <f>IF(N45=0,0,O45/N45)</f>
        <v>0</v>
      </c>
      <c r="R45" s="3">
        <v>1057.254316061414</v>
      </c>
      <c r="S45" s="3">
        <v>536.9676980581071</v>
      </c>
      <c r="T45" s="4">
        <f>IF(R45=0,0,S45/R45)</f>
        <v>0</v>
      </c>
      <c r="U45" s="3">
        <v>0</v>
      </c>
      <c r="V45" s="3">
        <v>0</v>
      </c>
      <c r="W45" s="4">
        <f>IF(U45=0,0,V45/U45)</f>
        <v>0</v>
      </c>
      <c r="X45" s="3">
        <v>0</v>
      </c>
      <c r="Y45" s="3">
        <v>0</v>
      </c>
      <c r="Z45" s="4">
        <f>IF(X45=0,0,Y45/X45)</f>
        <v>0</v>
      </c>
      <c r="AA45" s="3">
        <v>0</v>
      </c>
      <c r="AB45" s="3">
        <v>0</v>
      </c>
      <c r="AC45" s="4">
        <f>IF(AA45=0,0,AB45/AA45)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Model Results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2024-08-16T09:52:26Z</dcterms:created>
  <dcterms:modified xsi:type="dcterms:W3CDTF">2024-08-16T09:52:26Z</dcterms:modified>
</cp:coreProperties>
</file>