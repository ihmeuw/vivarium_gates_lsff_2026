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sharedStrings.xml><?xml version="1.0" encoding="utf-8"?>
<sst xmlns="http://schemas.openxmlformats.org/spreadsheetml/2006/main" count="58" uniqueCount="37">
  <si>
    <t>DALYs Averted by Fortification (1000s)</t>
  </si>
  <si>
    <t>Baseline NTD DALYs (1000s)</t>
  </si>
  <si>
    <t>NTD DALYs Averted by Folate Fortification (1000s)</t>
  </si>
  <si>
    <t>NTD DALYs Averted by Folate Fortification (%)</t>
  </si>
  <si>
    <t>DALYs Averted by Iron Fortification (1000s)</t>
  </si>
  <si>
    <t>Baseline Anemia DALYs (1000s)</t>
  </si>
  <si>
    <t>Anemia DALYs Averted by Iron Fortification (1000s)</t>
  </si>
  <si>
    <t>Anemia DALYs Averted by Iron Fortification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</si>
  <si>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</si>
  <si>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</si>
  <si>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</si>
  <si>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</si>
  <si>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</si>
  <si>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</si>
  <si>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</si>
  <si>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</si>
  <si>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</si>
  <si>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</si>
  <si>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</si>
  <si>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</si>
  <si>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</si>
  <si>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</si>
  <si>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</si>
  <si>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</si>
  <si>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</si>
  <si>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</si>
  <si>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</t>
  </si>
  <si>
    <t>National</t>
  </si>
  <si>
    <t>Wealth quintile</t>
  </si>
  <si>
    <t>Poorest</t>
  </si>
  <si>
    <t>Second</t>
  </si>
  <si>
    <t>Third</t>
  </si>
  <si>
    <t>Fourth</t>
  </si>
  <si>
    <t>Wealthiest</t>
  </si>
  <si>
    <t>Nigeria -- Bouillon</t>
  </si>
  <si>
    <t>Ethiopia -- Salt -- 25% NRV scenario</t>
  </si>
  <si>
    <t>Ethiopia -- Salt -- 100% NRV scenario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</si>
</sst>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3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29" width="15.7109375" customWidth="1"/>
  </cols>
  <sheetData>
    <row r="1" spans="1:29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/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</row>
    <row r="2" spans="1:29">
      <c r="A2" s="2" t="s">
        <v>26</v>
      </c>
    </row>
    <row r="3" spans="1:29">
      <c r="B3" t="s">
        <v>27</v>
      </c>
      <c r="C3" s="3">
        <f>C5+C6+C7+C8+C9</f>
        <v>0</v>
      </c>
      <c r="D3" s="3">
        <f>D5+D6+D7+D8+D9</f>
        <v>0</v>
      </c>
      <c r="E3" s="3">
        <f>E5+E6+E7+E8+E9</f>
        <v>0</v>
      </c>
      <c r="F3" s="4">
        <f>IF(D3=0,0,E3/D3)</f>
        <v>0</v>
      </c>
      <c r="G3" s="3">
        <f>G5+G6+G7+G8+G9</f>
        <v>0</v>
      </c>
      <c r="H3" s="3">
        <f>H5+H6+H7+H8+H9</f>
        <v>0</v>
      </c>
      <c r="I3" s="3">
        <f>I5+I6+I7+I8+I9</f>
        <v>0</v>
      </c>
      <c r="J3" s="4">
        <f>IF(H3=0,0,I3/H3)</f>
        <v>0</v>
      </c>
      <c r="K3" s="3">
        <f>K5+K6+K7+K8+K9</f>
        <v>0</v>
      </c>
      <c r="L3" s="3">
        <f>L5+L6+L7+L8+L9</f>
        <v>0</v>
      </c>
      <c r="M3" s="4">
        <f>IF(K3=0,0,L3/K3)</f>
        <v>0</v>
      </c>
      <c r="N3" s="3">
        <f>N5+N6+N7+N8+N9</f>
        <v>0</v>
      </c>
      <c r="O3" s="3">
        <f>O5+O6+O7+O8+O9</f>
        <v>0</v>
      </c>
      <c r="P3" s="4">
        <f>IF(N3=0,0,O3/N3)</f>
        <v>0</v>
      </c>
      <c r="R3" s="3">
        <f>R5+R6+R7+R8+R9</f>
        <v>0</v>
      </c>
      <c r="S3" s="3">
        <f>S5+S6+S7+S8+S9</f>
        <v>0</v>
      </c>
      <c r="T3" s="4">
        <f>IF(R3=0,0,S3/R3)</f>
        <v>0</v>
      </c>
      <c r="U3" s="3">
        <f>U5+U6+U7+U8+U9</f>
        <v>0</v>
      </c>
      <c r="V3" s="3">
        <f>V5+V6+V7+V8+V9</f>
        <v>0</v>
      </c>
      <c r="W3" s="4">
        <f>IF(U3=0,0,V3/U3)</f>
        <v>0</v>
      </c>
      <c r="X3" s="3">
        <f>X5+X6+X7+X8+X9</f>
        <v>0</v>
      </c>
      <c r="Y3" s="3">
        <f>Y5+Y6+Y7+Y8+Y9</f>
        <v>0</v>
      </c>
      <c r="Z3" s="4">
        <f>IF(X3=0,0,Y3/X3)</f>
        <v>0</v>
      </c>
      <c r="AA3" s="3">
        <f>AA5+AA6+AA7+AA8+AA9</f>
        <v>0</v>
      </c>
      <c r="AB3" s="3">
        <f>AB5+AB6+AB7+AB8+AB9</f>
        <v>0</v>
      </c>
      <c r="AC3" s="4">
        <f>IF(AA3=0,0,AB3/AA3)</f>
        <v>0</v>
      </c>
    </row>
    <row r="4" spans="1:29">
      <c r="A4" s="5" t="s">
        <v>28</v>
      </c>
    </row>
    <row r="5" spans="1:29">
      <c r="B5" t="s">
        <v>29</v>
      </c>
      <c r="C5" s="3">
        <f>G5+E5</f>
        <v>0</v>
      </c>
      <c r="D5" s="3">
        <v>368.7779317350958</v>
      </c>
      <c r="E5" s="3">
        <v>10.53672340834292</v>
      </c>
      <c r="F5" s="4">
        <f>IF(D5=0,0,E5/D5)</f>
        <v>0</v>
      </c>
      <c r="G5" s="3">
        <f>I5+L5</f>
        <v>0</v>
      </c>
      <c r="H5" s="3">
        <v>4215.730704357139</v>
      </c>
      <c r="I5" s="3">
        <v>118.9813543839259</v>
      </c>
      <c r="J5" s="4">
        <f>IF(H5=0,0,I5/H5)</f>
        <v>0</v>
      </c>
      <c r="K5" s="3">
        <v>18367.05260805592</v>
      </c>
      <c r="L5" s="3">
        <v>16.74649303728342</v>
      </c>
      <c r="M5" s="4">
        <f>IF(K5=0,0,L5/K5)</f>
        <v>0</v>
      </c>
      <c r="N5" s="3">
        <v>602.723533875153</v>
      </c>
      <c r="O5" s="3">
        <v>4.054708675039234</v>
      </c>
      <c r="P5" s="4">
        <f>IF(N5=0,0,O5/N5)</f>
        <v>0</v>
      </c>
      <c r="R5" s="3">
        <v>4099.443838250223</v>
      </c>
      <c r="S5" s="3">
        <v>117.1293131572374</v>
      </c>
      <c r="T5" s="4">
        <f>IF(R5=0,0,S5/R5)</f>
        <v>0</v>
      </c>
      <c r="U5" s="3">
        <v>130509518.8965754</v>
      </c>
      <c r="V5" s="3">
        <v>2872257.213180438</v>
      </c>
      <c r="W5" s="4">
        <f>IF(U5=0,0,V5/U5)</f>
        <v>0</v>
      </c>
      <c r="X5" s="3">
        <v>6062085.746126193</v>
      </c>
      <c r="Y5" s="3">
        <v>25593.90429423284</v>
      </c>
      <c r="Z5" s="4">
        <f>IF(X5=0,0,Y5/X5)</f>
        <v>0</v>
      </c>
      <c r="AA5" s="3">
        <v>204967.3848039123</v>
      </c>
      <c r="AB5" s="3">
        <v>186.1295257214806</v>
      </c>
      <c r="AC5" s="4">
        <f>IF(AA5=0,0,AB5/AA5)</f>
        <v>0</v>
      </c>
    </row>
    <row r="6" spans="1:29">
      <c r="B6" t="s">
        <v>30</v>
      </c>
      <c r="C6" s="3">
        <f>G6+E6</f>
        <v>0</v>
      </c>
      <c r="D6" s="3">
        <v>325.7768159126353</v>
      </c>
      <c r="E6" s="3">
        <v>7.881771382752806</v>
      </c>
      <c r="F6" s="4">
        <f>IF(D6=0,0,E6/D6)</f>
        <v>0</v>
      </c>
      <c r="G6" s="3">
        <f>I6+L6</f>
        <v>0</v>
      </c>
      <c r="H6" s="3">
        <v>3777.473828196873</v>
      </c>
      <c r="I6" s="3">
        <v>112.715768145238</v>
      </c>
      <c r="J6" s="4">
        <f>IF(H6=0,0,I6/H6)</f>
        <v>0</v>
      </c>
      <c r="K6" s="3">
        <v>15636.78451316213</v>
      </c>
      <c r="L6" s="3">
        <v>17.44815776869468</v>
      </c>
      <c r="M6" s="4">
        <f>IF(K6=0,0,L6/K6)</f>
        <v>0</v>
      </c>
      <c r="N6" s="3">
        <v>445.674872329564</v>
      </c>
      <c r="O6" s="3">
        <v>1.889383942019602</v>
      </c>
      <c r="P6" s="4">
        <f>IF(N6=0,0,O6/N6)</f>
        <v>0</v>
      </c>
      <c r="R6" s="3">
        <v>3621.430800791958</v>
      </c>
      <c r="S6" s="3">
        <v>87.61608640056147</v>
      </c>
      <c r="T6" s="4">
        <f>IF(R6=0,0,S6/R6)</f>
        <v>0</v>
      </c>
      <c r="U6" s="3">
        <v>120910967.4225396</v>
      </c>
      <c r="V6" s="3">
        <v>2876947.794226632</v>
      </c>
      <c r="W6" s="4">
        <f>IF(U6=0,0,V6/U6)</f>
        <v>0</v>
      </c>
      <c r="X6" s="3">
        <v>5129029.281875497</v>
      </c>
      <c r="Y6" s="3">
        <v>17820.3086280236</v>
      </c>
      <c r="Z6" s="4">
        <f>IF(X6=0,0,Y6/X6)</f>
        <v>0</v>
      </c>
      <c r="AA6" s="3">
        <v>174488.6749670143</v>
      </c>
      <c r="AB6" s="3">
        <v>193.8849226265738</v>
      </c>
      <c r="AC6" s="4">
        <f>IF(AA6=0,0,AB6/AA6)</f>
        <v>0</v>
      </c>
    </row>
    <row r="7" spans="1:29">
      <c r="B7" t="s">
        <v>31</v>
      </c>
      <c r="C7" s="3">
        <f>G7+E7</f>
        <v>0</v>
      </c>
      <c r="D7" s="3">
        <v>292.4710148857868</v>
      </c>
      <c r="E7" s="3">
        <v>7.691711461490311</v>
      </c>
      <c r="F7" s="4">
        <f>IF(D7=0,0,E7/D7)</f>
        <v>0</v>
      </c>
      <c r="G7" s="3">
        <f>I7+L7</f>
        <v>0</v>
      </c>
      <c r="H7" s="3">
        <v>3688.087081954603</v>
      </c>
      <c r="I7" s="3">
        <v>123.1179680366367</v>
      </c>
      <c r="J7" s="4">
        <f>IF(H7=0,0,I7/H7)</f>
        <v>0</v>
      </c>
      <c r="K7" s="3">
        <v>13693.37026678165</v>
      </c>
      <c r="L7" s="3">
        <v>10.4685867157355</v>
      </c>
      <c r="M7" s="4">
        <f>IF(K7=0,0,L7/K7)</f>
        <v>0</v>
      </c>
      <c r="N7" s="3">
        <v>388.4928119130532</v>
      </c>
      <c r="O7" s="3">
        <v>0.9890586275432725</v>
      </c>
      <c r="P7" s="4">
        <f>IF(N7=0,0,O7/N7)</f>
        <v>0</v>
      </c>
      <c r="R7" s="3">
        <v>3251.193731141111</v>
      </c>
      <c r="S7" s="3">
        <v>85.50332447510664</v>
      </c>
      <c r="T7" s="4">
        <f>IF(R7=0,0,S7/R7)</f>
        <v>0</v>
      </c>
      <c r="U7" s="3">
        <v>118271541.270356</v>
      </c>
      <c r="V7" s="3">
        <v>3176330.554177761</v>
      </c>
      <c r="W7" s="4">
        <f>IF(U7=0,0,V7/U7)</f>
        <v>0</v>
      </c>
      <c r="X7" s="3">
        <v>4604932.220767017</v>
      </c>
      <c r="Y7" s="3">
        <v>18991.77863361035</v>
      </c>
      <c r="Z7" s="4">
        <f>IF(X7=0,0,Y7/X7)</f>
        <v>0</v>
      </c>
      <c r="AA7" s="3">
        <v>152827.8514111731</v>
      </c>
      <c r="AB7" s="3">
        <v>116.3309535759327</v>
      </c>
      <c r="AC7" s="4">
        <f>IF(AA7=0,0,AB7/AA7)</f>
        <v>0</v>
      </c>
    </row>
    <row r="8" spans="1:29">
      <c r="B8" t="s">
        <v>32</v>
      </c>
      <c r="C8" s="3">
        <f>G8+E8</f>
        <v>0</v>
      </c>
      <c r="D8" s="3">
        <v>275.7857535085588</v>
      </c>
      <c r="E8" s="3">
        <v>7.987716178795963</v>
      </c>
      <c r="F8" s="4">
        <f>IF(D8=0,0,E8/D8)</f>
        <v>0</v>
      </c>
      <c r="G8" s="3">
        <f>I8+L8</f>
        <v>0</v>
      </c>
      <c r="H8" s="3">
        <v>3375.436137550097</v>
      </c>
      <c r="I8" s="3">
        <v>128.5203130386155</v>
      </c>
      <c r="J8" s="4">
        <f>IF(H8=0,0,I8/H8)</f>
        <v>0</v>
      </c>
      <c r="K8" s="3">
        <v>12886.8720107881</v>
      </c>
      <c r="L8" s="3">
        <v>16.74805096432939</v>
      </c>
      <c r="M8" s="4">
        <f>IF(K8=0,0,L8/K8)</f>
        <v>0</v>
      </c>
      <c r="N8" s="3">
        <v>382.886151730466</v>
      </c>
      <c r="O8" s="3">
        <v>1.749840284965408</v>
      </c>
      <c r="P8" s="4">
        <f>IF(N8=0,0,O8/N8)</f>
        <v>0</v>
      </c>
      <c r="R8" s="3">
        <v>3065.715463445835</v>
      </c>
      <c r="S8" s="3">
        <v>88.79379988056962</v>
      </c>
      <c r="T8" s="4">
        <f>IF(R8=0,0,S8/R8)</f>
        <v>0</v>
      </c>
      <c r="U8" s="3">
        <v>111762037.5112148</v>
      </c>
      <c r="V8" s="3">
        <v>3449005.090112239</v>
      </c>
      <c r="W8" s="4">
        <f>IF(U8=0,0,V8/U8)</f>
        <v>0</v>
      </c>
      <c r="X8" s="3">
        <v>4144404.863140484</v>
      </c>
      <c r="Y8" s="3">
        <v>18813.34280494507</v>
      </c>
      <c r="Z8" s="4">
        <f>IF(X8=0,0,Y8/X8)</f>
        <v>0</v>
      </c>
      <c r="AA8" s="3">
        <v>143816.0802074898</v>
      </c>
      <c r="AB8" s="3">
        <v>186.1295257215097</v>
      </c>
      <c r="AC8" s="4">
        <f>IF(AA8=0,0,AB8/AA8)</f>
        <v>0</v>
      </c>
    </row>
    <row r="9" spans="1:29">
      <c r="B9" t="s">
        <v>33</v>
      </c>
      <c r="C9" s="3">
        <f>G9+E9</f>
        <v>0</v>
      </c>
      <c r="D9" s="3">
        <v>234.8751494878222</v>
      </c>
      <c r="E9" s="3">
        <v>7.249304823501734</v>
      </c>
      <c r="F9" s="4">
        <f>IF(D9=0,0,E9/D9)</f>
        <v>0</v>
      </c>
      <c r="G9" s="3">
        <f>I9+L9</f>
        <v>0</v>
      </c>
      <c r="H9" s="3">
        <v>2992.230493641957</v>
      </c>
      <c r="I9" s="3">
        <v>160.7145394885247</v>
      </c>
      <c r="J9" s="4">
        <f>IF(H9=0,0,I9/H9)</f>
        <v>0</v>
      </c>
      <c r="K9" s="3">
        <v>12470.81768021362</v>
      </c>
      <c r="L9" s="3">
        <v>23.02624794000387</v>
      </c>
      <c r="M9" s="4">
        <f>IF(K9=0,0,L9/K9)</f>
        <v>0</v>
      </c>
      <c r="N9" s="3">
        <v>344.0439161278404</v>
      </c>
      <c r="O9" s="3">
        <v>2.446559066214075</v>
      </c>
      <c r="P9" s="4">
        <f>IF(N9=0,0,O9/N9)</f>
        <v>0</v>
      </c>
      <c r="R9" s="3">
        <v>2610.941169379957</v>
      </c>
      <c r="S9" s="3">
        <v>80.58540230560584</v>
      </c>
      <c r="T9" s="4">
        <f>IF(R9=0,0,S9/R9)</f>
        <v>0</v>
      </c>
      <c r="U9" s="3">
        <v>104823691.0247258</v>
      </c>
      <c r="V9" s="3">
        <v>4602159.557820752</v>
      </c>
      <c r="W9" s="4">
        <f>IF(U9=0,0,V9/U9)</f>
        <v>0</v>
      </c>
      <c r="X9" s="3">
        <v>3748285.081582674</v>
      </c>
      <c r="Y9" s="3">
        <v>19356.40837044874</v>
      </c>
      <c r="Z9" s="4">
        <f>IF(X9=0,0,Y9/X9)</f>
        <v>0</v>
      </c>
      <c r="AA9" s="3">
        <v>139178.3528582621</v>
      </c>
      <c r="AB9" s="3">
        <v>255.9280978670868</v>
      </c>
      <c r="AC9" s="4">
        <f>IF(AA9=0,0,AB9/AA9)</f>
        <v>0</v>
      </c>
    </row>
    <row r="11" spans="1:29">
      <c r="A11" s="2" t="s">
        <v>34</v>
      </c>
    </row>
    <row r="12" spans="1:29">
      <c r="B12" t="s">
        <v>27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4">
        <f>IF(D12=0,0,E12/D12)</f>
        <v>0</v>
      </c>
      <c r="G12" s="3">
        <f>G14+G15+G16+G17+G18</f>
        <v>0</v>
      </c>
      <c r="H12" s="3">
        <f>H14+H15+H16+H17+H18</f>
        <v>0</v>
      </c>
      <c r="I12" s="3">
        <f>I14+I15+I16+I17+I18</f>
        <v>0</v>
      </c>
      <c r="J12" s="4">
        <f>IF(H12=0,0,I12/H12)</f>
        <v>0</v>
      </c>
      <c r="K12" s="3">
        <f>K14+K15+K16+K17+K18</f>
        <v>0</v>
      </c>
      <c r="L12" s="3">
        <f>L14+L15+L16+L17+L18</f>
        <v>0</v>
      </c>
      <c r="M12" s="4">
        <f>IF(K12=0,0,L12/K12)</f>
        <v>0</v>
      </c>
      <c r="N12" s="3">
        <f>N14+N15+N16+N17+N18</f>
        <v>0</v>
      </c>
      <c r="O12" s="3">
        <f>O14+O15+O16+O17+O18</f>
        <v>0</v>
      </c>
      <c r="P12" s="4">
        <f>IF(N12=0,0,O12/N12)</f>
        <v>0</v>
      </c>
      <c r="R12" s="3">
        <f>R14+R15+R16+R17+R18</f>
        <v>0</v>
      </c>
      <c r="S12" s="3">
        <f>S14+S15+S16+S17+S18</f>
        <v>0</v>
      </c>
      <c r="T12" s="4">
        <f>IF(R12=0,0,S12/R12)</f>
        <v>0</v>
      </c>
      <c r="U12" s="3">
        <f>U14+U15+U16+U17+U18</f>
        <v>0</v>
      </c>
      <c r="V12" s="3">
        <f>V14+V15+V16+V17+V18</f>
        <v>0</v>
      </c>
      <c r="W12" s="4">
        <f>IF(U12=0,0,V12/U12)</f>
        <v>0</v>
      </c>
      <c r="X12" s="3">
        <f>X14+X15+X16+X17+X18</f>
        <v>0</v>
      </c>
      <c r="Y12" s="3">
        <f>Y14+Y15+Y16+Y17+Y18</f>
        <v>0</v>
      </c>
      <c r="Z12" s="4">
        <f>IF(X12=0,0,Y12/X12)</f>
        <v>0</v>
      </c>
      <c r="AA12" s="3">
        <f>AA14+AA15+AA16+AA17+AA18</f>
        <v>0</v>
      </c>
      <c r="AB12" s="3">
        <f>AB14+AB15+AB16+AB17+AB18</f>
        <v>0</v>
      </c>
      <c r="AC12" s="4">
        <f>IF(AA12=0,0,AB12/AA12)</f>
        <v>0</v>
      </c>
    </row>
    <row r="13" spans="1:29">
      <c r="A13" s="5" t="s">
        <v>28</v>
      </c>
    </row>
    <row r="14" spans="1:29">
      <c r="B14" t="s">
        <v>29</v>
      </c>
      <c r="C14" s="3">
        <f>G14+E14</f>
        <v>0</v>
      </c>
      <c r="D14" s="3">
        <v>428.0924408213336</v>
      </c>
      <c r="E14" s="3">
        <v>249.12438048141</v>
      </c>
      <c r="F14" s="4">
        <f>IF(D14=0,0,E14/D14)</f>
        <v>0</v>
      </c>
      <c r="G14" s="3">
        <f>I14+L14</f>
        <v>0</v>
      </c>
      <c r="H14" s="3">
        <v>991.9326740961291</v>
      </c>
      <c r="I14" s="3">
        <v>36.41836802902422</v>
      </c>
      <c r="J14" s="4">
        <f>IF(H14=0,0,I14/H14)</f>
        <v>0</v>
      </c>
      <c r="K14" s="3">
        <v>18225.00843371854</v>
      </c>
      <c r="L14" s="3">
        <v>4.921364925887436</v>
      </c>
      <c r="M14" s="4">
        <f>IF(K14=0,0,L14/K14)</f>
        <v>0</v>
      </c>
      <c r="N14" s="3">
        <v>468.505725229538</v>
      </c>
      <c r="O14" s="3">
        <v>4.689002487240709</v>
      </c>
      <c r="P14" s="4">
        <f>IF(N14=0,0,O14/N14)</f>
        <v>0</v>
      </c>
      <c r="R14" s="3">
        <v>4758.801348197649</v>
      </c>
      <c r="S14" s="3">
        <v>2769.339807610912</v>
      </c>
      <c r="T14" s="4">
        <f>IF(R14=0,0,S14/R14)</f>
        <v>0</v>
      </c>
      <c r="U14" s="3">
        <v>25700944.37123785</v>
      </c>
      <c r="V14" s="3">
        <v>727362.824932497</v>
      </c>
      <c r="W14" s="4">
        <f>IF(U14=0,0,V14/U14)</f>
        <v>0</v>
      </c>
      <c r="X14" s="3">
        <v>1962537.540404589</v>
      </c>
      <c r="Y14" s="3">
        <v>23499.07757195481</v>
      </c>
      <c r="Z14" s="4">
        <f>IF(X14=0,0,Y14/X14)</f>
        <v>0</v>
      </c>
      <c r="AA14" s="3">
        <v>204792.0198515002</v>
      </c>
      <c r="AB14" s="3">
        <v>47.7123525410716</v>
      </c>
      <c r="AC14" s="4">
        <f>IF(AA14=0,0,AB14/AA14)</f>
        <v>0</v>
      </c>
    </row>
    <row r="15" spans="1:29">
      <c r="B15" t="s">
        <v>30</v>
      </c>
      <c r="C15" s="3">
        <f>G15+E15</f>
        <v>0</v>
      </c>
      <c r="D15" s="3">
        <v>437.751165497541</v>
      </c>
      <c r="E15" s="3">
        <v>244.4490171225181</v>
      </c>
      <c r="F15" s="4">
        <f>IF(D15=0,0,E15/D15)</f>
        <v>0</v>
      </c>
      <c r="G15" s="3">
        <f>I15+L15</f>
        <v>0</v>
      </c>
      <c r="H15" s="3">
        <v>847.5697922454619</v>
      </c>
      <c r="I15" s="3">
        <v>26.5088363795043</v>
      </c>
      <c r="J15" s="4">
        <f>IF(H15=0,0,I15/H15)</f>
        <v>0</v>
      </c>
      <c r="K15" s="3">
        <v>18306.71309818952</v>
      </c>
      <c r="L15" s="3">
        <v>23.33385579464212</v>
      </c>
      <c r="M15" s="4">
        <f>IF(K15=0,0,L15/K15)</f>
        <v>0</v>
      </c>
      <c r="N15" s="3">
        <v>486.6952620594456</v>
      </c>
      <c r="O15" s="3">
        <v>4.561548304791097</v>
      </c>
      <c r="P15" s="4">
        <f>IF(N15=0,0,O15/N15)</f>
        <v>0</v>
      </c>
      <c r="R15" s="3">
        <v>4866.170569487376</v>
      </c>
      <c r="S15" s="3">
        <v>2717.367094864755</v>
      </c>
      <c r="T15" s="4">
        <f>IF(R15=0,0,S15/R15)</f>
        <v>0</v>
      </c>
      <c r="U15" s="3">
        <v>23323341.47390844</v>
      </c>
      <c r="V15" s="3">
        <v>576831.9466178194</v>
      </c>
      <c r="W15" s="4">
        <f>IF(U15=0,0,V15/U15)</f>
        <v>0</v>
      </c>
      <c r="X15" s="3">
        <v>2036749.340160769</v>
      </c>
      <c r="Y15" s="3">
        <v>22388.15423869877</v>
      </c>
      <c r="Z15" s="4">
        <f>IF(X15=0,0,Y15/X15)</f>
        <v>0</v>
      </c>
      <c r="AA15" s="3">
        <v>205783.3765098546</v>
      </c>
      <c r="AB15" s="3">
        <v>262.4179389761412</v>
      </c>
      <c r="AC15" s="4">
        <f>IF(AA15=0,0,AB15/AA15)</f>
        <v>0</v>
      </c>
    </row>
    <row r="16" spans="1:29">
      <c r="B16" t="s">
        <v>31</v>
      </c>
      <c r="C16" s="3">
        <f>G16+E16</f>
        <v>0</v>
      </c>
      <c r="D16" s="3">
        <v>396.2852612841676</v>
      </c>
      <c r="E16" s="3">
        <v>187.6287060634514</v>
      </c>
      <c r="F16" s="4">
        <f>IF(D16=0,0,E16/D16)</f>
        <v>0</v>
      </c>
      <c r="G16" s="3">
        <f>I16+L16</f>
        <v>0</v>
      </c>
      <c r="H16" s="3">
        <v>721.6761835622739</v>
      </c>
      <c r="I16" s="3">
        <v>17.63372237944941</v>
      </c>
      <c r="J16" s="4">
        <f>IF(H16=0,0,I16/H16)</f>
        <v>0</v>
      </c>
      <c r="K16" s="3">
        <v>15360.75472314655</v>
      </c>
      <c r="L16" s="3">
        <v>5.790889710061252</v>
      </c>
      <c r="M16" s="4">
        <f>IF(K16=0,0,L16/K16)</f>
        <v>0</v>
      </c>
      <c r="N16" s="3">
        <v>385.285383089702</v>
      </c>
      <c r="O16" s="3">
        <v>2.633761694896733</v>
      </c>
      <c r="P16" s="4">
        <f>IF(N16=0,0,O16/N16)</f>
        <v>0</v>
      </c>
      <c r="R16" s="3">
        <v>4405.223395329747</v>
      </c>
      <c r="S16" s="3">
        <v>2085.735822997126</v>
      </c>
      <c r="T16" s="4">
        <f>IF(R16=0,0,S16/R16)</f>
        <v>0</v>
      </c>
      <c r="U16" s="3">
        <v>21163035.90408313</v>
      </c>
      <c r="V16" s="3">
        <v>417987.704574652</v>
      </c>
      <c r="W16" s="4">
        <f>IF(U16=0,0,V16/U16)</f>
        <v>0</v>
      </c>
      <c r="X16" s="3">
        <v>1666064.184315407</v>
      </c>
      <c r="Y16" s="3">
        <v>15587.39445396839</v>
      </c>
      <c r="Z16" s="4">
        <f>IF(X16=0,0,Y16/X16)</f>
        <v>0</v>
      </c>
      <c r="AA16" s="3">
        <v>172676.3052188213</v>
      </c>
      <c r="AB16" s="3">
        <v>63.61647005481063</v>
      </c>
      <c r="AC16" s="4">
        <f>IF(AA16=0,0,AB16/AA16)</f>
        <v>0</v>
      </c>
    </row>
    <row r="17" spans="1:29">
      <c r="B17" t="s">
        <v>32</v>
      </c>
      <c r="C17" s="3">
        <f>G17+E17</f>
        <v>0</v>
      </c>
      <c r="D17" s="3">
        <v>351.2667227071316</v>
      </c>
      <c r="E17" s="3">
        <v>146.138253298218</v>
      </c>
      <c r="F17" s="4">
        <f>IF(D17=0,0,E17/D17)</f>
        <v>0</v>
      </c>
      <c r="G17" s="3">
        <f>I17+L17</f>
        <v>0</v>
      </c>
      <c r="H17" s="3">
        <v>656.1664648442955</v>
      </c>
      <c r="I17" s="3">
        <v>13.75356092839781</v>
      </c>
      <c r="J17" s="4">
        <f>IF(H17=0,0,I17/H17)</f>
        <v>0</v>
      </c>
      <c r="K17" s="3">
        <v>12223.94362535708</v>
      </c>
      <c r="L17" s="3">
        <v>0.9649793527405709</v>
      </c>
      <c r="M17" s="4">
        <f>IF(K17=0,0,L17/K17)</f>
        <v>0</v>
      </c>
      <c r="N17" s="3">
        <v>311.3008186886712</v>
      </c>
      <c r="O17" s="3">
        <v>3.089215811335773</v>
      </c>
      <c r="P17" s="4">
        <f>IF(N17=0,0,O17/N17)</f>
        <v>0</v>
      </c>
      <c r="R17" s="3">
        <v>3904.784093801182</v>
      </c>
      <c r="S17" s="3">
        <v>1624.515759924516</v>
      </c>
      <c r="T17" s="4">
        <f>IF(R17=0,0,S17/R17)</f>
        <v>0</v>
      </c>
      <c r="U17" s="3">
        <v>20232439.6446418</v>
      </c>
      <c r="V17" s="3">
        <v>345883.5480074994</v>
      </c>
      <c r="W17" s="4">
        <f>IF(U17=0,0,V17/U17)</f>
        <v>0</v>
      </c>
      <c r="X17" s="3">
        <v>1286905.255264588</v>
      </c>
      <c r="Y17" s="3">
        <v>9666.888957164483</v>
      </c>
      <c r="Z17" s="4">
        <f>IF(X17=0,0,Y17/X17)</f>
        <v>0</v>
      </c>
      <c r="AA17" s="3">
        <v>137459.2876709694</v>
      </c>
      <c r="AB17" s="3">
        <v>10.60274500912055</v>
      </c>
      <c r="AC17" s="4">
        <f>IF(AA17=0,0,AB17/AA17)</f>
        <v>0</v>
      </c>
    </row>
    <row r="18" spans="1:29">
      <c r="B18" t="s">
        <v>33</v>
      </c>
      <c r="C18" s="3">
        <f>G18+E18</f>
        <v>0</v>
      </c>
      <c r="D18" s="3">
        <v>308.5240905193169</v>
      </c>
      <c r="E18" s="3">
        <v>120.7319890001669</v>
      </c>
      <c r="F18" s="4">
        <f>IF(D18=0,0,E18/D18)</f>
        <v>0</v>
      </c>
      <c r="G18" s="3">
        <f>I18+L18</f>
        <v>0</v>
      </c>
      <c r="H18" s="3">
        <v>465.1657394263269</v>
      </c>
      <c r="I18" s="3">
        <v>7.916025146308763</v>
      </c>
      <c r="J18" s="4">
        <f>IF(H18=0,0,I18/H18)</f>
        <v>0</v>
      </c>
      <c r="K18" s="3">
        <v>10669.60932752884</v>
      </c>
      <c r="L18" s="3">
        <v>5.813870379880071</v>
      </c>
      <c r="M18" s="4">
        <f>IF(K18=0,0,L18/K18)</f>
        <v>0</v>
      </c>
      <c r="N18" s="3">
        <v>273.760820562702</v>
      </c>
      <c r="O18" s="3">
        <v>1.160600260777283</v>
      </c>
      <c r="P18" s="4">
        <f>IF(N18=0,0,O18/N18)</f>
        <v>0</v>
      </c>
      <c r="R18" s="3">
        <v>3429.644436369622</v>
      </c>
      <c r="S18" s="3">
        <v>1342.092261480424</v>
      </c>
      <c r="T18" s="4">
        <f>IF(R18=0,0,S18/R18)</f>
        <v>0</v>
      </c>
      <c r="U18" s="3">
        <v>16252177.52164648</v>
      </c>
      <c r="V18" s="3">
        <v>232758.9962643813</v>
      </c>
      <c r="W18" s="4">
        <f>IF(U18=0,0,V18/U18)</f>
        <v>0</v>
      </c>
      <c r="X18" s="3">
        <v>1130575.275370917</v>
      </c>
      <c r="Y18" s="3">
        <v>7076.502091791481</v>
      </c>
      <c r="Z18" s="4">
        <f>IF(X18=0,0,Y18/X18)</f>
        <v>0</v>
      </c>
      <c r="AA18" s="3">
        <v>119991.2652684146</v>
      </c>
      <c r="AB18" s="3">
        <v>66.26715630709077</v>
      </c>
      <c r="AC18" s="4">
        <f>IF(AA18=0,0,AB18/AA18)</f>
        <v>0</v>
      </c>
    </row>
    <row r="20" spans="1:29">
      <c r="A20" s="2" t="s">
        <v>35</v>
      </c>
    </row>
    <row r="21" spans="1:29">
      <c r="B21" t="s">
        <v>27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4">
        <f>IF(D21=0,0,E21/D21)</f>
        <v>0</v>
      </c>
      <c r="G21" s="3">
        <f>G23+G24+G25+G26+G27</f>
        <v>0</v>
      </c>
      <c r="H21" s="3">
        <f>H23+H24+H25+H26+H27</f>
        <v>0</v>
      </c>
      <c r="I21" s="3">
        <f>I23+I24+I25+I26+I27</f>
        <v>0</v>
      </c>
      <c r="J21" s="4">
        <f>IF(H21=0,0,I21/H21)</f>
        <v>0</v>
      </c>
      <c r="K21" s="3">
        <f>K23+K24+K25+K26+K27</f>
        <v>0</v>
      </c>
      <c r="L21" s="3">
        <f>L23+L24+L25+L26+L27</f>
        <v>0</v>
      </c>
      <c r="M21" s="4">
        <f>IF(K21=0,0,L21/K21)</f>
        <v>0</v>
      </c>
      <c r="N21" s="3">
        <f>N23+N24+N25+N26+N27</f>
        <v>0</v>
      </c>
      <c r="O21" s="3">
        <f>O23+O24+O25+O26+O27</f>
        <v>0</v>
      </c>
      <c r="P21" s="4">
        <f>IF(N21=0,0,O21/N21)</f>
        <v>0</v>
      </c>
      <c r="R21" s="3">
        <f>R23+R24+R25+R26+R27</f>
        <v>0</v>
      </c>
      <c r="S21" s="3">
        <f>S23+S24+S25+S26+S27</f>
        <v>0</v>
      </c>
      <c r="T21" s="4">
        <f>IF(R21=0,0,S21/R21)</f>
        <v>0</v>
      </c>
      <c r="U21" s="3">
        <f>U23+U24+U25+U26+U27</f>
        <v>0</v>
      </c>
      <c r="V21" s="3">
        <f>V23+V24+V25+V26+V27</f>
        <v>0</v>
      </c>
      <c r="W21" s="4">
        <f>IF(U21=0,0,V21/U21)</f>
        <v>0</v>
      </c>
      <c r="X21" s="3">
        <f>X23+X24+X25+X26+X27</f>
        <v>0</v>
      </c>
      <c r="Y21" s="3">
        <f>Y23+Y24+Y25+Y26+Y27</f>
        <v>0</v>
      </c>
      <c r="Z21" s="4">
        <f>IF(X21=0,0,Y21/X21)</f>
        <v>0</v>
      </c>
      <c r="AA21" s="3">
        <f>AA23+AA24+AA25+AA26+AA27</f>
        <v>0</v>
      </c>
      <c r="AB21" s="3">
        <f>AB23+AB24+AB25+AB26+AB27</f>
        <v>0</v>
      </c>
      <c r="AC21" s="4">
        <f>IF(AA21=0,0,AB21/AA21)</f>
        <v>0</v>
      </c>
    </row>
    <row r="22" spans="1:29">
      <c r="A22" s="5" t="s">
        <v>28</v>
      </c>
    </row>
    <row r="23" spans="1:29">
      <c r="B23" t="s">
        <v>29</v>
      </c>
      <c r="C23" s="3">
        <f>G23+E23</f>
        <v>0</v>
      </c>
      <c r="D23" s="3">
        <v>158.0163635061618</v>
      </c>
      <c r="E23" s="3">
        <v>66.01271276401599</v>
      </c>
      <c r="F23" s="4">
        <f>IF(D23=0,0,E23/D23)</f>
        <v>0</v>
      </c>
      <c r="G23" s="3">
        <f>I23+L23</f>
        <v>0</v>
      </c>
      <c r="H23" s="3">
        <v>0</v>
      </c>
      <c r="I23" s="3">
        <v>0</v>
      </c>
      <c r="J23" s="4">
        <f>IF(H23=0,0,I23/H23)</f>
        <v>0</v>
      </c>
      <c r="K23" s="3">
        <v>0</v>
      </c>
      <c r="L23" s="3">
        <v>0</v>
      </c>
      <c r="M23" s="4">
        <f>IF(K23=0,0,L23/K23)</f>
        <v>0</v>
      </c>
      <c r="N23" s="3">
        <v>0</v>
      </c>
      <c r="O23" s="3">
        <v>0</v>
      </c>
      <c r="P23" s="4">
        <f>IF(N23=0,0,O23/N23)</f>
        <v>0</v>
      </c>
      <c r="R23" s="3">
        <v>1756.556322853292</v>
      </c>
      <c r="S23" s="3">
        <v>733.8167100004733</v>
      </c>
      <c r="T23" s="4">
        <f>IF(R23=0,0,S23/R23)</f>
        <v>0</v>
      </c>
      <c r="U23" s="3">
        <v>0</v>
      </c>
      <c r="V23" s="3">
        <v>0</v>
      </c>
      <c r="W23" s="4">
        <f>IF(U23=0,0,V23/U23)</f>
        <v>0</v>
      </c>
      <c r="X23" s="3">
        <v>0</v>
      </c>
      <c r="Y23" s="3">
        <v>0</v>
      </c>
      <c r="Z23" s="4">
        <f>IF(X23=0,0,Y23/X23)</f>
        <v>0</v>
      </c>
      <c r="AA23" s="3">
        <v>0</v>
      </c>
      <c r="AB23" s="3">
        <v>0</v>
      </c>
      <c r="AC23" s="4">
        <f>IF(AA23=0,0,AB23/AA23)</f>
        <v>0</v>
      </c>
    </row>
    <row r="24" spans="1:29">
      <c r="B24" t="s">
        <v>30</v>
      </c>
      <c r="C24" s="3">
        <f>G24+E24</f>
        <v>0</v>
      </c>
      <c r="D24" s="3">
        <v>150.3097053238197</v>
      </c>
      <c r="E24" s="3">
        <v>59.46017410716377</v>
      </c>
      <c r="F24" s="4">
        <f>IF(D24=0,0,E24/D24)</f>
        <v>0</v>
      </c>
      <c r="G24" s="3">
        <f>I24+L24</f>
        <v>0</v>
      </c>
      <c r="H24" s="3">
        <v>0</v>
      </c>
      <c r="I24" s="3">
        <v>0</v>
      </c>
      <c r="J24" s="4">
        <f>IF(H24=0,0,I24/H24)</f>
        <v>0</v>
      </c>
      <c r="K24" s="3">
        <v>0</v>
      </c>
      <c r="L24" s="3">
        <v>0</v>
      </c>
      <c r="M24" s="4">
        <f>IF(K24=0,0,L24/K24)</f>
        <v>0</v>
      </c>
      <c r="N24" s="3">
        <v>0</v>
      </c>
      <c r="O24" s="3">
        <v>0</v>
      </c>
      <c r="P24" s="4">
        <f>IF(N24=0,0,O24/N24)</f>
        <v>0</v>
      </c>
      <c r="R24" s="3">
        <v>1670.886846237763</v>
      </c>
      <c r="S24" s="3">
        <v>660.9767651172616</v>
      </c>
      <c r="T24" s="4">
        <f>IF(R24=0,0,S24/R24)</f>
        <v>0</v>
      </c>
      <c r="U24" s="3">
        <v>0</v>
      </c>
      <c r="V24" s="3">
        <v>0</v>
      </c>
      <c r="W24" s="4">
        <f>IF(U24=0,0,V24/U24)</f>
        <v>0</v>
      </c>
      <c r="X24" s="3">
        <v>0</v>
      </c>
      <c r="Y24" s="3">
        <v>0</v>
      </c>
      <c r="Z24" s="4">
        <f>IF(X24=0,0,Y24/X24)</f>
        <v>0</v>
      </c>
      <c r="AA24" s="3">
        <v>0</v>
      </c>
      <c r="AB24" s="3">
        <v>0</v>
      </c>
      <c r="AC24" s="4">
        <f>IF(AA24=0,0,AB24/AA24)</f>
        <v>0</v>
      </c>
    </row>
    <row r="25" spans="1:29">
      <c r="B25" t="s">
        <v>31</v>
      </c>
      <c r="C25" s="3">
        <f>G25+E25</f>
        <v>0</v>
      </c>
      <c r="D25" s="3">
        <v>136.8081181206467</v>
      </c>
      <c r="E25" s="3">
        <v>59.0334968106867</v>
      </c>
      <c r="F25" s="4">
        <f>IF(D25=0,0,E25/D25)</f>
        <v>0</v>
      </c>
      <c r="G25" s="3">
        <f>I25+L25</f>
        <v>0</v>
      </c>
      <c r="H25" s="3">
        <v>0</v>
      </c>
      <c r="I25" s="3">
        <v>0</v>
      </c>
      <c r="J25" s="4">
        <f>IF(H25=0,0,I25/H25)</f>
        <v>0</v>
      </c>
      <c r="K25" s="3">
        <v>0</v>
      </c>
      <c r="L25" s="3">
        <v>0</v>
      </c>
      <c r="M25" s="4">
        <f>IF(K25=0,0,L25/K25)</f>
        <v>0</v>
      </c>
      <c r="N25" s="3">
        <v>0</v>
      </c>
      <c r="O25" s="3">
        <v>0</v>
      </c>
      <c r="P25" s="4">
        <f>IF(N25=0,0,O25/N25)</f>
        <v>0</v>
      </c>
      <c r="R25" s="3">
        <v>1520.799236043115</v>
      </c>
      <c r="S25" s="3">
        <v>656.2336949293722</v>
      </c>
      <c r="T25" s="4">
        <f>IF(R25=0,0,S25/R25)</f>
        <v>0</v>
      </c>
      <c r="U25" s="3">
        <v>0</v>
      </c>
      <c r="V25" s="3">
        <v>0</v>
      </c>
      <c r="W25" s="4">
        <f>IF(U25=0,0,V25/U25)</f>
        <v>0</v>
      </c>
      <c r="X25" s="3">
        <v>0</v>
      </c>
      <c r="Y25" s="3">
        <v>0</v>
      </c>
      <c r="Z25" s="4">
        <f>IF(X25=0,0,Y25/X25)</f>
        <v>0</v>
      </c>
      <c r="AA25" s="3">
        <v>0</v>
      </c>
      <c r="AB25" s="3">
        <v>0</v>
      </c>
      <c r="AC25" s="4">
        <f>IF(AA25=0,0,AB25/AA25)</f>
        <v>0</v>
      </c>
    </row>
    <row r="26" spans="1:29">
      <c r="B26" t="s">
        <v>32</v>
      </c>
      <c r="C26" s="3">
        <f>G26+E26</f>
        <v>0</v>
      </c>
      <c r="D26" s="3">
        <v>120.5584202478013</v>
      </c>
      <c r="E26" s="3">
        <v>25.98463974696024</v>
      </c>
      <c r="F26" s="4">
        <f>IF(D26=0,0,E26/D26)</f>
        <v>0</v>
      </c>
      <c r="G26" s="3">
        <f>I26+L26</f>
        <v>0</v>
      </c>
      <c r="H26" s="3">
        <v>0</v>
      </c>
      <c r="I26" s="3">
        <v>0</v>
      </c>
      <c r="J26" s="4">
        <f>IF(H26=0,0,I26/H26)</f>
        <v>0</v>
      </c>
      <c r="K26" s="3">
        <v>0</v>
      </c>
      <c r="L26" s="3">
        <v>0</v>
      </c>
      <c r="M26" s="4">
        <f>IF(K26=0,0,L26/K26)</f>
        <v>0</v>
      </c>
      <c r="N26" s="3">
        <v>0</v>
      </c>
      <c r="O26" s="3">
        <v>0</v>
      </c>
      <c r="P26" s="4">
        <f>IF(N26=0,0,O26/N26)</f>
        <v>0</v>
      </c>
      <c r="R26" s="3">
        <v>1340.162820233627</v>
      </c>
      <c r="S26" s="3">
        <v>288.852889864208</v>
      </c>
      <c r="T26" s="4">
        <f>IF(R26=0,0,S26/R26)</f>
        <v>0</v>
      </c>
      <c r="U26" s="3">
        <v>0</v>
      </c>
      <c r="V26" s="3">
        <v>0</v>
      </c>
      <c r="W26" s="4">
        <f>IF(U26=0,0,V26/U26)</f>
        <v>0</v>
      </c>
      <c r="X26" s="3">
        <v>0</v>
      </c>
      <c r="Y26" s="3">
        <v>0</v>
      </c>
      <c r="Z26" s="4">
        <f>IF(X26=0,0,Y26/X26)</f>
        <v>0</v>
      </c>
      <c r="AA26" s="3">
        <v>0</v>
      </c>
      <c r="AB26" s="3">
        <v>0</v>
      </c>
      <c r="AC26" s="4">
        <f>IF(AA26=0,0,AB26/AA26)</f>
        <v>0</v>
      </c>
    </row>
    <row r="27" spans="1:29">
      <c r="B27" t="s">
        <v>33</v>
      </c>
      <c r="C27" s="3">
        <f>G27+E27</f>
        <v>0</v>
      </c>
      <c r="D27" s="3">
        <v>95.10852578518319</v>
      </c>
      <c r="E27" s="3">
        <v>15.95944418745054</v>
      </c>
      <c r="F27" s="4">
        <f>IF(D27=0,0,E27/D27)</f>
        <v>0</v>
      </c>
      <c r="G27" s="3">
        <f>I27+L27</f>
        <v>0</v>
      </c>
      <c r="H27" s="3">
        <v>0</v>
      </c>
      <c r="I27" s="3">
        <v>0</v>
      </c>
      <c r="J27" s="4">
        <f>IF(H27=0,0,I27/H27)</f>
        <v>0</v>
      </c>
      <c r="K27" s="3">
        <v>0</v>
      </c>
      <c r="L27" s="3">
        <v>0</v>
      </c>
      <c r="M27" s="4">
        <f>IF(K27=0,0,L27/K27)</f>
        <v>0</v>
      </c>
      <c r="N27" s="3">
        <v>0</v>
      </c>
      <c r="O27" s="3">
        <v>0</v>
      </c>
      <c r="P27" s="4">
        <f>IF(N27=0,0,O27/N27)</f>
        <v>0</v>
      </c>
      <c r="R27" s="3">
        <v>1057.254316061414</v>
      </c>
      <c r="S27" s="3">
        <v>177.4098705644325</v>
      </c>
      <c r="T27" s="4">
        <f>IF(R27=0,0,S27/R27)</f>
        <v>0</v>
      </c>
      <c r="U27" s="3">
        <v>0</v>
      </c>
      <c r="V27" s="3">
        <v>0</v>
      </c>
      <c r="W27" s="4">
        <f>IF(U27=0,0,V27/U27)</f>
        <v>0</v>
      </c>
      <c r="X27" s="3">
        <v>0</v>
      </c>
      <c r="Y27" s="3">
        <v>0</v>
      </c>
      <c r="Z27" s="4">
        <f>IF(X27=0,0,Y27/X27)</f>
        <v>0</v>
      </c>
      <c r="AA27" s="3">
        <v>0</v>
      </c>
      <c r="AB27" s="3">
        <v>0</v>
      </c>
      <c r="AC27" s="4">
        <f>IF(AA27=0,0,AB27/AA27)</f>
        <v>0</v>
      </c>
    </row>
    <row r="29" spans="1:29">
      <c r="A29" s="2" t="s">
        <v>36</v>
      </c>
    </row>
    <row r="30" spans="1:29">
      <c r="B30" t="s">
        <v>27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4">
        <f>IF(D30=0,0,E30/D30)</f>
        <v>0</v>
      </c>
      <c r="G30" s="3">
        <f>G32+G33+G34+G35+G36</f>
        <v>0</v>
      </c>
      <c r="H30" s="3">
        <f>H32+H33+H34+H35+H36</f>
        <v>0</v>
      </c>
      <c r="I30" s="3">
        <f>I32+I33+I34+I35+I36</f>
        <v>0</v>
      </c>
      <c r="J30" s="4">
        <f>IF(H30=0,0,I30/H30)</f>
        <v>0</v>
      </c>
      <c r="K30" s="3">
        <f>K32+K33+K34+K35+K36</f>
        <v>0</v>
      </c>
      <c r="L30" s="3">
        <f>L32+L33+L34+L35+L36</f>
        <v>0</v>
      </c>
      <c r="M30" s="4">
        <f>IF(K30=0,0,L30/K30)</f>
        <v>0</v>
      </c>
      <c r="N30" s="3">
        <f>N32+N33+N34+N35+N36</f>
        <v>0</v>
      </c>
      <c r="O30" s="3">
        <f>O32+O33+O34+O35+O36</f>
        <v>0</v>
      </c>
      <c r="P30" s="4">
        <f>IF(N30=0,0,O30/N30)</f>
        <v>0</v>
      </c>
      <c r="R30" s="3">
        <f>R32+R33+R34+R35+R36</f>
        <v>0</v>
      </c>
      <c r="S30" s="3">
        <f>S32+S33+S34+S35+S36</f>
        <v>0</v>
      </c>
      <c r="T30" s="4">
        <f>IF(R30=0,0,S30/R30)</f>
        <v>0</v>
      </c>
      <c r="U30" s="3">
        <f>U32+U33+U34+U35+U36</f>
        <v>0</v>
      </c>
      <c r="V30" s="3">
        <f>V32+V33+V34+V35+V36</f>
        <v>0</v>
      </c>
      <c r="W30" s="4">
        <f>IF(U30=0,0,V30/U30)</f>
        <v>0</v>
      </c>
      <c r="X30" s="3">
        <f>X32+X33+X34+X35+X36</f>
        <v>0</v>
      </c>
      <c r="Y30" s="3">
        <f>Y32+Y33+Y34+Y35+Y36</f>
        <v>0</v>
      </c>
      <c r="Z30" s="4">
        <f>IF(X30=0,0,Y30/X30)</f>
        <v>0</v>
      </c>
      <c r="AA30" s="3">
        <f>AA32+AA33+AA34+AA35+AA36</f>
        <v>0</v>
      </c>
      <c r="AB30" s="3">
        <f>AB32+AB33+AB34+AB35+AB36</f>
        <v>0</v>
      </c>
      <c r="AC30" s="4">
        <f>IF(AA30=0,0,AB30/AA30)</f>
        <v>0</v>
      </c>
    </row>
    <row r="31" spans="1:29">
      <c r="A31" s="5" t="s">
        <v>28</v>
      </c>
    </row>
    <row r="32" spans="1:29">
      <c r="B32" t="s">
        <v>29</v>
      </c>
      <c r="C32" s="3">
        <f>G32+E32</f>
        <v>0</v>
      </c>
      <c r="D32" s="3">
        <v>158.0163635061618</v>
      </c>
      <c r="E32" s="3">
        <v>124.7770104335959</v>
      </c>
      <c r="F32" s="4">
        <f>IF(D32=0,0,E32/D32)</f>
        <v>0</v>
      </c>
      <c r="G32" s="3">
        <f>I32+L32</f>
        <v>0</v>
      </c>
      <c r="H32" s="3">
        <v>0</v>
      </c>
      <c r="I32" s="3">
        <v>0</v>
      </c>
      <c r="J32" s="4">
        <f>IF(H32=0,0,I32/H32)</f>
        <v>0</v>
      </c>
      <c r="K32" s="3">
        <v>0</v>
      </c>
      <c r="L32" s="3">
        <v>0</v>
      </c>
      <c r="M32" s="4">
        <f>IF(K32=0,0,L32/K32)</f>
        <v>0</v>
      </c>
      <c r="N32" s="3">
        <v>0</v>
      </c>
      <c r="O32" s="3">
        <v>0</v>
      </c>
      <c r="P32" s="4">
        <f>IF(N32=0,0,O32/N32)</f>
        <v>0</v>
      </c>
      <c r="R32" s="3">
        <v>1756.556322853292</v>
      </c>
      <c r="S32" s="3">
        <v>1387.057908185043</v>
      </c>
      <c r="T32" s="4">
        <f>IF(R32=0,0,S32/R32)</f>
        <v>0</v>
      </c>
      <c r="U32" s="3">
        <v>0</v>
      </c>
      <c r="V32" s="3">
        <v>0</v>
      </c>
      <c r="W32" s="4">
        <f>IF(U32=0,0,V32/U32)</f>
        <v>0</v>
      </c>
      <c r="X32" s="3">
        <v>0</v>
      </c>
      <c r="Y32" s="3">
        <v>0</v>
      </c>
      <c r="Z32" s="4">
        <f>IF(X32=0,0,Y32/X32)</f>
        <v>0</v>
      </c>
      <c r="AA32" s="3">
        <v>0</v>
      </c>
      <c r="AB32" s="3">
        <v>0</v>
      </c>
      <c r="AC32" s="4">
        <f>IF(AA32=0,0,AB32/AA32)</f>
        <v>0</v>
      </c>
    </row>
    <row r="33" spans="2:29">
      <c r="B33" t="s">
        <v>30</v>
      </c>
      <c r="C33" s="3">
        <f>G33+E33</f>
        <v>0</v>
      </c>
      <c r="D33" s="3">
        <v>150.3097053238197</v>
      </c>
      <c r="E33" s="3">
        <v>115.9464775567844</v>
      </c>
      <c r="F33" s="4">
        <f>IF(D33=0,0,E33/D33)</f>
        <v>0</v>
      </c>
      <c r="G33" s="3">
        <f>I33+L33</f>
        <v>0</v>
      </c>
      <c r="H33" s="3">
        <v>0</v>
      </c>
      <c r="I33" s="3">
        <v>0</v>
      </c>
      <c r="J33" s="4">
        <f>IF(H33=0,0,I33/H33)</f>
        <v>0</v>
      </c>
      <c r="K33" s="3">
        <v>0</v>
      </c>
      <c r="L33" s="3">
        <v>0</v>
      </c>
      <c r="M33" s="4">
        <f>IF(K33=0,0,L33/K33)</f>
        <v>0</v>
      </c>
      <c r="N33" s="3">
        <v>0</v>
      </c>
      <c r="O33" s="3">
        <v>0</v>
      </c>
      <c r="P33" s="4">
        <f>IF(N33=0,0,O33/N33)</f>
        <v>0</v>
      </c>
      <c r="R33" s="3">
        <v>1670.886846237763</v>
      </c>
      <c r="S33" s="3">
        <v>1288.895110264926</v>
      </c>
      <c r="T33" s="4">
        <f>IF(R33=0,0,S33/R33)</f>
        <v>0</v>
      </c>
      <c r="U33" s="3">
        <v>0</v>
      </c>
      <c r="V33" s="3">
        <v>0</v>
      </c>
      <c r="W33" s="4">
        <f>IF(U33=0,0,V33/U33)</f>
        <v>0</v>
      </c>
      <c r="X33" s="3">
        <v>0</v>
      </c>
      <c r="Y33" s="3">
        <v>0</v>
      </c>
      <c r="Z33" s="4">
        <f>IF(X33=0,0,Y33/X33)</f>
        <v>0</v>
      </c>
      <c r="AA33" s="3">
        <v>0</v>
      </c>
      <c r="AB33" s="3">
        <v>0</v>
      </c>
      <c r="AC33" s="4">
        <f>IF(AA33=0,0,AB33/AA33)</f>
        <v>0</v>
      </c>
    </row>
    <row r="34" spans="2:29">
      <c r="B34" t="s">
        <v>31</v>
      </c>
      <c r="C34" s="3">
        <f>G34+E34</f>
        <v>0</v>
      </c>
      <c r="D34" s="3">
        <v>136.8081181206467</v>
      </c>
      <c r="E34" s="3">
        <v>109.4903147257309</v>
      </c>
      <c r="F34" s="4">
        <f>IF(D34=0,0,E34/D34)</f>
        <v>0</v>
      </c>
      <c r="G34" s="3">
        <f>I34+L34</f>
        <v>0</v>
      </c>
      <c r="H34" s="3">
        <v>0</v>
      </c>
      <c r="I34" s="3">
        <v>0</v>
      </c>
      <c r="J34" s="4">
        <f>IF(H34=0,0,I34/H34)</f>
        <v>0</v>
      </c>
      <c r="K34" s="3">
        <v>0</v>
      </c>
      <c r="L34" s="3">
        <v>0</v>
      </c>
      <c r="M34" s="4">
        <f>IF(K34=0,0,L34/K34)</f>
        <v>0</v>
      </c>
      <c r="N34" s="3">
        <v>0</v>
      </c>
      <c r="O34" s="3">
        <v>0</v>
      </c>
      <c r="P34" s="4">
        <f>IF(N34=0,0,O34/N34)</f>
        <v>0</v>
      </c>
      <c r="R34" s="3">
        <v>1520.799236043115</v>
      </c>
      <c r="S34" s="3">
        <v>1217.126507377066</v>
      </c>
      <c r="T34" s="4">
        <f>IF(R34=0,0,S34/R34)</f>
        <v>0</v>
      </c>
      <c r="U34" s="3">
        <v>0</v>
      </c>
      <c r="V34" s="3">
        <v>0</v>
      </c>
      <c r="W34" s="4">
        <f>IF(U34=0,0,V34/U34)</f>
        <v>0</v>
      </c>
      <c r="X34" s="3">
        <v>0</v>
      </c>
      <c r="Y34" s="3">
        <v>0</v>
      </c>
      <c r="Z34" s="4">
        <f>IF(X34=0,0,Y34/X34)</f>
        <v>0</v>
      </c>
      <c r="AA34" s="3">
        <v>0</v>
      </c>
      <c r="AB34" s="3">
        <v>0</v>
      </c>
      <c r="AC34" s="4">
        <f>IF(AA34=0,0,AB34/AA34)</f>
        <v>0</v>
      </c>
    </row>
    <row r="35" spans="2:29">
      <c r="B35" t="s">
        <v>32</v>
      </c>
      <c r="C35" s="3">
        <f>G35+E35</f>
        <v>0</v>
      </c>
      <c r="D35" s="3">
        <v>120.5584202478013</v>
      </c>
      <c r="E35" s="3">
        <v>67.32599206569209</v>
      </c>
      <c r="F35" s="4">
        <f>IF(D35=0,0,E35/D35)</f>
        <v>0</v>
      </c>
      <c r="G35" s="3">
        <f>I35+L35</f>
        <v>0</v>
      </c>
      <c r="H35" s="3">
        <v>0</v>
      </c>
      <c r="I35" s="3">
        <v>0</v>
      </c>
      <c r="J35" s="4">
        <f>IF(H35=0,0,I35/H35)</f>
        <v>0</v>
      </c>
      <c r="K35" s="3">
        <v>0</v>
      </c>
      <c r="L35" s="3">
        <v>0</v>
      </c>
      <c r="M35" s="4">
        <f>IF(K35=0,0,L35/K35)</f>
        <v>0</v>
      </c>
      <c r="N35" s="3">
        <v>0</v>
      </c>
      <c r="O35" s="3">
        <v>0</v>
      </c>
      <c r="P35" s="4">
        <f>IF(N35=0,0,O35/N35)</f>
        <v>0</v>
      </c>
      <c r="R35" s="3">
        <v>1340.162820233627</v>
      </c>
      <c r="S35" s="3">
        <v>748.4155085669368</v>
      </c>
      <c r="T35" s="4">
        <f>IF(R35=0,0,S35/R35)</f>
        <v>0</v>
      </c>
      <c r="U35" s="3">
        <v>0</v>
      </c>
      <c r="V35" s="3">
        <v>0</v>
      </c>
      <c r="W35" s="4">
        <f>IF(U35=0,0,V35/U35)</f>
        <v>0</v>
      </c>
      <c r="X35" s="3">
        <v>0</v>
      </c>
      <c r="Y35" s="3">
        <v>0</v>
      </c>
      <c r="Z35" s="4">
        <f>IF(X35=0,0,Y35/X35)</f>
        <v>0</v>
      </c>
      <c r="AA35" s="3">
        <v>0</v>
      </c>
      <c r="AB35" s="3">
        <v>0</v>
      </c>
      <c r="AC35" s="4">
        <f>IF(AA35=0,0,AB35/AA35)</f>
        <v>0</v>
      </c>
    </row>
    <row r="36" spans="2:29">
      <c r="B36" t="s">
        <v>33</v>
      </c>
      <c r="C36" s="3">
        <f>G36+E36</f>
        <v>0</v>
      </c>
      <c r="D36" s="3">
        <v>95.10852578518319</v>
      </c>
      <c r="E36" s="3">
        <v>45.12023490138124</v>
      </c>
      <c r="F36" s="4">
        <f>IF(D36=0,0,E36/D36)</f>
        <v>0</v>
      </c>
      <c r="G36" s="3">
        <f>I36+L36</f>
        <v>0</v>
      </c>
      <c r="H36" s="3">
        <v>0</v>
      </c>
      <c r="I36" s="3">
        <v>0</v>
      </c>
      <c r="J36" s="4">
        <f>IF(H36=0,0,I36/H36)</f>
        <v>0</v>
      </c>
      <c r="K36" s="3">
        <v>0</v>
      </c>
      <c r="L36" s="3">
        <v>0</v>
      </c>
      <c r="M36" s="4">
        <f>IF(K36=0,0,L36/K36)</f>
        <v>0</v>
      </c>
      <c r="N36" s="3">
        <v>0</v>
      </c>
      <c r="O36" s="3">
        <v>0</v>
      </c>
      <c r="P36" s="4">
        <f>IF(N36=0,0,O36/N36)</f>
        <v>0</v>
      </c>
      <c r="R36" s="3">
        <v>1057.254316061414</v>
      </c>
      <c r="S36" s="3">
        <v>501.5697877489532</v>
      </c>
      <c r="T36" s="4">
        <f>IF(R36=0,0,S36/R36)</f>
        <v>0</v>
      </c>
      <c r="U36" s="3">
        <v>0</v>
      </c>
      <c r="V36" s="3">
        <v>0</v>
      </c>
      <c r="W36" s="4">
        <f>IF(U36=0,0,V36/U36)</f>
        <v>0</v>
      </c>
      <c r="X36" s="3">
        <v>0</v>
      </c>
      <c r="Y36" s="3">
        <v>0</v>
      </c>
      <c r="Z36" s="4">
        <f>IF(X36=0,0,Y36/X36)</f>
        <v>0</v>
      </c>
      <c r="AA36" s="3">
        <v>0</v>
      </c>
      <c r="AB36" s="3">
        <v>0</v>
      </c>
      <c r="AC36" s="4">
        <f>IF(AA36=0,0,AB36/AA36)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2024-08-13T17:02:40Z</dcterms:created>
  <dcterms:modified xsi:type="dcterms:W3CDTF">2024-08-13T17:02:40Z</dcterms:modified>
</cp:coreProperties>
</file>