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:\src\vivarium_gates_lsff_by_wealth_quintile\5000_analyze_results\"/>
    </mc:Choice>
  </mc:AlternateContent>
  <xr:revisionPtr revIDLastSave="0" documentId="13_ncr:1_{0C7FDA3F-F4FB-47EA-AF6D-CA9FA4EA1BB2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Model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12" i="1"/>
  <c r="AD45" i="1"/>
  <c r="AA45" i="1"/>
  <c r="X45" i="1"/>
  <c r="U45" i="1"/>
  <c r="Q45" i="1"/>
  <c r="N45" i="1"/>
  <c r="K45" i="1"/>
  <c r="H45" i="1"/>
  <c r="E45" i="1"/>
  <c r="E39" i="1" s="1"/>
  <c r="D45" i="1"/>
  <c r="C45" i="1"/>
  <c r="AD44" i="1"/>
  <c r="AA44" i="1"/>
  <c r="X44" i="1"/>
  <c r="U44" i="1"/>
  <c r="Q44" i="1"/>
  <c r="N44" i="1"/>
  <c r="K44" i="1"/>
  <c r="H44" i="1"/>
  <c r="E44" i="1"/>
  <c r="D44" i="1"/>
  <c r="C44" i="1"/>
  <c r="AD43" i="1"/>
  <c r="AA43" i="1"/>
  <c r="X43" i="1"/>
  <c r="U43" i="1"/>
  <c r="Q43" i="1"/>
  <c r="N43" i="1"/>
  <c r="K43" i="1"/>
  <c r="H43" i="1"/>
  <c r="E43" i="1"/>
  <c r="D43" i="1"/>
  <c r="C43" i="1"/>
  <c r="AD42" i="1"/>
  <c r="AA42" i="1"/>
  <c r="X42" i="1"/>
  <c r="U42" i="1"/>
  <c r="Q42" i="1"/>
  <c r="N42" i="1"/>
  <c r="K42" i="1"/>
  <c r="H42" i="1"/>
  <c r="E42" i="1"/>
  <c r="D42" i="1"/>
  <c r="C42" i="1"/>
  <c r="AD41" i="1"/>
  <c r="AA41" i="1"/>
  <c r="X41" i="1"/>
  <c r="U41" i="1"/>
  <c r="Q41" i="1"/>
  <c r="N41" i="1"/>
  <c r="K41" i="1"/>
  <c r="H41" i="1"/>
  <c r="E41" i="1"/>
  <c r="D41" i="1"/>
  <c r="C41" i="1"/>
  <c r="C39" i="1" s="1"/>
  <c r="AD39" i="1"/>
  <c r="AC39" i="1"/>
  <c r="AB39" i="1"/>
  <c r="AA39" i="1"/>
  <c r="Z39" i="1"/>
  <c r="Y39" i="1"/>
  <c r="W39" i="1"/>
  <c r="V39" i="1"/>
  <c r="X39" i="1" s="1"/>
  <c r="U39" i="1"/>
  <c r="T39" i="1"/>
  <c r="S39" i="1"/>
  <c r="P39" i="1"/>
  <c r="O39" i="1"/>
  <c r="Q39" i="1" s="1"/>
  <c r="M39" i="1"/>
  <c r="L39" i="1"/>
  <c r="N39" i="1" s="1"/>
  <c r="K39" i="1"/>
  <c r="J39" i="1"/>
  <c r="I39" i="1"/>
  <c r="G39" i="1"/>
  <c r="F39" i="1"/>
  <c r="H39" i="1" s="1"/>
  <c r="D39" i="1"/>
  <c r="AD36" i="1"/>
  <c r="AA36" i="1"/>
  <c r="X36" i="1"/>
  <c r="U36" i="1"/>
  <c r="Q36" i="1"/>
  <c r="N36" i="1"/>
  <c r="K36" i="1"/>
  <c r="H36" i="1"/>
  <c r="E36" i="1"/>
  <c r="D36" i="1"/>
  <c r="C36" i="1"/>
  <c r="AD35" i="1"/>
  <c r="AA35" i="1"/>
  <c r="X35" i="1"/>
  <c r="U35" i="1"/>
  <c r="Q35" i="1"/>
  <c r="N35" i="1"/>
  <c r="K35" i="1"/>
  <c r="H35" i="1"/>
  <c r="E35" i="1"/>
  <c r="D35" i="1"/>
  <c r="C35" i="1"/>
  <c r="AD34" i="1"/>
  <c r="AA34" i="1"/>
  <c r="X34" i="1"/>
  <c r="U34" i="1"/>
  <c r="Q34" i="1"/>
  <c r="N34" i="1"/>
  <c r="K34" i="1"/>
  <c r="H34" i="1"/>
  <c r="E34" i="1"/>
  <c r="E30" i="1" s="1"/>
  <c r="D34" i="1"/>
  <c r="C34" i="1"/>
  <c r="AD33" i="1"/>
  <c r="AA33" i="1"/>
  <c r="X33" i="1"/>
  <c r="U33" i="1"/>
  <c r="Q33" i="1"/>
  <c r="N33" i="1"/>
  <c r="K33" i="1"/>
  <c r="H33" i="1"/>
  <c r="E33" i="1"/>
  <c r="D33" i="1"/>
  <c r="C33" i="1"/>
  <c r="AD32" i="1"/>
  <c r="AA32" i="1"/>
  <c r="X32" i="1"/>
  <c r="U32" i="1"/>
  <c r="Q32" i="1"/>
  <c r="N32" i="1"/>
  <c r="K32" i="1"/>
  <c r="H32" i="1"/>
  <c r="E32" i="1"/>
  <c r="D32" i="1"/>
  <c r="D30" i="1" s="1"/>
  <c r="C32" i="1"/>
  <c r="C30" i="1" s="1"/>
  <c r="AD30" i="1"/>
  <c r="AC30" i="1"/>
  <c r="AB30" i="1"/>
  <c r="Z30" i="1"/>
  <c r="Y30" i="1"/>
  <c r="AA30" i="1" s="1"/>
  <c r="W30" i="1"/>
  <c r="X30" i="1" s="1"/>
  <c r="V30" i="1"/>
  <c r="T30" i="1"/>
  <c r="S30" i="1"/>
  <c r="U30" i="1" s="1"/>
  <c r="P30" i="1"/>
  <c r="O30" i="1"/>
  <c r="Q30" i="1" s="1"/>
  <c r="N30" i="1"/>
  <c r="M30" i="1"/>
  <c r="L30" i="1"/>
  <c r="J30" i="1"/>
  <c r="I30" i="1"/>
  <c r="K30" i="1" s="1"/>
  <c r="G30" i="1"/>
  <c r="F30" i="1"/>
  <c r="H30" i="1" s="1"/>
  <c r="AD27" i="1"/>
  <c r="AA27" i="1"/>
  <c r="X27" i="1"/>
  <c r="U27" i="1"/>
  <c r="Q27" i="1"/>
  <c r="N27" i="1"/>
  <c r="K27" i="1"/>
  <c r="H27" i="1"/>
  <c r="E27" i="1"/>
  <c r="D27" i="1"/>
  <c r="C27" i="1"/>
  <c r="AD26" i="1"/>
  <c r="AA26" i="1"/>
  <c r="X26" i="1"/>
  <c r="U26" i="1"/>
  <c r="Q26" i="1"/>
  <c r="N26" i="1"/>
  <c r="K26" i="1"/>
  <c r="H26" i="1"/>
  <c r="E26" i="1"/>
  <c r="D26" i="1"/>
  <c r="C26" i="1"/>
  <c r="AD25" i="1"/>
  <c r="AA25" i="1"/>
  <c r="X25" i="1"/>
  <c r="U25" i="1"/>
  <c r="Q25" i="1"/>
  <c r="N25" i="1"/>
  <c r="K25" i="1"/>
  <c r="H25" i="1"/>
  <c r="E25" i="1"/>
  <c r="D25" i="1"/>
  <c r="C25" i="1"/>
  <c r="AD24" i="1"/>
  <c r="AA24" i="1"/>
  <c r="X24" i="1"/>
  <c r="U24" i="1"/>
  <c r="Q24" i="1"/>
  <c r="N24" i="1"/>
  <c r="K24" i="1"/>
  <c r="H24" i="1"/>
  <c r="E24" i="1"/>
  <c r="D24" i="1"/>
  <c r="C24" i="1"/>
  <c r="C21" i="1" s="1"/>
  <c r="AD23" i="1"/>
  <c r="AA23" i="1"/>
  <c r="X23" i="1"/>
  <c r="U23" i="1"/>
  <c r="Q23" i="1"/>
  <c r="N23" i="1"/>
  <c r="K23" i="1"/>
  <c r="H23" i="1"/>
  <c r="E23" i="1"/>
  <c r="E21" i="1" s="1"/>
  <c r="D23" i="1"/>
  <c r="D21" i="1" s="1"/>
  <c r="C23" i="1"/>
  <c r="AC21" i="1"/>
  <c r="AB21" i="1"/>
  <c r="AD21" i="1" s="1"/>
  <c r="Z21" i="1"/>
  <c r="Y21" i="1"/>
  <c r="AA21" i="1" s="1"/>
  <c r="X21" i="1"/>
  <c r="W21" i="1"/>
  <c r="V21" i="1"/>
  <c r="T21" i="1"/>
  <c r="S21" i="1"/>
  <c r="U21" i="1" s="1"/>
  <c r="P21" i="1"/>
  <c r="Q21" i="1" s="1"/>
  <c r="O21" i="1"/>
  <c r="M21" i="1"/>
  <c r="L21" i="1"/>
  <c r="N21" i="1" s="1"/>
  <c r="J21" i="1"/>
  <c r="I21" i="1"/>
  <c r="K21" i="1" s="1"/>
  <c r="H21" i="1"/>
  <c r="G21" i="1"/>
  <c r="F21" i="1"/>
  <c r="AD18" i="1"/>
  <c r="AA18" i="1"/>
  <c r="X18" i="1"/>
  <c r="U18" i="1"/>
  <c r="Q18" i="1"/>
  <c r="N18" i="1"/>
  <c r="K18" i="1"/>
  <c r="H18" i="1"/>
  <c r="E18" i="1"/>
  <c r="D18" i="1"/>
  <c r="C18" i="1"/>
  <c r="C12" i="1" s="1"/>
  <c r="AD17" i="1"/>
  <c r="AA17" i="1"/>
  <c r="X17" i="1"/>
  <c r="U17" i="1"/>
  <c r="Q17" i="1"/>
  <c r="N17" i="1"/>
  <c r="K17" i="1"/>
  <c r="H17" i="1"/>
  <c r="E17" i="1"/>
  <c r="D17" i="1"/>
  <c r="C17" i="1"/>
  <c r="AD16" i="1"/>
  <c r="AA16" i="1"/>
  <c r="X16" i="1"/>
  <c r="U16" i="1"/>
  <c r="Q16" i="1"/>
  <c r="N16" i="1"/>
  <c r="K16" i="1"/>
  <c r="H16" i="1"/>
  <c r="E16" i="1"/>
  <c r="D16" i="1"/>
  <c r="C16" i="1"/>
  <c r="AD15" i="1"/>
  <c r="AA15" i="1"/>
  <c r="X15" i="1"/>
  <c r="U15" i="1"/>
  <c r="Q15" i="1"/>
  <c r="N15" i="1"/>
  <c r="K15" i="1"/>
  <c r="H15" i="1"/>
  <c r="E15" i="1"/>
  <c r="E12" i="1" s="1"/>
  <c r="D15" i="1"/>
  <c r="C15" i="1"/>
  <c r="AD14" i="1"/>
  <c r="AA14" i="1"/>
  <c r="X14" i="1"/>
  <c r="U14" i="1"/>
  <c r="Q14" i="1"/>
  <c r="N14" i="1"/>
  <c r="K14" i="1"/>
  <c r="H14" i="1"/>
  <c r="E14" i="1"/>
  <c r="C14" i="1"/>
  <c r="AC12" i="1"/>
  <c r="AB12" i="1"/>
  <c r="AD12" i="1" s="1"/>
  <c r="AA12" i="1"/>
  <c r="Z12" i="1"/>
  <c r="Y12" i="1"/>
  <c r="W12" i="1"/>
  <c r="V12" i="1"/>
  <c r="X12" i="1" s="1"/>
  <c r="T12" i="1"/>
  <c r="S12" i="1"/>
  <c r="U12" i="1" s="1"/>
  <c r="Q12" i="1"/>
  <c r="P12" i="1"/>
  <c r="O12" i="1"/>
  <c r="M12" i="1"/>
  <c r="L12" i="1"/>
  <c r="N12" i="1" s="1"/>
  <c r="J12" i="1"/>
  <c r="K12" i="1" s="1"/>
  <c r="I12" i="1"/>
  <c r="G12" i="1"/>
  <c r="F12" i="1"/>
  <c r="H12" i="1" s="1"/>
  <c r="AD9" i="1"/>
  <c r="AA9" i="1"/>
  <c r="X9" i="1"/>
  <c r="U9" i="1"/>
  <c r="Q9" i="1"/>
  <c r="N9" i="1"/>
  <c r="K9" i="1"/>
  <c r="H9" i="1"/>
  <c r="E9" i="1"/>
  <c r="E3" i="1" s="1"/>
  <c r="D9" i="1"/>
  <c r="C9" i="1"/>
  <c r="AD8" i="1"/>
  <c r="AA8" i="1"/>
  <c r="X8" i="1"/>
  <c r="U8" i="1"/>
  <c r="Q8" i="1"/>
  <c r="N8" i="1"/>
  <c r="K8" i="1"/>
  <c r="H8" i="1"/>
  <c r="E8" i="1"/>
  <c r="D8" i="1"/>
  <c r="C8" i="1"/>
  <c r="AD7" i="1"/>
  <c r="AA7" i="1"/>
  <c r="X7" i="1"/>
  <c r="U7" i="1"/>
  <c r="Q7" i="1"/>
  <c r="N7" i="1"/>
  <c r="K7" i="1"/>
  <c r="H7" i="1"/>
  <c r="E7" i="1"/>
  <c r="D7" i="1"/>
  <c r="C7" i="1"/>
  <c r="C3" i="1" s="1"/>
  <c r="AD6" i="1"/>
  <c r="AA6" i="1"/>
  <c r="X6" i="1"/>
  <c r="U6" i="1"/>
  <c r="Q6" i="1"/>
  <c r="N6" i="1"/>
  <c r="K6" i="1"/>
  <c r="H6" i="1"/>
  <c r="E6" i="1"/>
  <c r="D6" i="1"/>
  <c r="C6" i="1"/>
  <c r="AD5" i="1"/>
  <c r="AA5" i="1"/>
  <c r="X5" i="1"/>
  <c r="U5" i="1"/>
  <c r="Q5" i="1"/>
  <c r="N5" i="1"/>
  <c r="K5" i="1"/>
  <c r="H5" i="1"/>
  <c r="E5" i="1"/>
  <c r="D5" i="1"/>
  <c r="C5" i="1"/>
  <c r="AC3" i="1"/>
  <c r="AD3" i="1" s="1"/>
  <c r="AB3" i="1"/>
  <c r="Z3" i="1"/>
  <c r="Y3" i="1"/>
  <c r="AA3" i="1" s="1"/>
  <c r="W3" i="1"/>
  <c r="V3" i="1"/>
  <c r="X3" i="1" s="1"/>
  <c r="U3" i="1"/>
  <c r="T3" i="1"/>
  <c r="S3" i="1"/>
  <c r="P3" i="1"/>
  <c r="O3" i="1"/>
  <c r="Q3" i="1" s="1"/>
  <c r="M3" i="1"/>
  <c r="L3" i="1"/>
  <c r="N3" i="1" s="1"/>
  <c r="K3" i="1"/>
  <c r="J3" i="1"/>
  <c r="I3" i="1"/>
  <c r="G3" i="1"/>
  <c r="F3" i="1"/>
  <c r="H3" i="1" s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30" authorId="0" shapeId="0" xr:uid="{00000000-0006-0000-0000-000001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0" authorId="0" shapeId="0" xr:uid="{00000000-0006-0000-0000-000002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0" authorId="0" shapeId="0" xr:uid="{00000000-0006-0000-0000-000003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0" authorId="0" shapeId="0" xr:uid="{00000000-0006-0000-0000-000004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39" authorId="0" shapeId="0" xr:uid="{00000000-0006-0000-0000-000005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 shapeId="0" xr:uid="{00000000-0006-0000-0000-000006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 shapeId="0" xr:uid="{00000000-0006-0000-0000-000007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 shapeId="0" xr:uid="{00000000-0006-0000-0000-000008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<sst xmlns="http://schemas.openxmlformats.org/spreadsheetml/2006/main" count="67" uniqueCount="39">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</sst>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;\-0.0%;&quot;-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5"/>
  <sheetViews>
    <sheetView tabSelected="1" workbookViewId="0">
      <pane xSplit="2" ySplit="1" topLeftCell="C9" activePane="bottomRight" state="frozen"/>
      <selection pane="topRight" activeCell="C1" sqref="C1"/>
      <selection pane="bottomLeft" activeCell="A2" sqref="A2"/>
      <selection pane="bottomRight" activeCell="D15" sqref="D15"/>
    </sheetView>
  </sheetViews>
  <sheetFormatPr defaultRowHeight="15" x14ac:dyDescent="0.2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 ht="75" x14ac:dyDescent="0.2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25">
      <c r="A2" s="2" t="s">
        <v>27</v>
      </c>
    </row>
    <row r="3" spans="1:30" x14ac:dyDescent="0.25">
      <c r="B3" t="s">
        <v>28</v>
      </c>
      <c r="C3" s="3">
        <f>C5+C6+C7+C8+C9</f>
        <v>1555.2611894681488</v>
      </c>
      <c r="D3" s="3">
        <f>D5+D6+D7+D8+D9</f>
        <v>83.943882240574695</v>
      </c>
      <c r="E3" s="3">
        <f>E5+E6+E7+E8+E9</f>
        <v>1471.3173072275742</v>
      </c>
      <c r="F3" s="3">
        <f>F5+F6+F7+F8+F9</f>
        <v>1581.6305477704739</v>
      </c>
      <c r="G3" s="3">
        <f>G5+G6+G7+G8+G9</f>
        <v>83.943882240574695</v>
      </c>
      <c r="H3" s="4">
        <f>IF(F3=0,0,G3/F3)</f>
        <v>5.3074267159865594E-2</v>
      </c>
      <c r="I3" s="3">
        <f>I5+I6+I7+I8+I9</f>
        <v>19429.786784833006</v>
      </c>
      <c r="J3" s="3">
        <f>J5+J6+J7+J8+J9</f>
        <v>1299.0325522563842</v>
      </c>
      <c r="K3" s="4">
        <f>IF(I3=0,0,J3/I3)</f>
        <v>6.6857787305747263E-2</v>
      </c>
      <c r="L3" s="3">
        <f>L5+L6+L7+L8+L9</f>
        <v>73088.837013306678</v>
      </c>
      <c r="M3" s="3">
        <f>M5+M6+M7+M8+M9</f>
        <v>151.25588574661126</v>
      </c>
      <c r="N3" s="4">
        <f>IF(L3=0,0,M3/L3)</f>
        <v>2.069479990755269E-3</v>
      </c>
      <c r="O3" s="3">
        <f>O5+O6+O7+O8+O9</f>
        <v>2218.4421230582016</v>
      </c>
      <c r="P3" s="3">
        <f>P5+P6+P7+P8+P9</f>
        <v>21.02886922457855</v>
      </c>
      <c r="Q3" s="4">
        <f>IF(O3=0,0,P3/O3)</f>
        <v>9.4791155496044693E-3</v>
      </c>
      <c r="S3" s="3">
        <f>S5+S6+S7+S8+S9</f>
        <v>17581.869861191975</v>
      </c>
      <c r="T3" s="3">
        <f>T5+T6+T7+T8+T9</f>
        <v>933.14485818289268</v>
      </c>
      <c r="U3" s="4">
        <f>IF(S3=0,0,T3/S3)</f>
        <v>5.3074267159865636E-2</v>
      </c>
      <c r="V3" s="3">
        <f>V5+V6+V7+V8+V9</f>
        <v>619844465.28808701</v>
      </c>
      <c r="W3" s="3">
        <f>W5+W6+W7+W8+W9</f>
        <v>32672650.79602851</v>
      </c>
      <c r="X3" s="4">
        <f>IF(V3=0,0,W3/V3)</f>
        <v>5.2711047086373745E-2</v>
      </c>
      <c r="Y3" s="3">
        <f>Y5+Y6+Y7+Y8+Y9</f>
        <v>23865851.045409296</v>
      </c>
      <c r="Z3" s="3">
        <f>Z5+Z6+Z7+Z8+Z9</f>
        <v>182259.01024660328</v>
      </c>
      <c r="AA3" s="4">
        <f>IF(Y3=0,0,Z3/Y3)</f>
        <v>7.6368116896322301E-3</v>
      </c>
      <c r="AB3" s="3">
        <f>AB5+AB6+AB7+AB8+AB9</f>
        <v>815643.03969645989</v>
      </c>
      <c r="AC3" s="3">
        <f>AC5+AC6+AC7+AC8+AC9</f>
        <v>1680.7280119055067</v>
      </c>
      <c r="AD3" s="4">
        <f>IF(AB3=0,0,AC3/AB3)</f>
        <v>2.0606171206107352E-3</v>
      </c>
    </row>
    <row r="4" spans="1:30" x14ac:dyDescent="0.25">
      <c r="A4" s="5" t="s">
        <v>29</v>
      </c>
    </row>
    <row r="5" spans="1:30" x14ac:dyDescent="0.25">
      <c r="B5" t="s">
        <v>30</v>
      </c>
      <c r="C5" s="3">
        <f>J5+M5+G5+P5</f>
        <v>449.9915054404222</v>
      </c>
      <c r="D5" s="3">
        <f>G5</f>
        <v>28.563180317425989</v>
      </c>
      <c r="E5" s="3">
        <f>J5+M5+P5</f>
        <v>421.42832512299623</v>
      </c>
      <c r="F5" s="3">
        <v>397.34111205252179</v>
      </c>
      <c r="G5" s="3">
        <v>28.563180317425989</v>
      </c>
      <c r="H5" s="4">
        <f>IF(F5=0,0,G5/F5)</f>
        <v>7.1885791454800216E-2</v>
      </c>
      <c r="I5" s="3">
        <v>4596.9756107760377</v>
      </c>
      <c r="J5" s="3">
        <v>361.18659869736899</v>
      </c>
      <c r="K5" s="4">
        <f>IF(I5=0,0,J5/I5)</f>
        <v>7.8570484004894539E-2</v>
      </c>
      <c r="L5" s="3">
        <v>18641.712679665659</v>
      </c>
      <c r="M5" s="3">
        <v>53.864307028021663</v>
      </c>
      <c r="N5" s="4">
        <f>IF(L5=0,0,M5/L5)</f>
        <v>2.8894505539062802E-3</v>
      </c>
      <c r="O5" s="3">
        <v>597.84933727803173</v>
      </c>
      <c r="P5" s="3">
        <v>6.3774193976055829</v>
      </c>
      <c r="Q5" s="4">
        <f>IF(O5=0,0,P5/O5)</f>
        <v>1.0667268490488839E-2</v>
      </c>
      <c r="S5" s="3">
        <v>4416.960542685817</v>
      </c>
      <c r="T5" s="3">
        <v>317.51670443559402</v>
      </c>
      <c r="U5" s="4">
        <f>IF(S5=0,0,T5/S5)</f>
        <v>7.1885791454800257E-2</v>
      </c>
      <c r="V5" s="3">
        <v>139164134.1773752</v>
      </c>
      <c r="W5" s="3">
        <v>8505845.6689952314</v>
      </c>
      <c r="X5" s="4">
        <f>IF(V5=0,0,W5/V5)</f>
        <v>6.1120961368924906E-2</v>
      </c>
      <c r="Y5" s="3">
        <v>6122536.7016462469</v>
      </c>
      <c r="Z5" s="3">
        <v>65974.70812917687</v>
      </c>
      <c r="AA5" s="4">
        <f>IF(Y5=0,0,Z5/Y5)</f>
        <v>1.0775714600687878E-2</v>
      </c>
      <c r="AB5" s="3">
        <v>208025.75267651089</v>
      </c>
      <c r="AC5" s="3">
        <v>598.48801899957471</v>
      </c>
      <c r="AD5" s="4">
        <f>IF(AB5=0,0,AC5/AB5)</f>
        <v>2.876990042335045E-3</v>
      </c>
    </row>
    <row r="6" spans="1:30" x14ac:dyDescent="0.25">
      <c r="B6" t="s">
        <v>31</v>
      </c>
      <c r="C6" s="3">
        <f>J6+M6+G6+P6</f>
        <v>385.38777066778857</v>
      </c>
      <c r="D6" s="3">
        <f>G6</f>
        <v>21.234273115711929</v>
      </c>
      <c r="E6" s="3">
        <f>J6+M6+P6</f>
        <v>364.15349755207666</v>
      </c>
      <c r="F6" s="3">
        <v>347.01108902834721</v>
      </c>
      <c r="G6" s="3">
        <v>21.234273115711929</v>
      </c>
      <c r="H6" s="4">
        <f>IF(F6=0,0,G6/F6)</f>
        <v>6.1191915149366623E-2</v>
      </c>
      <c r="I6" s="3">
        <v>4120.9915624965133</v>
      </c>
      <c r="J6" s="3">
        <v>324.67693416423162</v>
      </c>
      <c r="K6" s="4">
        <f>IF(I6=0,0,J6/I6)</f>
        <v>7.8786119612324818E-2</v>
      </c>
      <c r="L6" s="3">
        <v>15401.721838607329</v>
      </c>
      <c r="M6" s="3">
        <v>34.045783631026737</v>
      </c>
      <c r="N6" s="4">
        <f>IF(L6=0,0,M6/L6)</f>
        <v>2.2105180179065784E-3</v>
      </c>
      <c r="O6" s="3">
        <v>474.66517473403837</v>
      </c>
      <c r="P6" s="3">
        <v>5.4307797568183158</v>
      </c>
      <c r="Q6" s="4">
        <f>IF(O6=0,0,P6/O6)</f>
        <v>1.1441285448972023E-2</v>
      </c>
      <c r="S6" s="3">
        <v>3857.4772194981001</v>
      </c>
      <c r="T6" s="3">
        <v>236.0464187061425</v>
      </c>
      <c r="U6" s="4">
        <f>IF(S6=0,0,T6/S6)</f>
        <v>6.1191915149366644E-2</v>
      </c>
      <c r="V6" s="3">
        <v>129179305.0153213</v>
      </c>
      <c r="W6" s="3">
        <v>8078008.1331280172</v>
      </c>
      <c r="X6" s="4">
        <f>IF(V6=0,0,W6/V6)</f>
        <v>6.2533299216696717E-2</v>
      </c>
      <c r="Y6" s="3">
        <v>5177909.8376185223</v>
      </c>
      <c r="Z6" s="3">
        <v>45114.783950233832</v>
      </c>
      <c r="AA6" s="4">
        <f>IF(Y6=0,0,Z6/Y6)</f>
        <v>8.7129334741339343E-3</v>
      </c>
      <c r="AB6" s="3">
        <v>171862.19165281719</v>
      </c>
      <c r="AC6" s="3">
        <v>378.31885138832149</v>
      </c>
      <c r="AD6" s="4">
        <f>IF(AB6=0,0,AC6/AB6)</f>
        <v>2.2012919057413875E-3</v>
      </c>
    </row>
    <row r="7" spans="1:30" x14ac:dyDescent="0.25">
      <c r="B7" t="s">
        <v>32</v>
      </c>
      <c r="C7" s="3">
        <f>J7+M7+G7+P7</f>
        <v>328.27398788318089</v>
      </c>
      <c r="D7" s="3">
        <f>G7</f>
        <v>16.09202406254137</v>
      </c>
      <c r="E7" s="3">
        <f>J7+M7+P7</f>
        <v>312.18196382063951</v>
      </c>
      <c r="F7" s="3">
        <v>308.5630389483282</v>
      </c>
      <c r="G7" s="3">
        <v>16.09202406254137</v>
      </c>
      <c r="H7" s="4">
        <f>IF(F7=0,0,G7/F7)</f>
        <v>5.2151495906274541E-2</v>
      </c>
      <c r="I7" s="3">
        <v>3985.2760327157789</v>
      </c>
      <c r="J7" s="3">
        <v>280.13566344122307</v>
      </c>
      <c r="K7" s="4">
        <f>IF(I7=0,0,J7/I7)</f>
        <v>7.0292662576329434E-2</v>
      </c>
      <c r="L7" s="3">
        <v>13777.25618273796</v>
      </c>
      <c r="M7" s="3">
        <v>27.90923734307103</v>
      </c>
      <c r="N7" s="4">
        <f>IF(L7=0,0,M7/L7)</f>
        <v>2.0257471424563883E-3</v>
      </c>
      <c r="O7" s="3">
        <v>416.35114676752949</v>
      </c>
      <c r="P7" s="3">
        <v>4.1370630363454124</v>
      </c>
      <c r="Q7" s="4">
        <f>IF(O7=0,0,P7/O7)</f>
        <v>9.936475661145111E-3</v>
      </c>
      <c r="S7" s="3">
        <v>3430.077398549784</v>
      </c>
      <c r="T7" s="3">
        <v>178.8836674086738</v>
      </c>
      <c r="U7" s="4">
        <f>IF(S7=0,0,T7/S7)</f>
        <v>5.2151495906274513E-2</v>
      </c>
      <c r="V7" s="3">
        <v>125490666.0533599</v>
      </c>
      <c r="W7" s="3">
        <v>7026848.5332566202</v>
      </c>
      <c r="X7" s="4">
        <f>IF(V7=0,0,W7/V7)</f>
        <v>5.5994989541841567E-2</v>
      </c>
      <c r="Y7" s="3">
        <v>4635731.7964105764</v>
      </c>
      <c r="Z7" s="3">
        <v>32670.824420694262</v>
      </c>
      <c r="AA7" s="4">
        <f>IF(Y7=0,0,Z7/Y7)</f>
        <v>7.0476088469982488E-3</v>
      </c>
      <c r="AB7" s="3">
        <v>153752.5023732449</v>
      </c>
      <c r="AC7" s="3">
        <v>310.09741917075007</v>
      </c>
      <c r="AD7" s="4">
        <f>IF(AB7=0,0,AC7/AB7)</f>
        <v>2.0168609576055353E-3</v>
      </c>
    </row>
    <row r="8" spans="1:30" x14ac:dyDescent="0.25">
      <c r="B8" t="s">
        <v>33</v>
      </c>
      <c r="C8" s="3">
        <f>J8+M8+G8+P8</f>
        <v>262.7394792518345</v>
      </c>
      <c r="D8" s="3">
        <f>G8</f>
        <v>13.081033856759079</v>
      </c>
      <c r="E8" s="3">
        <f>J8+M8+P8</f>
        <v>249.6584453950754</v>
      </c>
      <c r="F8" s="3">
        <v>288.86678736531792</v>
      </c>
      <c r="G8" s="3">
        <v>13.081033856759079</v>
      </c>
      <c r="H8" s="4">
        <f>IF(F8=0,0,G8/F8)</f>
        <v>4.528396627410141E-2</v>
      </c>
      <c r="I8" s="3">
        <v>3614.3317239066419</v>
      </c>
      <c r="J8" s="3">
        <v>223.0981557032205</v>
      </c>
      <c r="K8" s="4">
        <f>IF(I8=0,0,J8/I8)</f>
        <v>6.1725976679882395E-2</v>
      </c>
      <c r="L8" s="3">
        <v>12916.932829144929</v>
      </c>
      <c r="M8" s="3">
        <v>22.595390879644079</v>
      </c>
      <c r="N8" s="4">
        <f>IF(L8=0,0,M8/L8)</f>
        <v>1.7492845382505438E-3</v>
      </c>
      <c r="O8" s="3">
        <v>380.99541784497882</v>
      </c>
      <c r="P8" s="3">
        <v>3.9648988122108282</v>
      </c>
      <c r="Q8" s="4">
        <f>IF(O8=0,0,P8/O8)</f>
        <v>1.0406683719813356E-2</v>
      </c>
      <c r="S8" s="3">
        <v>3211.1280790807491</v>
      </c>
      <c r="T8" s="3">
        <v>145.41261563491341</v>
      </c>
      <c r="U8" s="4">
        <f>IF(S8=0,0,T8/S8)</f>
        <v>4.5283966274101632E-2</v>
      </c>
      <c r="V8" s="3">
        <v>117876445.53719731</v>
      </c>
      <c r="W8" s="3">
        <v>5909428.3290538341</v>
      </c>
      <c r="X8" s="4">
        <f>IF(V8=0,0,W8/V8)</f>
        <v>5.0132393304895204E-2</v>
      </c>
      <c r="Y8" s="3">
        <v>4171603.1382768038</v>
      </c>
      <c r="Z8" s="3">
        <v>27643.588900032919</v>
      </c>
      <c r="AA8" s="4">
        <f>IF(Y8=0,0,Z8/Y8)</f>
        <v>6.6266104381760222E-3</v>
      </c>
      <c r="AB8" s="3">
        <v>144164.29017248511</v>
      </c>
      <c r="AC8" s="3">
        <v>251.178909528302</v>
      </c>
      <c r="AD8" s="4">
        <f>IF(AB8=0,0,AC8/AB8)</f>
        <v>1.7423101742309378E-3</v>
      </c>
    </row>
    <row r="9" spans="1:30" x14ac:dyDescent="0.25">
      <c r="B9" t="s">
        <v>34</v>
      </c>
      <c r="C9" s="3">
        <f>J9+M9+G9+P9</f>
        <v>128.86844622492271</v>
      </c>
      <c r="D9" s="3">
        <f>G9</f>
        <v>4.9733708881363272</v>
      </c>
      <c r="E9" s="3">
        <f>J9+M9+P9</f>
        <v>123.89507533678638</v>
      </c>
      <c r="F9" s="3">
        <v>239.84852037595849</v>
      </c>
      <c r="G9" s="3">
        <v>4.9733708881363272</v>
      </c>
      <c r="H9" s="4">
        <f>IF(F9=0,0,G9/F9)</f>
        <v>2.0735466203171286E-2</v>
      </c>
      <c r="I9" s="3">
        <v>3112.2118549380339</v>
      </c>
      <c r="J9" s="3">
        <v>109.9352002503402</v>
      </c>
      <c r="K9" s="4">
        <f>IF(I9=0,0,J9/I9)</f>
        <v>3.5323816428470316E-2</v>
      </c>
      <c r="L9" s="3">
        <v>12351.213483150799</v>
      </c>
      <c r="M9" s="3">
        <v>12.841166864847761</v>
      </c>
      <c r="N9" s="4">
        <f>IF(L9=0,0,M9/L9)</f>
        <v>1.0396684408673967E-3</v>
      </c>
      <c r="O9" s="3">
        <v>348.58104643362333</v>
      </c>
      <c r="P9" s="3">
        <v>1.1187082215984121</v>
      </c>
      <c r="Q9" s="4">
        <f>IF(O9=0,0,P9/O9)</f>
        <v>3.209320280158824E-3</v>
      </c>
      <c r="S9" s="3">
        <v>2666.226621377526</v>
      </c>
      <c r="T9" s="3">
        <v>55.285451997568998</v>
      </c>
      <c r="U9" s="4">
        <f>IF(S9=0,0,T9/S9)</f>
        <v>2.0735466203171189E-2</v>
      </c>
      <c r="V9" s="3">
        <v>108133914.5048333</v>
      </c>
      <c r="W9" s="3">
        <v>3152520.1315948069</v>
      </c>
      <c r="X9" s="4">
        <f>IF(V9=0,0,W9/V9)</f>
        <v>2.9153851925465046E-2</v>
      </c>
      <c r="Y9" s="3">
        <v>3758069.5714571462</v>
      </c>
      <c r="Z9" s="3">
        <v>10855.1048464654</v>
      </c>
      <c r="AA9" s="4">
        <f>IF(Y9=0,0,Z9/Y9)</f>
        <v>2.8884789491154801E-3</v>
      </c>
      <c r="AB9" s="3">
        <v>137838.30282140171</v>
      </c>
      <c r="AC9" s="3">
        <v>142.64481281855839</v>
      </c>
      <c r="AD9" s="4">
        <f>IF(AB9=0,0,AC9/AB9)</f>
        <v>1.034870641169926E-3</v>
      </c>
    </row>
    <row r="11" spans="1:30" x14ac:dyDescent="0.25">
      <c r="A11" s="2" t="s">
        <v>35</v>
      </c>
    </row>
    <row r="12" spans="1:30" x14ac:dyDescent="0.25">
      <c r="B12" t="s">
        <v>28</v>
      </c>
      <c r="C12" s="3">
        <f>C14+C15+C16+C17+C18</f>
        <v>2069.0313075611234</v>
      </c>
      <c r="D12" s="3">
        <f>D14+D15+D16+D17+D18</f>
        <v>597.71400033354905</v>
      </c>
      <c r="E12" s="3">
        <f>E14+E15+E16+E17+E18</f>
        <v>1471.3173072275742</v>
      </c>
      <c r="F12" s="3">
        <f>F14+F15+F16+F17+F18</f>
        <v>1581.6305477704739</v>
      </c>
      <c r="G12" s="3">
        <f>G14+G15+G16+G17+G18</f>
        <v>597.71400033354905</v>
      </c>
      <c r="H12" s="4">
        <f>IF(F12=0,0,G12/F12)</f>
        <v>0.37791000001619168</v>
      </c>
      <c r="I12" s="3">
        <f>I14+I15+I16+I17+I18</f>
        <v>19429.786784833006</v>
      </c>
      <c r="J12" s="3">
        <f>J14+J15+J16+J17+J18</f>
        <v>1299.0325522563842</v>
      </c>
      <c r="K12" s="4">
        <f>IF(I12=0,0,J12/I12)</f>
        <v>6.6857787305747263E-2</v>
      </c>
      <c r="L12" s="3">
        <f>L14+L15+L16+L17+L18</f>
        <v>73088.837013306678</v>
      </c>
      <c r="M12" s="3">
        <f>M14+M15+M16+M17+M18</f>
        <v>151.25588574661126</v>
      </c>
      <c r="N12" s="4">
        <f>IF(L12=0,0,M12/L12)</f>
        <v>2.069479990755269E-3</v>
      </c>
      <c r="O12" s="3">
        <f>O14+O15+O16+O17+O18</f>
        <v>2218.4421230582016</v>
      </c>
      <c r="P12" s="3">
        <f>P14+P15+P16+P17+P18</f>
        <v>21.02886922457855</v>
      </c>
      <c r="Q12" s="4">
        <f>IF(O12=0,0,P12/O12)</f>
        <v>9.4791155496044693E-3</v>
      </c>
      <c r="S12" s="3">
        <f>S14+S15+S16+S17+S18</f>
        <v>17581.869861191975</v>
      </c>
      <c r="T12" s="3">
        <f>T14+T15+T16+T17+T18</f>
        <v>6644.3644395277415</v>
      </c>
      <c r="U12" s="4">
        <f>IF(S12=0,0,T12/S12)</f>
        <v>0.37791000001619179</v>
      </c>
      <c r="V12" s="3">
        <f>V14+V15+V16+V17+V18</f>
        <v>619844465.28808701</v>
      </c>
      <c r="W12" s="3">
        <f>W14+W15+W16+W17+W18</f>
        <v>32672650.79602851</v>
      </c>
      <c r="X12" s="4">
        <f>IF(V12=0,0,W12/V12)</f>
        <v>5.2711047086373745E-2</v>
      </c>
      <c r="Y12" s="3">
        <f>Y14+Y15+Y16+Y17+Y18</f>
        <v>23865851.045409296</v>
      </c>
      <c r="Z12" s="3">
        <f>Z14+Z15+Z16+Z17+Z18</f>
        <v>182259.01024660328</v>
      </c>
      <c r="AA12" s="4">
        <f>IF(Y12=0,0,Z12/Y12)</f>
        <v>7.6368116896322301E-3</v>
      </c>
      <c r="AB12" s="3">
        <f>AB14+AB15+AB16+AB17+AB18</f>
        <v>815643.03969645989</v>
      </c>
      <c r="AC12" s="3">
        <f>AC14+AC15+AC16+AC17+AC18</f>
        <v>1680.7280119055067</v>
      </c>
      <c r="AD12" s="4">
        <f>IF(AB12=0,0,AC12/AB12)</f>
        <v>2.0606171206107352E-3</v>
      </c>
    </row>
    <row r="13" spans="1:30" x14ac:dyDescent="0.25">
      <c r="A13" s="5" t="s">
        <v>29</v>
      </c>
    </row>
    <row r="14" spans="1:30" x14ac:dyDescent="0.25">
      <c r="B14" t="s">
        <v>30</v>
      </c>
      <c r="C14" s="3">
        <f>J14+M14+G14+P14</f>
        <v>610.22389456206611</v>
      </c>
      <c r="D14" s="3">
        <f>G14</f>
        <v>188.79556943906991</v>
      </c>
      <c r="E14" s="3">
        <f>J14+M14+P14</f>
        <v>421.42832512299623</v>
      </c>
      <c r="F14" s="3">
        <v>397.34111205252179</v>
      </c>
      <c r="G14" s="3">
        <v>188.79556943906991</v>
      </c>
      <c r="H14" s="4">
        <f>IF(F14=0,0,G14/F14)</f>
        <v>0.4751473323860691</v>
      </c>
      <c r="I14" s="3">
        <v>4596.9756107760377</v>
      </c>
      <c r="J14" s="3">
        <v>361.18659869736899</v>
      </c>
      <c r="K14" s="4">
        <f>IF(I14=0,0,J14/I14)</f>
        <v>7.8570484004894539E-2</v>
      </c>
      <c r="L14" s="3">
        <v>18641.712679665659</v>
      </c>
      <c r="M14" s="3">
        <v>53.864307028021663</v>
      </c>
      <c r="N14" s="4">
        <f>IF(L14=0,0,M14/L14)</f>
        <v>2.8894505539062802E-3</v>
      </c>
      <c r="O14" s="3">
        <v>597.84933727803173</v>
      </c>
      <c r="P14" s="3">
        <v>6.3774193976055829</v>
      </c>
      <c r="Q14" s="4">
        <f>IF(O14=0,0,P14/O14)</f>
        <v>1.0667268490488839E-2</v>
      </c>
      <c r="S14" s="3">
        <v>4416.960542685817</v>
      </c>
      <c r="T14" s="3">
        <v>2098.7070191116909</v>
      </c>
      <c r="U14" s="4">
        <f>IF(S14=0,0,T14/S14)</f>
        <v>0.47514733238606927</v>
      </c>
      <c r="V14" s="3">
        <v>139164134.1773752</v>
      </c>
      <c r="W14" s="3">
        <v>8505845.6689952314</v>
      </c>
      <c r="X14" s="4">
        <f>IF(V14=0,0,W14/V14)</f>
        <v>6.1120961368924906E-2</v>
      </c>
      <c r="Y14" s="3">
        <v>6122536.7016462469</v>
      </c>
      <c r="Z14" s="3">
        <v>65974.70812917687</v>
      </c>
      <c r="AA14" s="4">
        <f>IF(Y14=0,0,Z14/Y14)</f>
        <v>1.0775714600687878E-2</v>
      </c>
      <c r="AB14" s="3">
        <v>208025.75267651089</v>
      </c>
      <c r="AC14" s="3">
        <v>598.48801899957471</v>
      </c>
      <c r="AD14" s="4">
        <f>IF(AB14=0,0,AC14/AB14)</f>
        <v>2.876990042335045E-3</v>
      </c>
    </row>
    <row r="15" spans="1:30" x14ac:dyDescent="0.25">
      <c r="B15" t="s">
        <v>31</v>
      </c>
      <c r="C15" s="3">
        <f>J15+M15+G15+P15</f>
        <v>512.46692346363602</v>
      </c>
      <c r="D15" s="3">
        <f>G15</f>
        <v>148.31342591155939</v>
      </c>
      <c r="E15" s="3">
        <f>J15+M15+P15</f>
        <v>364.15349755207666</v>
      </c>
      <c r="F15" s="3">
        <v>347.01108902834721</v>
      </c>
      <c r="G15" s="3">
        <v>148.31342591155939</v>
      </c>
      <c r="H15" s="4">
        <f>IF(F15=0,0,G15/F15)</f>
        <v>0.42740255456056542</v>
      </c>
      <c r="I15" s="3">
        <v>4120.9915624965133</v>
      </c>
      <c r="J15" s="3">
        <v>324.67693416423162</v>
      </c>
      <c r="K15" s="4">
        <f>IF(I15=0,0,J15/I15)</f>
        <v>7.8786119612324818E-2</v>
      </c>
      <c r="L15" s="3">
        <v>15401.721838607329</v>
      </c>
      <c r="M15" s="3">
        <v>34.045783631026737</v>
      </c>
      <c r="N15" s="4">
        <f>IF(L15=0,0,M15/L15)</f>
        <v>2.2105180179065784E-3</v>
      </c>
      <c r="O15" s="3">
        <v>474.66517473403837</v>
      </c>
      <c r="P15" s="3">
        <v>5.4307797568183158</v>
      </c>
      <c r="Q15" s="4">
        <f>IF(O15=0,0,P15/O15)</f>
        <v>1.1441285448972023E-2</v>
      </c>
      <c r="S15" s="3">
        <v>3857.4772194981001</v>
      </c>
      <c r="T15" s="3">
        <v>1648.695617772675</v>
      </c>
      <c r="U15" s="4">
        <f>IF(S15=0,0,T15/S15)</f>
        <v>0.42740255456056542</v>
      </c>
      <c r="V15" s="3">
        <v>129179305.0153213</v>
      </c>
      <c r="W15" s="3">
        <v>8078008.1331280172</v>
      </c>
      <c r="X15" s="4">
        <f>IF(V15=0,0,W15/V15)</f>
        <v>6.2533299216696717E-2</v>
      </c>
      <c r="Y15" s="3">
        <v>5177909.8376185223</v>
      </c>
      <c r="Z15" s="3">
        <v>45114.783950233832</v>
      </c>
      <c r="AA15" s="4">
        <f>IF(Y15=0,0,Z15/Y15)</f>
        <v>8.7129334741339343E-3</v>
      </c>
      <c r="AB15" s="3">
        <v>171862.19165281719</v>
      </c>
      <c r="AC15" s="3">
        <v>378.31885138832149</v>
      </c>
      <c r="AD15" s="4">
        <f>IF(AB15=0,0,AC15/AB15)</f>
        <v>2.2012919057413875E-3</v>
      </c>
    </row>
    <row r="16" spans="1:30" x14ac:dyDescent="0.25">
      <c r="B16" t="s">
        <v>32</v>
      </c>
      <c r="C16" s="3">
        <f>J16+M16+G16+P16</f>
        <v>430.1225656507022</v>
      </c>
      <c r="D16" s="3">
        <f>G16</f>
        <v>117.9406018300627</v>
      </c>
      <c r="E16" s="3">
        <f>J16+M16+P16</f>
        <v>312.18196382063951</v>
      </c>
      <c r="F16" s="3">
        <v>308.5630389483282</v>
      </c>
      <c r="G16" s="3">
        <v>117.9406018300627</v>
      </c>
      <c r="H16" s="4">
        <f>IF(F16=0,0,G16/F16)</f>
        <v>0.38222530550657746</v>
      </c>
      <c r="I16" s="3">
        <v>3985.2760327157789</v>
      </c>
      <c r="J16" s="3">
        <v>280.13566344122307</v>
      </c>
      <c r="K16" s="4">
        <f>IF(I16=0,0,J16/I16)</f>
        <v>7.0292662576329434E-2</v>
      </c>
      <c r="L16" s="3">
        <v>13777.25618273796</v>
      </c>
      <c r="M16" s="3">
        <v>27.90923734307103</v>
      </c>
      <c r="N16" s="4">
        <f>IF(L16=0,0,M16/L16)</f>
        <v>2.0257471424563883E-3</v>
      </c>
      <c r="O16" s="3">
        <v>416.35114676752949</v>
      </c>
      <c r="P16" s="3">
        <v>4.1370630363454124</v>
      </c>
      <c r="Q16" s="4">
        <f>IF(O16=0,0,P16/O16)</f>
        <v>9.936475661145111E-3</v>
      </c>
      <c r="S16" s="3">
        <v>3430.077398549784</v>
      </c>
      <c r="T16" s="3">
        <v>1311.062381571898</v>
      </c>
      <c r="U16" s="4">
        <f>IF(S16=0,0,T16/S16)</f>
        <v>0.38222530550657757</v>
      </c>
      <c r="V16" s="3">
        <v>125490666.0533599</v>
      </c>
      <c r="W16" s="3">
        <v>7026848.5332566202</v>
      </c>
      <c r="X16" s="4">
        <f>IF(V16=0,0,W16/V16)</f>
        <v>5.5994989541841567E-2</v>
      </c>
      <c r="Y16" s="3">
        <v>4635731.7964105764</v>
      </c>
      <c r="Z16" s="3">
        <v>32670.824420694262</v>
      </c>
      <c r="AA16" s="4">
        <f>IF(Y16=0,0,Z16/Y16)</f>
        <v>7.0476088469982488E-3</v>
      </c>
      <c r="AB16" s="3">
        <v>153752.5023732449</v>
      </c>
      <c r="AC16" s="3">
        <v>310.09741917075007</v>
      </c>
      <c r="AD16" s="4">
        <f>IF(AB16=0,0,AC16/AB16)</f>
        <v>2.0168609576055353E-3</v>
      </c>
    </row>
    <row r="17" spans="1:30" x14ac:dyDescent="0.25">
      <c r="B17" t="s">
        <v>33</v>
      </c>
      <c r="C17" s="3">
        <f>J17+M17+G17+P17</f>
        <v>349.18065136433341</v>
      </c>
      <c r="D17" s="3">
        <f>G17</f>
        <v>99.522205969258039</v>
      </c>
      <c r="E17" s="3">
        <f>J17+M17+P17</f>
        <v>249.6584453950754</v>
      </c>
      <c r="F17" s="3">
        <v>288.86678736531792</v>
      </c>
      <c r="G17" s="3">
        <v>99.522205969258039</v>
      </c>
      <c r="H17" s="4">
        <f>IF(F17=0,0,G17/F17)</f>
        <v>0.3445263018188256</v>
      </c>
      <c r="I17" s="3">
        <v>3614.3317239066419</v>
      </c>
      <c r="J17" s="3">
        <v>223.0981557032205</v>
      </c>
      <c r="K17" s="4">
        <f>IF(I17=0,0,J17/I17)</f>
        <v>6.1725976679882395E-2</v>
      </c>
      <c r="L17" s="3">
        <v>12916.932829144929</v>
      </c>
      <c r="M17" s="3">
        <v>22.595390879644079</v>
      </c>
      <c r="N17" s="4">
        <f>IF(L17=0,0,M17/L17)</f>
        <v>1.7492845382505438E-3</v>
      </c>
      <c r="O17" s="3">
        <v>380.99541784497882</v>
      </c>
      <c r="P17" s="3">
        <v>3.9648988122108282</v>
      </c>
      <c r="Q17" s="4">
        <f>IF(O17=0,0,P17/O17)</f>
        <v>1.0406683719813356E-2</v>
      </c>
      <c r="S17" s="3">
        <v>3211.1280790807491</v>
      </c>
      <c r="T17" s="3">
        <v>1106.3180817522791</v>
      </c>
      <c r="U17" s="4">
        <f>IF(S17=0,0,T17/S17)</f>
        <v>0.34452630181882538</v>
      </c>
      <c r="V17" s="3">
        <v>117876445.53719731</v>
      </c>
      <c r="W17" s="3">
        <v>5909428.3290538341</v>
      </c>
      <c r="X17" s="4">
        <f>IF(V17=0,0,W17/V17)</f>
        <v>5.0132393304895204E-2</v>
      </c>
      <c r="Y17" s="3">
        <v>4171603.1382768038</v>
      </c>
      <c r="Z17" s="3">
        <v>27643.588900032919</v>
      </c>
      <c r="AA17" s="4">
        <f>IF(Y17=0,0,Z17/Y17)</f>
        <v>6.6266104381760222E-3</v>
      </c>
      <c r="AB17" s="3">
        <v>144164.29017248511</v>
      </c>
      <c r="AC17" s="3">
        <v>251.178909528302</v>
      </c>
      <c r="AD17" s="4">
        <f>IF(AB17=0,0,AC17/AB17)</f>
        <v>1.7423101742309378E-3</v>
      </c>
    </row>
    <row r="18" spans="1:30" x14ac:dyDescent="0.25">
      <c r="B18" t="s">
        <v>34</v>
      </c>
      <c r="C18" s="3">
        <f>J18+M18+G18+P18</f>
        <v>167.03727252038544</v>
      </c>
      <c r="D18" s="3">
        <f>G18</f>
        <v>43.142197183599052</v>
      </c>
      <c r="E18" s="3">
        <f>J18+M18+P18</f>
        <v>123.89507533678638</v>
      </c>
      <c r="F18" s="3">
        <v>239.84852037595849</v>
      </c>
      <c r="G18" s="3">
        <v>43.142197183599052</v>
      </c>
      <c r="H18" s="4">
        <f>IF(F18=0,0,G18/F18)</f>
        <v>0.17987268429246256</v>
      </c>
      <c r="I18" s="3">
        <v>3112.2118549380339</v>
      </c>
      <c r="J18" s="3">
        <v>109.9352002503402</v>
      </c>
      <c r="K18" s="4">
        <f>IF(I18=0,0,J18/I18)</f>
        <v>3.5323816428470316E-2</v>
      </c>
      <c r="L18" s="3">
        <v>12351.213483150799</v>
      </c>
      <c r="M18" s="3">
        <v>12.841166864847761</v>
      </c>
      <c r="N18" s="4">
        <f>IF(L18=0,0,M18/L18)</f>
        <v>1.0396684408673967E-3</v>
      </c>
      <c r="O18" s="3">
        <v>348.58104643362333</v>
      </c>
      <c r="P18" s="3">
        <v>1.1187082215984121</v>
      </c>
      <c r="Q18" s="4">
        <f>IF(O18=0,0,P18/O18)</f>
        <v>3.209320280158824E-3</v>
      </c>
      <c r="S18" s="3">
        <v>2666.226621377526</v>
      </c>
      <c r="T18" s="3">
        <v>479.58133931919878</v>
      </c>
      <c r="U18" s="4">
        <f>IF(S18=0,0,T18/S18)</f>
        <v>0.17987268429246253</v>
      </c>
      <c r="V18" s="3">
        <v>108133914.5048333</v>
      </c>
      <c r="W18" s="3">
        <v>3152520.1315948069</v>
      </c>
      <c r="X18" s="4">
        <f>IF(V18=0,0,W18/V18)</f>
        <v>2.9153851925465046E-2</v>
      </c>
      <c r="Y18" s="3">
        <v>3758069.5714571462</v>
      </c>
      <c r="Z18" s="3">
        <v>10855.1048464654</v>
      </c>
      <c r="AA18" s="4">
        <f>IF(Y18=0,0,Z18/Y18)</f>
        <v>2.8884789491154801E-3</v>
      </c>
      <c r="AB18" s="3">
        <v>137838.30282140171</v>
      </c>
      <c r="AC18" s="3">
        <v>142.64481281855839</v>
      </c>
      <c r="AD18" s="4">
        <f>IF(AB18=0,0,AC18/AB18)</f>
        <v>1.034870641169926E-3</v>
      </c>
    </row>
    <row r="20" spans="1:30" x14ac:dyDescent="0.25">
      <c r="A20" s="2" t="s">
        <v>36</v>
      </c>
    </row>
    <row r="21" spans="1:30" x14ac:dyDescent="0.25">
      <c r="B21" t="s">
        <v>28</v>
      </c>
      <c r="C21" s="3">
        <f>C23+C24+C25+C26+C27</f>
        <v>2035.200376390321</v>
      </c>
      <c r="D21" s="3">
        <f>D23+D24+D25+D26+D27</f>
        <v>1075.1027820881895</v>
      </c>
      <c r="E21" s="3">
        <f>E23+E24+E25+E26+E27</f>
        <v>960.09759430213182</v>
      </c>
      <c r="F21" s="3">
        <f>F23+F24+F25+F26+F27</f>
        <v>1921.9196808294905</v>
      </c>
      <c r="G21" s="3">
        <f>G23+G24+G25+G26+G27</f>
        <v>1075.1027820881895</v>
      </c>
      <c r="H21" s="4">
        <f>IF(F21=0,0,G21/F21)</f>
        <v>0.55939006859234652</v>
      </c>
      <c r="I21" s="3">
        <f>I23+I24+I25+I26+I27</f>
        <v>3682.4352162782898</v>
      </c>
      <c r="J21" s="3">
        <f>J23+J24+J25+J26+J27</f>
        <v>692.2560833897752</v>
      </c>
      <c r="K21" s="4">
        <f>IF(I21=0,0,J21/I21)</f>
        <v>0.1879886658506961</v>
      </c>
      <c r="L21" s="3">
        <f>L23+L24+L25+L26+L27</f>
        <v>75120.106151105079</v>
      </c>
      <c r="M21" s="3">
        <f>M23+M24+M25+M26+M27</f>
        <v>207.94835208220408</v>
      </c>
      <c r="N21" s="4">
        <f>IF(L21=0,0,M21/L21)</f>
        <v>2.7682116378258737E-3</v>
      </c>
      <c r="O21" s="3">
        <f>O23+O24+O25+O26+O27</f>
        <v>1936.1737568351107</v>
      </c>
      <c r="P21" s="3">
        <f>P23+P24+P25+P26+P27</f>
        <v>59.8931588301527</v>
      </c>
      <c r="Q21" s="4">
        <f>IF(O21=0,0,P21/O21)</f>
        <v>3.0933772663076824E-2</v>
      </c>
      <c r="S21" s="3">
        <f>S23+S24+S25+S26+S27</f>
        <v>21364.623843185575</v>
      </c>
      <c r="T21" s="3">
        <f>T23+T24+T25+T26+T27</f>
        <v>11951.158397089261</v>
      </c>
      <c r="U21" s="4">
        <f>IF(S21=0,0,T21/S21)</f>
        <v>0.55939006859234652</v>
      </c>
      <c r="V21" s="3">
        <f>V23+V24+V25+V26+V27</f>
        <v>106670224.92367341</v>
      </c>
      <c r="W21" s="3">
        <f>W23+W24+W25+W26+W27</f>
        <v>16637355.760071689</v>
      </c>
      <c r="X21" s="4">
        <f>IF(V21=0,0,W21/V21)</f>
        <v>0.15597000730031599</v>
      </c>
      <c r="Y21" s="3">
        <f>Y23+Y24+Y25+Y26+Y27</f>
        <v>8082003.8383214176</v>
      </c>
      <c r="Z21" s="3">
        <f>Z23+Z24+Z25+Z26+Z27</f>
        <v>258149.94787068455</v>
      </c>
      <c r="AA21" s="4">
        <f>IF(Y21=0,0,Z21/Y21)</f>
        <v>3.1941329531006597E-2</v>
      </c>
      <c r="AB21" s="3">
        <f>AB23+AB24+AB25+AB26+AB27</f>
        <v>844449.53447731666</v>
      </c>
      <c r="AC21" s="3">
        <f>AC23+AC24+AC25+AC26+AC27</f>
        <v>2308.9046278140158</v>
      </c>
      <c r="AD21" s="4">
        <f>IF(AB21=0,0,AC21/AB21)</f>
        <v>2.7342126835834461E-3</v>
      </c>
    </row>
    <row r="22" spans="1:30" x14ac:dyDescent="0.25">
      <c r="A22" s="5" t="s">
        <v>29</v>
      </c>
    </row>
    <row r="23" spans="1:30" x14ac:dyDescent="0.25">
      <c r="B23" t="s">
        <v>30</v>
      </c>
      <c r="C23" s="3">
        <f>J23+M23+G23+P23</f>
        <v>532.13937442389363</v>
      </c>
      <c r="D23" s="3">
        <f>G23</f>
        <v>277.48144279559938</v>
      </c>
      <c r="E23" s="3">
        <f>J23+M23+P23</f>
        <v>254.65793162829431</v>
      </c>
      <c r="F23" s="3">
        <v>428.09244082133358</v>
      </c>
      <c r="G23" s="3">
        <v>277.48144279559938</v>
      </c>
      <c r="H23" s="4">
        <f>IF(F23=0,0,G23/F23)</f>
        <v>0.64818113177431125</v>
      </c>
      <c r="I23" s="3">
        <v>991.82050542122556</v>
      </c>
      <c r="J23" s="3">
        <v>166.97305006018021</v>
      </c>
      <c r="K23" s="4">
        <f>IF(I23=0,0,J23/I23)</f>
        <v>0.16835006853308287</v>
      </c>
      <c r="L23" s="3">
        <v>18248.150900694091</v>
      </c>
      <c r="M23" s="3">
        <v>73.907573516033594</v>
      </c>
      <c r="N23" s="4">
        <f>IF(L23=0,0,M23/L23)</f>
        <v>4.0501404179654407E-3</v>
      </c>
      <c r="O23" s="3">
        <v>476.04818802351332</v>
      </c>
      <c r="P23" s="3">
        <v>13.77730805208051</v>
      </c>
      <c r="Q23" s="4">
        <f>IF(O23=0,0,P23/O23)</f>
        <v>2.894099462762793E-2</v>
      </c>
      <c r="S23" s="3">
        <v>4758.8013481976486</v>
      </c>
      <c r="T23" s="3">
        <v>3084.565243763871</v>
      </c>
      <c r="U23" s="4">
        <f>IF(S23=0,0,T23/S23)</f>
        <v>0.64818113177431147</v>
      </c>
      <c r="V23" s="3">
        <v>25699987.560610589</v>
      </c>
      <c r="W23" s="3">
        <v>3401420.686246444</v>
      </c>
      <c r="X23" s="4">
        <f>IF(V23=0,0,W23/V23)</f>
        <v>0.13235106352579232</v>
      </c>
      <c r="Y23" s="3">
        <v>1959206.3612258229</v>
      </c>
      <c r="Z23" s="3">
        <v>65082.608297784107</v>
      </c>
      <c r="AA23" s="4">
        <f>IF(Y23=0,0,Z23/Y23)</f>
        <v>3.3218863303947042E-2</v>
      </c>
      <c r="AB23" s="3">
        <v>205054.68928072241</v>
      </c>
      <c r="AC23" s="3">
        <v>820.51982641321956</v>
      </c>
      <c r="AD23" s="4">
        <f>IF(AB23=0,0,AC23/AB23)</f>
        <v>4.0014682389921735E-3</v>
      </c>
    </row>
    <row r="24" spans="1:30" x14ac:dyDescent="0.25">
      <c r="B24" t="s">
        <v>31</v>
      </c>
      <c r="C24" s="3">
        <f>J24+M24+G24+P24</f>
        <v>505.78668747185765</v>
      </c>
      <c r="D24" s="3">
        <f>G24</f>
        <v>273.77050166811699</v>
      </c>
      <c r="E24" s="3">
        <f>J24+M24+P24</f>
        <v>232.01618580374068</v>
      </c>
      <c r="F24" s="3">
        <v>437.75116549754102</v>
      </c>
      <c r="G24" s="3">
        <v>273.77050166811699</v>
      </c>
      <c r="H24" s="4">
        <f>IF(F24=0,0,G24/F24)</f>
        <v>0.62540210796915596</v>
      </c>
      <c r="I24" s="3">
        <v>847.52939170447485</v>
      </c>
      <c r="J24" s="3">
        <v>153.3462496447697</v>
      </c>
      <c r="K24" s="4">
        <f>IF(I24=0,0,J24/I24)</f>
        <v>0.18093325275289099</v>
      </c>
      <c r="L24" s="3">
        <v>18442.648959675</v>
      </c>
      <c r="M24" s="3">
        <v>61.556604397132993</v>
      </c>
      <c r="N24" s="4">
        <f>IF(L24=0,0,M24/L24)</f>
        <v>3.3377311758048967E-3</v>
      </c>
      <c r="O24" s="3">
        <v>476.56393826290048</v>
      </c>
      <c r="P24" s="3">
        <v>17.113331761837991</v>
      </c>
      <c r="Q24" s="4">
        <f>IF(O24=0,0,P24/O24)</f>
        <v>3.5909833681954502E-2</v>
      </c>
      <c r="S24" s="3">
        <v>4866.1705694873763</v>
      </c>
      <c r="T24" s="3">
        <v>3043.313331894874</v>
      </c>
      <c r="U24" s="4">
        <f>IF(S24=0,0,T24/S24)</f>
        <v>0.62540210796915607</v>
      </c>
      <c r="V24" s="3">
        <v>23322467.600951109</v>
      </c>
      <c r="W24" s="3">
        <v>3423888.8638618961</v>
      </c>
      <c r="X24" s="4">
        <f>IF(V24=0,0,W24/V24)</f>
        <v>0.14680645815206395</v>
      </c>
      <c r="Y24" s="3">
        <v>2033978.1299748039</v>
      </c>
      <c r="Z24" s="3">
        <v>70352.468004657887</v>
      </c>
      <c r="AA24" s="4">
        <f>IF(Y24=0,0,Z24/Y24)</f>
        <v>3.4588605928387924E-2</v>
      </c>
      <c r="AB24" s="3">
        <v>207305.28823611679</v>
      </c>
      <c r="AC24" s="3">
        <v>683.76652201107936</v>
      </c>
      <c r="AD24" s="4">
        <f>IF(AB24=0,0,AC24/AB24)</f>
        <v>3.2983554246444609E-3</v>
      </c>
    </row>
    <row r="25" spans="1:30" x14ac:dyDescent="0.25">
      <c r="B25" t="s">
        <v>32</v>
      </c>
      <c r="C25" s="3">
        <f>J25+M25+G25+P25</f>
        <v>400.63814719596553</v>
      </c>
      <c r="D25" s="3">
        <f>G25</f>
        <v>214.28435758159819</v>
      </c>
      <c r="E25" s="3">
        <f>J25+M25+P25</f>
        <v>186.35378961436732</v>
      </c>
      <c r="F25" s="3">
        <v>396.28526128416758</v>
      </c>
      <c r="G25" s="3">
        <v>214.28435758159819</v>
      </c>
      <c r="H25" s="4">
        <f>IF(F25=0,0,G25/F25)</f>
        <v>0.54073259471524859</v>
      </c>
      <c r="I25" s="3">
        <v>721.62080381298233</v>
      </c>
      <c r="J25" s="3">
        <v>137.51098482848519</v>
      </c>
      <c r="K25" s="4">
        <f>IF(I25=0,0,J25/I25)</f>
        <v>0.19055850954114539</v>
      </c>
      <c r="L25" s="3">
        <v>15355.961975565249</v>
      </c>
      <c r="M25" s="3">
        <v>36.005612529100851</v>
      </c>
      <c r="N25" s="4">
        <f>IF(L25=0,0,M25/L25)</f>
        <v>2.3447318107712033E-3</v>
      </c>
      <c r="O25" s="3">
        <v>391.5266582641886</v>
      </c>
      <c r="P25" s="3">
        <v>12.83719225678127</v>
      </c>
      <c r="Q25" s="4">
        <f>IF(O25=0,0,P25/O25)</f>
        <v>3.2787530518852123E-2</v>
      </c>
      <c r="S25" s="3">
        <v>4405.2233953297473</v>
      </c>
      <c r="T25" s="3">
        <v>2382.047876856971</v>
      </c>
      <c r="U25" s="4">
        <f>IF(S25=0,0,T25/S25)</f>
        <v>0.54073259471524848</v>
      </c>
      <c r="V25" s="3">
        <v>21162807.846375171</v>
      </c>
      <c r="W25" s="3">
        <v>3337513.1796382521</v>
      </c>
      <c r="X25" s="4">
        <f>IF(V25=0,0,W25/V25)</f>
        <v>0.15770653893688835</v>
      </c>
      <c r="Y25" s="3">
        <v>1664123.912966297</v>
      </c>
      <c r="Z25" s="3">
        <v>53910.802672466729</v>
      </c>
      <c r="AA25" s="4">
        <f>IF(Y25=0,0,Z25/Y25)</f>
        <v>3.2395906490142824E-2</v>
      </c>
      <c r="AB25" s="3">
        <v>172634.6152091868</v>
      </c>
      <c r="AC25" s="3">
        <v>399.65888185758382</v>
      </c>
      <c r="AD25" s="4">
        <f>IF(AB25=0,0,AC25/AB25)</f>
        <v>2.3150564640428838E-3</v>
      </c>
    </row>
    <row r="26" spans="1:30" x14ac:dyDescent="0.25">
      <c r="B26" t="s">
        <v>33</v>
      </c>
      <c r="C26" s="3">
        <f>J26+M26+G26+P26</f>
        <v>331.14701605525443</v>
      </c>
      <c r="D26" s="3">
        <f>G26</f>
        <v>169.09086715748001</v>
      </c>
      <c r="E26" s="3">
        <f>J26+M26+P26</f>
        <v>162.05614889777445</v>
      </c>
      <c r="F26" s="3">
        <v>351.26672270713158</v>
      </c>
      <c r="G26" s="3">
        <v>169.09086715748001</v>
      </c>
      <c r="H26" s="4">
        <f>IF(F26=0,0,G26/F26)</f>
        <v>0.48137456874461582</v>
      </c>
      <c r="I26" s="3">
        <v>656.23600296293523</v>
      </c>
      <c r="J26" s="3">
        <v>131.22809870126761</v>
      </c>
      <c r="K26" s="4">
        <f>IF(I26=0,0,J26/I26)</f>
        <v>0.19997089173523977</v>
      </c>
      <c r="L26" s="3">
        <v>12320.893910346331</v>
      </c>
      <c r="M26" s="3">
        <v>21.953041641423479</v>
      </c>
      <c r="N26" s="4">
        <f>IF(L26=0,0,M26/L26)</f>
        <v>1.7817734493264861E-3</v>
      </c>
      <c r="O26" s="3">
        <v>305.89771512841492</v>
      </c>
      <c r="P26" s="3">
        <v>8.8750085550833617</v>
      </c>
      <c r="Q26" s="4">
        <f>IF(O26=0,0,P26/O26)</f>
        <v>2.9012993939355382E-2</v>
      </c>
      <c r="S26" s="3">
        <v>3904.7840938011818</v>
      </c>
      <c r="T26" s="3">
        <v>1879.66375919438</v>
      </c>
      <c r="U26" s="4">
        <f>IF(S26=0,0,T26/S26)</f>
        <v>0.48137456874461598</v>
      </c>
      <c r="V26" s="3">
        <v>20232379.411657181</v>
      </c>
      <c r="W26" s="3">
        <v>3377261.9696825258</v>
      </c>
      <c r="X26" s="4">
        <f>IF(V26=0,0,W26/V26)</f>
        <v>0.16692361787841262</v>
      </c>
      <c r="Y26" s="3">
        <v>1291512.2728871789</v>
      </c>
      <c r="Z26" s="3">
        <v>35946.191367430612</v>
      </c>
      <c r="AA26" s="4">
        <f>IF(Y26=0,0,Z26/Y26)</f>
        <v>2.7832636299361533E-2</v>
      </c>
      <c r="AB26" s="3">
        <v>138538.51808137319</v>
      </c>
      <c r="AC26" s="3">
        <v>243.82372102720549</v>
      </c>
      <c r="AD26" s="4">
        <f>IF(AB26=0,0,AC26/AB26)</f>
        <v>1.7599706161429494E-3</v>
      </c>
    </row>
    <row r="27" spans="1:30" x14ac:dyDescent="0.25">
      <c r="B27" t="s">
        <v>34</v>
      </c>
      <c r="C27" s="3">
        <f>J27+M27+G27+P27</f>
        <v>265.48915124334991</v>
      </c>
      <c r="D27" s="3">
        <f>G27</f>
        <v>140.47561288539481</v>
      </c>
      <c r="E27" s="3">
        <f>J27+M27+P27</f>
        <v>125.01353835795513</v>
      </c>
      <c r="F27" s="3">
        <v>308.52409051931693</v>
      </c>
      <c r="G27" s="3">
        <v>140.47561288539481</v>
      </c>
      <c r="H27" s="4">
        <f>IF(F27=0,0,G27/F27)</f>
        <v>0.4553148917769827</v>
      </c>
      <c r="I27" s="3">
        <v>465.22851237667129</v>
      </c>
      <c r="J27" s="3">
        <v>103.1977001550724</v>
      </c>
      <c r="K27" s="4">
        <f>IF(I27=0,0,J27/I27)</f>
        <v>0.22182152944125358</v>
      </c>
      <c r="L27" s="3">
        <v>10752.450404824391</v>
      </c>
      <c r="M27" s="3">
        <v>14.525519998513159</v>
      </c>
      <c r="N27" s="4">
        <f>IF(L27=0,0,M27/L27)</f>
        <v>1.3509032315085941E-3</v>
      </c>
      <c r="O27" s="3">
        <v>286.13725715609343</v>
      </c>
      <c r="P27" s="3">
        <v>7.2903182043695702</v>
      </c>
      <c r="Q27" s="4">
        <f>IF(O27=0,0,P27/O27)</f>
        <v>2.5478395497418781E-2</v>
      </c>
      <c r="S27" s="3">
        <v>3429.6444363696219</v>
      </c>
      <c r="T27" s="3">
        <v>1561.568185379165</v>
      </c>
      <c r="U27" s="4">
        <f>IF(S27=0,0,T27/S27)</f>
        <v>0.45531489177698264</v>
      </c>
      <c r="V27" s="3">
        <v>16252582.504079361</v>
      </c>
      <c r="W27" s="3">
        <v>3097271.0606425721</v>
      </c>
      <c r="X27" s="4">
        <f>IF(V27=0,0,W27/V27)</f>
        <v>0.19057100986044306</v>
      </c>
      <c r="Y27" s="3">
        <v>1133183.161267315</v>
      </c>
      <c r="Z27" s="3">
        <v>32857.877528345212</v>
      </c>
      <c r="AA27" s="4">
        <f>IF(Y27=0,0,Z27/Y27)</f>
        <v>2.8996086997620081E-2</v>
      </c>
      <c r="AB27" s="3">
        <v>120916.42366991749</v>
      </c>
      <c r="AC27" s="3">
        <v>161.13567650492769</v>
      </c>
      <c r="AD27" s="4">
        <f>IF(AB27=0,0,AC27/AB27)</f>
        <v>1.3326202645953401E-3</v>
      </c>
    </row>
    <row r="29" spans="1:30" x14ac:dyDescent="0.25">
      <c r="A29" s="2" t="s">
        <v>37</v>
      </c>
    </row>
    <row r="30" spans="1:30" x14ac:dyDescent="0.25">
      <c r="B30" t="s">
        <v>28</v>
      </c>
      <c r="C30" s="3">
        <f>C32+C33+C34+C35+C36</f>
        <v>252.98081722758172</v>
      </c>
      <c r="D30" s="3">
        <f>D32+D33+D34+D35+D36</f>
        <v>252.98081722758172</v>
      </c>
      <c r="E30" s="3">
        <f>E32+E33+E34+E35+E36</f>
        <v>0</v>
      </c>
      <c r="F30" s="3">
        <f>F32+F33+F34+F35+F36</f>
        <v>660.80113298361266</v>
      </c>
      <c r="G30" s="3">
        <f>G32+G33+G34+G35+G36</f>
        <v>245.1322541365746</v>
      </c>
      <c r="H30" s="4">
        <f>IF(F30=0,0,G30/F30)</f>
        <v>0.37096221828459497</v>
      </c>
      <c r="I30" s="3">
        <f>I32+I33+I34+I35+I36</f>
        <v>814.53034621778045</v>
      </c>
      <c r="J30" s="6">
        <f>J32+J33+J34+J35+J36</f>
        <v>7.8485630910071178</v>
      </c>
      <c r="K30" s="7">
        <f>IF(I30=0,0,J30/I30)</f>
        <v>9.6356914477789789E-3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7345.6595414292105</v>
      </c>
      <c r="T30" s="3">
        <f>T32+T33+T34+T35+T36</f>
        <v>2724.9621582519808</v>
      </c>
      <c r="U30" s="4">
        <f>IF(S30=0,0,T30/S30)</f>
        <v>0.37096221828459497</v>
      </c>
      <c r="V30" s="3">
        <f>V32+V33+V34+V35+V36</f>
        <v>26890169.836246081</v>
      </c>
      <c r="W30" s="6">
        <f>W32+W33+W34+W35+W36</f>
        <v>292255.43316228967</v>
      </c>
      <c r="X30" s="7">
        <f>IF(V30=0,0,W30/V30)</f>
        <v>1.086848595386518E-2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 x14ac:dyDescent="0.25">
      <c r="A31" s="5" t="s">
        <v>29</v>
      </c>
    </row>
    <row r="32" spans="1:30" x14ac:dyDescent="0.25">
      <c r="B32" t="s">
        <v>30</v>
      </c>
      <c r="C32" s="3">
        <f>J32+M32+G32+P32</f>
        <v>73.82106874493499</v>
      </c>
      <c r="D32" s="3">
        <f>G32+J32</f>
        <v>73.82106874493499</v>
      </c>
      <c r="E32" s="3">
        <f>M32+P32</f>
        <v>0</v>
      </c>
      <c r="F32" s="3">
        <v>158.01636350616181</v>
      </c>
      <c r="G32" s="3">
        <v>71.120547266421269</v>
      </c>
      <c r="H32" s="4">
        <f>IF(F32=0,0,G32/F32)</f>
        <v>0.45008343242659132</v>
      </c>
      <c r="I32" s="3">
        <v>289.90090139463632</v>
      </c>
      <c r="J32" s="6">
        <v>2.7005214785137208</v>
      </c>
      <c r="K32" s="7">
        <f>IF(I32=0,0,J32/I32)</f>
        <v>9.3153262563939205E-3</v>
      </c>
      <c r="L32" s="3">
        <v>0</v>
      </c>
      <c r="M32" s="3">
        <v>0</v>
      </c>
      <c r="N32" s="4">
        <f>IF(L32=0,0,M32/L32)</f>
        <v>0</v>
      </c>
      <c r="O32" s="3">
        <v>0</v>
      </c>
      <c r="P32" s="3">
        <v>0</v>
      </c>
      <c r="Q32" s="4">
        <f>IF(O32=0,0,P32/O32)</f>
        <v>0</v>
      </c>
      <c r="S32" s="3">
        <v>1756.5563228532919</v>
      </c>
      <c r="T32" s="3">
        <v>790.59689904044183</v>
      </c>
      <c r="U32" s="4">
        <f>IF(S32=0,0,T32/S32)</f>
        <v>0.4500834324265916</v>
      </c>
      <c r="V32" s="3">
        <v>7917202.4300766056</v>
      </c>
      <c r="W32" s="6">
        <v>79522.935220028274</v>
      </c>
      <c r="X32" s="7">
        <f>IF(V32=0,0,W32/V32)</f>
        <v>1.004432259025349E-2</v>
      </c>
      <c r="Y32" s="3">
        <v>0</v>
      </c>
      <c r="Z32" s="3">
        <v>0</v>
      </c>
      <c r="AA32" s="4">
        <f>IF(Y32=0,0,Z32/Y32)</f>
        <v>0</v>
      </c>
      <c r="AB32" s="3">
        <v>0</v>
      </c>
      <c r="AC32" s="3">
        <v>0</v>
      </c>
      <c r="AD32" s="4">
        <f>IF(AB32=0,0,AC32/AB32)</f>
        <v>0</v>
      </c>
    </row>
    <row r="33" spans="1:30" x14ac:dyDescent="0.25">
      <c r="B33" t="s">
        <v>31</v>
      </c>
      <c r="C33" s="3">
        <f>J33+M33+G33+P33</f>
        <v>66.051288895629042</v>
      </c>
      <c r="D33" s="3">
        <f>G33+J33</f>
        <v>66.051288895629042</v>
      </c>
      <c r="E33" s="3">
        <f>M33+P33</f>
        <v>0</v>
      </c>
      <c r="F33" s="3">
        <v>150.30970532381971</v>
      </c>
      <c r="G33" s="3">
        <v>64.218379853471717</v>
      </c>
      <c r="H33" s="4">
        <f>IF(F33=0,0,G33/F33)</f>
        <v>0.42724040816341735</v>
      </c>
      <c r="I33" s="3">
        <v>172.51020331953049</v>
      </c>
      <c r="J33" s="6">
        <v>1.83290904215732</v>
      </c>
      <c r="K33" s="7">
        <f>IF(I33=0,0,J33/I33)</f>
        <v>1.0624931203416012E-2</v>
      </c>
      <c r="L33" s="3">
        <v>0</v>
      </c>
      <c r="M33" s="3">
        <v>0</v>
      </c>
      <c r="N33" s="4">
        <f>IF(L33=0,0,M33/L33)</f>
        <v>0</v>
      </c>
      <c r="O33" s="3">
        <v>0</v>
      </c>
      <c r="P33" s="3">
        <v>0</v>
      </c>
      <c r="Q33" s="4">
        <f>IF(O33=0,0,P33/O33)</f>
        <v>0</v>
      </c>
      <c r="S33" s="3">
        <v>1670.8868462377629</v>
      </c>
      <c r="T33" s="3">
        <v>713.87037818150714</v>
      </c>
      <c r="U33" s="4">
        <f>IF(S33=0,0,T33/S33)</f>
        <v>0.42724040816341741</v>
      </c>
      <c r="V33" s="3">
        <v>5775458.9344058</v>
      </c>
      <c r="W33" s="6">
        <v>71151.412156144157</v>
      </c>
      <c r="X33" s="7">
        <f>IF(V33=0,0,W33/V33)</f>
        <v>1.2319611820331379E-2</v>
      </c>
      <c r="Y33" s="3">
        <v>0</v>
      </c>
      <c r="Z33" s="3">
        <v>0</v>
      </c>
      <c r="AA33" s="4">
        <f>IF(Y33=0,0,Z33/Y33)</f>
        <v>0</v>
      </c>
      <c r="AB33" s="3">
        <v>0</v>
      </c>
      <c r="AC33" s="3">
        <v>0</v>
      </c>
      <c r="AD33" s="4">
        <f>IF(AB33=0,0,AC33/AB33)</f>
        <v>0</v>
      </c>
    </row>
    <row r="34" spans="1:30" x14ac:dyDescent="0.25">
      <c r="B34" t="s">
        <v>32</v>
      </c>
      <c r="C34" s="3">
        <f>J34+M34+G34+P34</f>
        <v>65.437886901995398</v>
      </c>
      <c r="D34" s="3">
        <f>G34+J34</f>
        <v>65.437886901995398</v>
      </c>
      <c r="E34" s="3">
        <f>M34+P34</f>
        <v>0</v>
      </c>
      <c r="F34" s="3">
        <v>136.8081181206467</v>
      </c>
      <c r="G34" s="3">
        <v>63.504190897818653</v>
      </c>
      <c r="H34" s="4">
        <f>IF(F34=0,0,G34/F34)</f>
        <v>0.46418437568022347</v>
      </c>
      <c r="I34" s="3">
        <v>135.45605543604131</v>
      </c>
      <c r="J34" s="6">
        <v>1.933696004176745</v>
      </c>
      <c r="K34" s="7">
        <f>IF(I34=0,0,J34/I34)</f>
        <v>1.4275448948753598E-2</v>
      </c>
      <c r="L34" s="3">
        <v>0</v>
      </c>
      <c r="M34" s="3">
        <v>0</v>
      </c>
      <c r="N34" s="4">
        <f>IF(L34=0,0,M34/L34)</f>
        <v>0</v>
      </c>
      <c r="O34" s="3">
        <v>0</v>
      </c>
      <c r="P34" s="3">
        <v>0</v>
      </c>
      <c r="Q34" s="4">
        <f>IF(O34=0,0,P34/O34)</f>
        <v>0</v>
      </c>
      <c r="S34" s="3">
        <v>1520.7992360431149</v>
      </c>
      <c r="T34" s="3">
        <v>705.93124391763399</v>
      </c>
      <c r="U34" s="4">
        <f>IF(S34=0,0,T34/S34)</f>
        <v>0.46418437568022342</v>
      </c>
      <c r="V34" s="3">
        <v>4941006.3189266957</v>
      </c>
      <c r="W34" s="6">
        <v>79056.746527970769</v>
      </c>
      <c r="X34" s="7">
        <f>IF(V34=0,0,W34/V34)</f>
        <v>1.6000130626253436E-2</v>
      </c>
      <c r="Y34" s="3">
        <v>0</v>
      </c>
      <c r="Z34" s="3">
        <v>0</v>
      </c>
      <c r="AA34" s="4">
        <f>IF(Y34=0,0,Z34/Y34)</f>
        <v>0</v>
      </c>
      <c r="AB34" s="3">
        <v>0</v>
      </c>
      <c r="AC34" s="3">
        <v>0</v>
      </c>
      <c r="AD34" s="4">
        <f>IF(AB34=0,0,AC34/AB34)</f>
        <v>0</v>
      </c>
    </row>
    <row r="35" spans="1:30" x14ac:dyDescent="0.25">
      <c r="B35" t="s">
        <v>33</v>
      </c>
      <c r="C35" s="3">
        <f>J35+M35+G35+P35</f>
        <v>29.385977025459027</v>
      </c>
      <c r="D35" s="3">
        <f>G35+J35</f>
        <v>29.385977025459027</v>
      </c>
      <c r="E35" s="3">
        <f>M35+P35</f>
        <v>0</v>
      </c>
      <c r="F35" s="3">
        <v>120.55842024780129</v>
      </c>
      <c r="G35" s="3">
        <v>28.61946098787946</v>
      </c>
      <c r="H35" s="4">
        <f>IF(F35=0,0,G35/F35)</f>
        <v>0.23739080960959599</v>
      </c>
      <c r="I35" s="3">
        <v>131.31388542968341</v>
      </c>
      <c r="J35" s="6">
        <v>0.76651603757956766</v>
      </c>
      <c r="K35" s="7">
        <f>IF(I35=0,0,J35/I35)</f>
        <v>5.8372809171808818E-3</v>
      </c>
      <c r="L35" s="3">
        <v>0</v>
      </c>
      <c r="M35" s="3">
        <v>0</v>
      </c>
      <c r="N35" s="4">
        <f>IF(L35=0,0,M35/L35)</f>
        <v>0</v>
      </c>
      <c r="O35" s="3">
        <v>0</v>
      </c>
      <c r="P35" s="3">
        <v>0</v>
      </c>
      <c r="Q35" s="4">
        <f>IF(O35=0,0,P35/O35)</f>
        <v>0</v>
      </c>
      <c r="S35" s="3">
        <v>1340.1628202336269</v>
      </c>
      <c r="T35" s="3">
        <v>318.14233690394002</v>
      </c>
      <c r="U35" s="4">
        <f>IF(S35=0,0,T35/S35)</f>
        <v>0.23739080960959591</v>
      </c>
      <c r="V35" s="3">
        <v>4714339.9302510964</v>
      </c>
      <c r="W35" s="6">
        <v>33401.84311571531</v>
      </c>
      <c r="X35" s="7">
        <f>IF(V35=0,0,W35/V35)</f>
        <v>7.0851579669470831E-3</v>
      </c>
      <c r="Y35" s="3">
        <v>0</v>
      </c>
      <c r="Z35" s="3">
        <v>0</v>
      </c>
      <c r="AA35" s="4">
        <f>IF(Y35=0,0,Z35/Y35)</f>
        <v>0</v>
      </c>
      <c r="AB35" s="3">
        <v>0</v>
      </c>
      <c r="AC35" s="3">
        <v>0</v>
      </c>
      <c r="AD35" s="4">
        <f>IF(AB35=0,0,AC35/AB35)</f>
        <v>0</v>
      </c>
    </row>
    <row r="36" spans="1:30" x14ac:dyDescent="0.25">
      <c r="B36" t="s">
        <v>34</v>
      </c>
      <c r="C36" s="3">
        <f>J36+M36+G36+P36</f>
        <v>18.284595659563276</v>
      </c>
      <c r="D36" s="3">
        <f>G36+J36</f>
        <v>18.284595659563276</v>
      </c>
      <c r="E36" s="3">
        <f>M36+P36</f>
        <v>0</v>
      </c>
      <c r="F36" s="3">
        <v>95.10852578518319</v>
      </c>
      <c r="G36" s="3">
        <v>17.66967513098351</v>
      </c>
      <c r="H36" s="4">
        <f>IF(F36=0,0,G36/F36)</f>
        <v>0.18578434462219623</v>
      </c>
      <c r="I36" s="3">
        <v>85.349300637888987</v>
      </c>
      <c r="J36" s="6">
        <v>0.6149205285797652</v>
      </c>
      <c r="K36" s="7">
        <f>IF(I36=0,0,J36/I36)</f>
        <v>7.2047518138278034E-3</v>
      </c>
      <c r="L36" s="3">
        <v>0</v>
      </c>
      <c r="M36" s="3">
        <v>0</v>
      </c>
      <c r="N36" s="4">
        <f>IF(L36=0,0,M36/L36)</f>
        <v>0</v>
      </c>
      <c r="O36" s="3">
        <v>0</v>
      </c>
      <c r="P36" s="3">
        <v>0</v>
      </c>
      <c r="Q36" s="4">
        <f>IF(O36=0,0,P36/O36)</f>
        <v>0</v>
      </c>
      <c r="S36" s="3">
        <v>1057.2543160614141</v>
      </c>
      <c r="T36" s="3">
        <v>196.42130020845809</v>
      </c>
      <c r="U36" s="4">
        <f>IF(S36=0,0,T36/S36)</f>
        <v>0.1857843446221962</v>
      </c>
      <c r="V36" s="3">
        <v>3542162.2225858839</v>
      </c>
      <c r="W36" s="6">
        <v>29122.496142431159</v>
      </c>
      <c r="X36" s="7">
        <f>IF(V36=0,0,W36/V36)</f>
        <v>8.2216720501216544E-3</v>
      </c>
      <c r="Y36" s="3">
        <v>0</v>
      </c>
      <c r="Z36" s="3">
        <v>0</v>
      </c>
      <c r="AA36" s="4">
        <f>IF(Y36=0,0,Z36/Y36)</f>
        <v>0</v>
      </c>
      <c r="AB36" s="3">
        <v>0</v>
      </c>
      <c r="AC36" s="3">
        <v>0</v>
      </c>
      <c r="AD36" s="4">
        <f>IF(AB36=0,0,AC36/AB36)</f>
        <v>0</v>
      </c>
    </row>
    <row r="38" spans="1:30" x14ac:dyDescent="0.25">
      <c r="A38" s="2" t="s">
        <v>38</v>
      </c>
    </row>
    <row r="39" spans="1:30" x14ac:dyDescent="0.25">
      <c r="B39" t="s">
        <v>28</v>
      </c>
      <c r="C39" s="3">
        <f>C41+C42+C43+C44+C45</f>
        <v>509.8785426179017</v>
      </c>
      <c r="D39" s="3">
        <f>D41+D42+D43+D44+D45</f>
        <v>509.8785426179017</v>
      </c>
      <c r="E39" s="3">
        <f>E41+E42+E43+E44+E45</f>
        <v>0</v>
      </c>
      <c r="F39" s="3">
        <f>F41+F42+F43+F44+F45</f>
        <v>660.80113298361266</v>
      </c>
      <c r="G39" s="3">
        <f>G41+G42+G43+G44+G45</f>
        <v>480.83763185909783</v>
      </c>
      <c r="H39" s="4">
        <f>IF(F39=0,0,G39/F39)</f>
        <v>0.72765860689137496</v>
      </c>
      <c r="I39" s="3">
        <f>I41+I42+I43+I44+I45</f>
        <v>814.53034621778045</v>
      </c>
      <c r="J39" s="6">
        <f>J41+J42+J43+J44+J45</f>
        <v>29.040910758803861</v>
      </c>
      <c r="K39" s="7">
        <f>IF(I39=0,0,J39/I39)</f>
        <v>3.5653565141745142E-2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7345.6595414292105</v>
      </c>
      <c r="T39" s="3">
        <f>T41+T42+T43+T44+T45</f>
        <v>5345.1323886147175</v>
      </c>
      <c r="U39" s="4">
        <f>IF(S39=0,0,T39/S39)</f>
        <v>0.72765860689137518</v>
      </c>
      <c r="V39" s="3">
        <f>V41+V42+V43+V44+V45</f>
        <v>26890169.836246081</v>
      </c>
      <c r="W39" s="6">
        <f>W41+W42+W43+W44+W45</f>
        <v>1105374.7651894097</v>
      </c>
      <c r="X39" s="7">
        <f>IF(V39=0,0,W39/V39)</f>
        <v>4.1107020592314795E-2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 x14ac:dyDescent="0.25">
      <c r="A40" s="5" t="s">
        <v>29</v>
      </c>
    </row>
    <row r="41" spans="1:30" x14ac:dyDescent="0.25">
      <c r="B41" t="s">
        <v>30</v>
      </c>
      <c r="C41" s="3">
        <f>J41+M41+G41+P41</f>
        <v>138.65122217384757</v>
      </c>
      <c r="D41" s="3">
        <f>G41+J41</f>
        <v>138.65122217384757</v>
      </c>
      <c r="E41" s="3">
        <f>M41+P41</f>
        <v>0</v>
      </c>
      <c r="F41" s="3">
        <v>158.01636350616181</v>
      </c>
      <c r="G41" s="3">
        <v>128.62683418279411</v>
      </c>
      <c r="H41" s="4">
        <f>IF(F41=0,0,G41/F41)</f>
        <v>0.81400958311370286</v>
      </c>
      <c r="I41" s="3">
        <v>289.90090139463632</v>
      </c>
      <c r="J41" s="6">
        <v>10.024387991053461</v>
      </c>
      <c r="K41" s="7">
        <f>IF(I41=0,0,J41/I41)</f>
        <v>3.4578671341926812E-2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1756.5563228532919</v>
      </c>
      <c r="T41" s="3">
        <v>1429.8536800815471</v>
      </c>
      <c r="U41" s="4">
        <f>IF(S41=0,0,T41/S41)</f>
        <v>0.81400958311370286</v>
      </c>
      <c r="V41" s="3">
        <v>7917202.4300766056</v>
      </c>
      <c r="W41" s="6">
        <v>303590.13104824722</v>
      </c>
      <c r="X41" s="7">
        <f>IF(V41=0,0,W41/V41)</f>
        <v>3.8345632024632939E-2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 x14ac:dyDescent="0.25">
      <c r="B42" t="s">
        <v>31</v>
      </c>
      <c r="C42" s="3">
        <f>J42+M42+G42+P42</f>
        <v>126.52920136922393</v>
      </c>
      <c r="D42" s="3">
        <f>G42+J42</f>
        <v>126.52920136922393</v>
      </c>
      <c r="E42" s="3">
        <f>M42+P42</f>
        <v>0</v>
      </c>
      <c r="F42" s="3">
        <v>150.30970532381971</v>
      </c>
      <c r="G42" s="3">
        <v>119.80575138365791</v>
      </c>
      <c r="H42" s="4">
        <f>IF(F42=0,0,G42/F42)</f>
        <v>0.79705931912749339</v>
      </c>
      <c r="I42" s="3">
        <v>172.51020331953049</v>
      </c>
      <c r="J42" s="6">
        <v>6.7234499855660248</v>
      </c>
      <c r="K42" s="7">
        <f>IF(I42=0,0,J42/I42)</f>
        <v>3.8974216343091166E-2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1670.8868462377629</v>
      </c>
      <c r="T42" s="3">
        <v>1331.795932001357</v>
      </c>
      <c r="U42" s="4">
        <f>IF(S42=0,0,T42/S42)</f>
        <v>0.79705931912749395</v>
      </c>
      <c r="V42" s="3">
        <v>5775458.9344058</v>
      </c>
      <c r="W42" s="6">
        <v>266981.41794837551</v>
      </c>
      <c r="X42" s="7">
        <f>IF(V42=0,0,W42/V42)</f>
        <v>4.6226874951513015E-2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 x14ac:dyDescent="0.25">
      <c r="B43" t="s">
        <v>32</v>
      </c>
      <c r="C43" s="3">
        <f>J43+M43+G43+P43</f>
        <v>119.70614589422573</v>
      </c>
      <c r="D43" s="3">
        <f>G43+J43</f>
        <v>119.70614589422573</v>
      </c>
      <c r="E43" s="3">
        <f>M43+P43</f>
        <v>0</v>
      </c>
      <c r="F43" s="3">
        <v>136.8081181206467</v>
      </c>
      <c r="G43" s="3">
        <v>112.71169114408799</v>
      </c>
      <c r="H43" s="4">
        <f>IF(F43=0,0,G43/F43)</f>
        <v>0.82386698020866833</v>
      </c>
      <c r="I43" s="3">
        <v>135.45605543604131</v>
      </c>
      <c r="J43" s="6">
        <v>6.9944547501377379</v>
      </c>
      <c r="K43" s="7">
        <f>IF(I43=0,0,J43/I43)</f>
        <v>5.1636338645933262E-2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1520.7992360431149</v>
      </c>
      <c r="T43" s="3">
        <v>1252.9362741024911</v>
      </c>
      <c r="U43" s="4">
        <f>IF(S43=0,0,T43/S43)</f>
        <v>0.82386698020866844</v>
      </c>
      <c r="V43" s="3">
        <v>4941006.3189266957</v>
      </c>
      <c r="W43" s="6">
        <v>292834.59484026668</v>
      </c>
      <c r="X43" s="7">
        <f>IF(V43=0,0,W43/V43)</f>
        <v>5.9266185051930341E-2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 x14ac:dyDescent="0.25">
      <c r="B44" t="s">
        <v>33</v>
      </c>
      <c r="C44" s="3">
        <f>J44+M44+G44+P44</f>
        <v>74.321153627583328</v>
      </c>
      <c r="D44" s="3">
        <f>G44+J44</f>
        <v>74.321153627583328</v>
      </c>
      <c r="E44" s="3">
        <f>M44+P44</f>
        <v>0</v>
      </c>
      <c r="F44" s="3">
        <v>120.55842024780129</v>
      </c>
      <c r="G44" s="3">
        <v>71.388793624683842</v>
      </c>
      <c r="H44" s="4">
        <f>IF(F44=0,0,G44/F44)</f>
        <v>0.59215103746339781</v>
      </c>
      <c r="I44" s="3">
        <v>131.31388542968341</v>
      </c>
      <c r="J44" s="6">
        <v>2.9323600028994838</v>
      </c>
      <c r="K44" s="7">
        <f>IF(I44=0,0,J44/I44)</f>
        <v>2.2330921008880802E-2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1340.1628202336269</v>
      </c>
      <c r="T44" s="3">
        <v>793.57880437121526</v>
      </c>
      <c r="U44" s="4">
        <f>IF(S44=0,0,T44/S44)</f>
        <v>0.59215103746339781</v>
      </c>
      <c r="V44" s="3">
        <v>4714339.9302510964</v>
      </c>
      <c r="W44" s="6">
        <v>129073.88777256011</v>
      </c>
      <c r="X44" s="7">
        <f>IF(V44=0,0,W44/V44)</f>
        <v>2.7378994659319218E-2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 x14ac:dyDescent="0.25">
      <c r="B45" t="s">
        <v>34</v>
      </c>
      <c r="C45" s="3">
        <f>J45+M45+G45+P45</f>
        <v>50.670819553021161</v>
      </c>
      <c r="D45" s="3">
        <f>G45+J45</f>
        <v>50.670819553021161</v>
      </c>
      <c r="E45" s="3">
        <f>M45+P45</f>
        <v>0</v>
      </c>
      <c r="F45" s="3">
        <v>95.10852578518319</v>
      </c>
      <c r="G45" s="3">
        <v>48.304561523874007</v>
      </c>
      <c r="H45" s="4">
        <f>IF(F45=0,0,G45/F45)</f>
        <v>0.50788886827009672</v>
      </c>
      <c r="I45" s="3">
        <v>85.349300637888987</v>
      </c>
      <c r="J45" s="6">
        <v>2.3662580291471529</v>
      </c>
      <c r="K45" s="7">
        <f>IF(I45=0,0,J45/I45)</f>
        <v>2.7724398576931087E-2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1057.2543160614141</v>
      </c>
      <c r="T45" s="3">
        <v>536.96769805810709</v>
      </c>
      <c r="U45" s="4">
        <f>IF(S45=0,0,T45/S45)</f>
        <v>0.50788886827009705</v>
      </c>
      <c r="V45" s="3">
        <v>3542162.2225858839</v>
      </c>
      <c r="W45" s="6">
        <v>112894.7335799602</v>
      </c>
      <c r="X45" s="7">
        <f>IF(V45=0,0,W45/V45)</f>
        <v>3.1871700528030497E-2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Zeb Burke-Conte</cp:lastModifiedBy>
  <dcterms:created xsi:type="dcterms:W3CDTF">2024-08-17T05:56:16Z</dcterms:created>
  <dcterms:modified xsi:type="dcterms:W3CDTF">2024-08-17T05:58:01Z</dcterms:modified>
</cp:coreProperties>
</file>