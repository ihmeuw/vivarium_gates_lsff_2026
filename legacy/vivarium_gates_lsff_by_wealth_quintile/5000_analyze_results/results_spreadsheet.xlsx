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1E6F5217-5CA2-4BB3-8F76-2981076F896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1" l="1"/>
  <c r="Y45" i="1"/>
  <c r="V45" i="1"/>
  <c r="S45" i="1"/>
  <c r="O45" i="1"/>
  <c r="L45" i="1"/>
  <c r="I45" i="1"/>
  <c r="F45" i="1"/>
  <c r="C45" i="1"/>
  <c r="AB44" i="1"/>
  <c r="Y44" i="1"/>
  <c r="V44" i="1"/>
  <c r="S44" i="1"/>
  <c r="O44" i="1"/>
  <c r="L44" i="1"/>
  <c r="I44" i="1"/>
  <c r="F44" i="1"/>
  <c r="C44" i="1"/>
  <c r="AB43" i="1"/>
  <c r="Y43" i="1"/>
  <c r="V43" i="1"/>
  <c r="S43" i="1"/>
  <c r="O43" i="1"/>
  <c r="L43" i="1"/>
  <c r="I43" i="1"/>
  <c r="F43" i="1"/>
  <c r="C43" i="1"/>
  <c r="AB42" i="1"/>
  <c r="Y42" i="1"/>
  <c r="V42" i="1"/>
  <c r="S42" i="1"/>
  <c r="O42" i="1"/>
  <c r="L42" i="1"/>
  <c r="I42" i="1"/>
  <c r="F42" i="1"/>
  <c r="C42" i="1"/>
  <c r="AB41" i="1"/>
  <c r="Y41" i="1"/>
  <c r="V41" i="1"/>
  <c r="S41" i="1"/>
  <c r="O41" i="1"/>
  <c r="L41" i="1"/>
  <c r="I41" i="1"/>
  <c r="F41" i="1"/>
  <c r="C41" i="1"/>
  <c r="AB39" i="1"/>
  <c r="AA39" i="1"/>
  <c r="Z39" i="1"/>
  <c r="Y39" i="1"/>
  <c r="X39" i="1"/>
  <c r="W39" i="1"/>
  <c r="U39" i="1"/>
  <c r="T39" i="1"/>
  <c r="V39" i="1" s="1"/>
  <c r="R39" i="1"/>
  <c r="Q39" i="1"/>
  <c r="S39" i="1" s="1"/>
  <c r="N39" i="1"/>
  <c r="M39" i="1"/>
  <c r="O39" i="1" s="1"/>
  <c r="L39" i="1"/>
  <c r="K39" i="1"/>
  <c r="J39" i="1"/>
  <c r="I39" i="1"/>
  <c r="H39" i="1"/>
  <c r="G39" i="1"/>
  <c r="E39" i="1"/>
  <c r="D39" i="1"/>
  <c r="F39" i="1" s="1"/>
  <c r="C39" i="1"/>
  <c r="AB36" i="1"/>
  <c r="Y36" i="1"/>
  <c r="V36" i="1"/>
  <c r="S36" i="1"/>
  <c r="O36" i="1"/>
  <c r="L36" i="1"/>
  <c r="I36" i="1"/>
  <c r="F36" i="1"/>
  <c r="C36" i="1"/>
  <c r="AB35" i="1"/>
  <c r="Y35" i="1"/>
  <c r="V35" i="1"/>
  <c r="S35" i="1"/>
  <c r="O35" i="1"/>
  <c r="L35" i="1"/>
  <c r="I35" i="1"/>
  <c r="F35" i="1"/>
  <c r="C35" i="1"/>
  <c r="C30" i="1" s="1"/>
  <c r="AB34" i="1"/>
  <c r="Y34" i="1"/>
  <c r="V34" i="1"/>
  <c r="S34" i="1"/>
  <c r="O34" i="1"/>
  <c r="L34" i="1"/>
  <c r="I34" i="1"/>
  <c r="F34" i="1"/>
  <c r="C34" i="1"/>
  <c r="AB33" i="1"/>
  <c r="Y33" i="1"/>
  <c r="V33" i="1"/>
  <c r="S33" i="1"/>
  <c r="O33" i="1"/>
  <c r="L33" i="1"/>
  <c r="I33" i="1"/>
  <c r="F33" i="1"/>
  <c r="C33" i="1"/>
  <c r="AB32" i="1"/>
  <c r="Y32" i="1"/>
  <c r="V32" i="1"/>
  <c r="S32" i="1"/>
  <c r="O32" i="1"/>
  <c r="L32" i="1"/>
  <c r="I32" i="1"/>
  <c r="F32" i="1"/>
  <c r="C32" i="1"/>
  <c r="AA30" i="1"/>
  <c r="Z30" i="1"/>
  <c r="AB30" i="1" s="1"/>
  <c r="Y30" i="1"/>
  <c r="X30" i="1"/>
  <c r="W30" i="1"/>
  <c r="U30" i="1"/>
  <c r="T30" i="1"/>
  <c r="V30" i="1" s="1"/>
  <c r="R30" i="1"/>
  <c r="S30" i="1" s="1"/>
  <c r="Q30" i="1"/>
  <c r="O30" i="1"/>
  <c r="N30" i="1"/>
  <c r="M30" i="1"/>
  <c r="K30" i="1"/>
  <c r="J30" i="1"/>
  <c r="L30" i="1" s="1"/>
  <c r="I30" i="1"/>
  <c r="H30" i="1"/>
  <c r="G30" i="1"/>
  <c r="E30" i="1"/>
  <c r="D30" i="1"/>
  <c r="F30" i="1" s="1"/>
  <c r="AB27" i="1"/>
  <c r="Y27" i="1"/>
  <c r="V27" i="1"/>
  <c r="S27" i="1"/>
  <c r="O27" i="1"/>
  <c r="L27" i="1"/>
  <c r="I27" i="1"/>
  <c r="F27" i="1"/>
  <c r="C27" i="1"/>
  <c r="AB26" i="1"/>
  <c r="Y26" i="1"/>
  <c r="V26" i="1"/>
  <c r="S26" i="1"/>
  <c r="O26" i="1"/>
  <c r="L26" i="1"/>
  <c r="I26" i="1"/>
  <c r="F26" i="1"/>
  <c r="C26" i="1"/>
  <c r="AB25" i="1"/>
  <c r="Y25" i="1"/>
  <c r="V25" i="1"/>
  <c r="S25" i="1"/>
  <c r="O25" i="1"/>
  <c r="L25" i="1"/>
  <c r="I25" i="1"/>
  <c r="F25" i="1"/>
  <c r="C25" i="1"/>
  <c r="AB24" i="1"/>
  <c r="Y24" i="1"/>
  <c r="V24" i="1"/>
  <c r="S24" i="1"/>
  <c r="O24" i="1"/>
  <c r="L24" i="1"/>
  <c r="I24" i="1"/>
  <c r="F24" i="1"/>
  <c r="C24" i="1"/>
  <c r="C21" i="1" s="1"/>
  <c r="AB23" i="1"/>
  <c r="Y23" i="1"/>
  <c r="V23" i="1"/>
  <c r="S23" i="1"/>
  <c r="O23" i="1"/>
  <c r="L23" i="1"/>
  <c r="I23" i="1"/>
  <c r="F23" i="1"/>
  <c r="C23" i="1"/>
  <c r="AA21" i="1"/>
  <c r="Z21" i="1"/>
  <c r="AB21" i="1" s="1"/>
  <c r="X21" i="1"/>
  <c r="Y21" i="1" s="1"/>
  <c r="W21" i="1"/>
  <c r="V21" i="1"/>
  <c r="U21" i="1"/>
  <c r="T21" i="1"/>
  <c r="R21" i="1"/>
  <c r="Q21" i="1"/>
  <c r="S21" i="1" s="1"/>
  <c r="O21" i="1"/>
  <c r="N21" i="1"/>
  <c r="M21" i="1"/>
  <c r="K21" i="1"/>
  <c r="J21" i="1"/>
  <c r="L21" i="1" s="1"/>
  <c r="H21" i="1"/>
  <c r="G21" i="1"/>
  <c r="I21" i="1" s="1"/>
  <c r="E21" i="1"/>
  <c r="F21" i="1" s="1"/>
  <c r="D21" i="1"/>
  <c r="AB18" i="1"/>
  <c r="Y18" i="1"/>
  <c r="V18" i="1"/>
  <c r="S18" i="1"/>
  <c r="O18" i="1"/>
  <c r="L18" i="1"/>
  <c r="I18" i="1"/>
  <c r="F18" i="1"/>
  <c r="C18" i="1"/>
  <c r="AB17" i="1"/>
  <c r="Y17" i="1"/>
  <c r="V17" i="1"/>
  <c r="S17" i="1"/>
  <c r="O17" i="1"/>
  <c r="L17" i="1"/>
  <c r="I17" i="1"/>
  <c r="F17" i="1"/>
  <c r="C17" i="1"/>
  <c r="AB16" i="1"/>
  <c r="Y16" i="1"/>
  <c r="V16" i="1"/>
  <c r="S16" i="1"/>
  <c r="O16" i="1"/>
  <c r="L16" i="1"/>
  <c r="I16" i="1"/>
  <c r="F16" i="1"/>
  <c r="C16" i="1"/>
  <c r="AB15" i="1"/>
  <c r="Y15" i="1"/>
  <c r="V15" i="1"/>
  <c r="S15" i="1"/>
  <c r="O15" i="1"/>
  <c r="L15" i="1"/>
  <c r="I15" i="1"/>
  <c r="F15" i="1"/>
  <c r="C15" i="1"/>
  <c r="C12" i="1" s="1"/>
  <c r="AB14" i="1"/>
  <c r="Y14" i="1"/>
  <c r="V14" i="1"/>
  <c r="S14" i="1"/>
  <c r="O14" i="1"/>
  <c r="L14" i="1"/>
  <c r="I14" i="1"/>
  <c r="F14" i="1"/>
  <c r="C14" i="1"/>
  <c r="AB12" i="1"/>
  <c r="AA12" i="1"/>
  <c r="Z12" i="1"/>
  <c r="X12" i="1"/>
  <c r="W12" i="1"/>
  <c r="Y12" i="1" s="1"/>
  <c r="V12" i="1"/>
  <c r="U12" i="1"/>
  <c r="T12" i="1"/>
  <c r="R12" i="1"/>
  <c r="Q12" i="1"/>
  <c r="S12" i="1" s="1"/>
  <c r="N12" i="1"/>
  <c r="M12" i="1"/>
  <c r="O12" i="1" s="1"/>
  <c r="K12" i="1"/>
  <c r="L12" i="1" s="1"/>
  <c r="J12" i="1"/>
  <c r="H12" i="1"/>
  <c r="G12" i="1"/>
  <c r="I12" i="1" s="1"/>
  <c r="E12" i="1"/>
  <c r="F12" i="1" s="1"/>
  <c r="D12" i="1"/>
  <c r="AB9" i="1"/>
  <c r="Y9" i="1"/>
  <c r="V9" i="1"/>
  <c r="S9" i="1"/>
  <c r="O9" i="1"/>
  <c r="L9" i="1"/>
  <c r="I9" i="1"/>
  <c r="F9" i="1"/>
  <c r="C9" i="1"/>
  <c r="AB8" i="1"/>
  <c r="Y8" i="1"/>
  <c r="V8" i="1"/>
  <c r="S8" i="1"/>
  <c r="O8" i="1"/>
  <c r="L8" i="1"/>
  <c r="I8" i="1"/>
  <c r="F8" i="1"/>
  <c r="C8" i="1"/>
  <c r="AB7" i="1"/>
  <c r="Y7" i="1"/>
  <c r="V7" i="1"/>
  <c r="S7" i="1"/>
  <c r="O7" i="1"/>
  <c r="L7" i="1"/>
  <c r="I7" i="1"/>
  <c r="F7" i="1"/>
  <c r="C7" i="1"/>
  <c r="AB6" i="1"/>
  <c r="Y6" i="1"/>
  <c r="V6" i="1"/>
  <c r="S6" i="1"/>
  <c r="O6" i="1"/>
  <c r="L6" i="1"/>
  <c r="I6" i="1"/>
  <c r="F6" i="1"/>
  <c r="C6" i="1"/>
  <c r="AB5" i="1"/>
  <c r="Y5" i="1"/>
  <c r="V5" i="1"/>
  <c r="S5" i="1"/>
  <c r="O5" i="1"/>
  <c r="L5" i="1"/>
  <c r="I5" i="1"/>
  <c r="F5" i="1"/>
  <c r="C5" i="1"/>
  <c r="AB3" i="1"/>
  <c r="AA3" i="1"/>
  <c r="Z3" i="1"/>
  <c r="X3" i="1"/>
  <c r="W3" i="1"/>
  <c r="Y3" i="1" s="1"/>
  <c r="U3" i="1"/>
  <c r="T3" i="1"/>
  <c r="V3" i="1" s="1"/>
  <c r="R3" i="1"/>
  <c r="S3" i="1" s="1"/>
  <c r="Q3" i="1"/>
  <c r="N3" i="1"/>
  <c r="M3" i="1"/>
  <c r="O3" i="1" s="1"/>
  <c r="K3" i="1"/>
  <c r="L3" i="1" s="1"/>
  <c r="J3" i="1"/>
  <c r="I3" i="1"/>
  <c r="H3" i="1"/>
  <c r="G3" i="1"/>
  <c r="E3" i="1"/>
  <c r="D3" i="1"/>
  <c r="F3" i="1" s="1"/>
  <c r="C3" i="1"/>
</calcChain>
</file>

<file path=xl/sharedStrings.xml><?xml version="1.0" encoding="utf-8"?>
<sst xmlns="http://schemas.openxmlformats.org/spreadsheetml/2006/main" count="66" uniqueCount="38">
  <si>
    <t>DALYs Averted by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</si>
  <si>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</si>
  <si>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</si>
  <si>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</si>
  <si>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</si>
  <si>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</si>
  <si>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</si>
  <si>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</si>
  <si>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</si>
  <si>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</si>
  <si>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</si>
  <si>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</si>
  <si>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</si>
  <si>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</si>
  <si>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</si>
  <si>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</si>
  <si>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</si>
  <si>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</si>
  <si>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</si>
  <si>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</si>
  <si>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</si>
  <si>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</si>
  <si>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</si>
  <si>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</si>
  <si>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</si>
  <si>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</si>
  <si>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</si>
  <si>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</si>
  <si>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</si>
  <si>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</si>
  <si>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</si>
  <si>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</si>
  <si>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</si>
  <si>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</si>
  <si>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</si>
  <si>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Ethiopia -- Salt-- 25% NRV per average intake</t>
  </si>
  <si>
    <t>Ethiopia -- Salt-- 100% NRV per average intake</t>
  </si>
  <si>
    <t>*based on correlation between serum folate and hemoglobin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</si>
</sst>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1" applyNumberFormat="1"/>
    <xf numFmtId="165" fontId="3" fillId="2" borderId="0" xfId="1" applyNumberFormat="1"/>
    <xf numFmtId="0" fontId="3" fillId="2" borderId="0" xfId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6"/>
  <sheetViews>
    <sheetView tabSelected="1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30" sqref="H30"/>
    </sheetView>
  </sheetViews>
  <sheetFormatPr defaultRowHeight="14.5" x14ac:dyDescent="0.35"/>
  <cols>
    <col min="1" max="1" width="1.7265625" customWidth="1"/>
    <col min="2" max="2" width="10.7265625" customWidth="1"/>
    <col min="3" max="15" width="15.7265625" customWidth="1"/>
    <col min="16" max="16" width="1.7265625" customWidth="1"/>
    <col min="17" max="28" width="15.7265625" customWidth="1"/>
  </cols>
  <sheetData>
    <row r="1" spans="1:28" ht="72.5" x14ac:dyDescent="0.3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/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</row>
    <row r="2" spans="1:28" x14ac:dyDescent="0.35">
      <c r="A2" s="2" t="s">
        <v>25</v>
      </c>
    </row>
    <row r="3" spans="1:28" x14ac:dyDescent="0.35">
      <c r="B3" t="s">
        <v>26</v>
      </c>
      <c r="C3" s="3">
        <f>C5+C6+C7+C8+C9</f>
        <v>1534.23232024357</v>
      </c>
      <c r="D3" s="3">
        <f>D5+D6+D7+D8+D9</f>
        <v>1581.6305477704739</v>
      </c>
      <c r="E3" s="3">
        <f>E5+E6+E7+E8+E9</f>
        <v>83.943882240574695</v>
      </c>
      <c r="F3" s="4">
        <f>IF(D3=0,0,E3/D3)</f>
        <v>5.3074267159865594E-2</v>
      </c>
      <c r="G3" s="3">
        <f>G5+G6+G7+G8+G9</f>
        <v>19429.786784833006</v>
      </c>
      <c r="H3" s="3">
        <f>H5+H6+H7+H8+H9</f>
        <v>1299.0325522563842</v>
      </c>
      <c r="I3" s="4">
        <f>IF(G3=0,0,H3/G3)</f>
        <v>6.6857787305747263E-2</v>
      </c>
      <c r="J3" s="3">
        <f>J5+J6+J7+J8+J9</f>
        <v>73088.837013306678</v>
      </c>
      <c r="K3" s="3">
        <f>K5+K6+K7+K8+K9</f>
        <v>151.25588574661126</v>
      </c>
      <c r="L3" s="4">
        <f>IF(J3=0,0,K3/J3)</f>
        <v>2.069479990755269E-3</v>
      </c>
      <c r="M3" s="3">
        <f>M5+M6+M7+M8+M9</f>
        <v>2218.4421230582016</v>
      </c>
      <c r="N3" s="3">
        <f>N5+N6+N7+N8+N9</f>
        <v>21.02886922457855</v>
      </c>
      <c r="O3" s="4">
        <f>IF(M3=0,0,N3/M3)</f>
        <v>9.4791155496044693E-3</v>
      </c>
      <c r="Q3" s="3">
        <f>Q5+Q6+Q7+Q8+Q9</f>
        <v>17581.869861191975</v>
      </c>
      <c r="R3" s="3">
        <f>R5+R6+R7+R8+R9</f>
        <v>933.14485818289268</v>
      </c>
      <c r="S3" s="4">
        <f>IF(Q3=0,0,R3/Q3)</f>
        <v>5.3074267159865636E-2</v>
      </c>
      <c r="T3" s="3">
        <f>T5+T6+T7+T8+T9</f>
        <v>619844465.28808701</v>
      </c>
      <c r="U3" s="3">
        <f>U5+U6+U7+U8+U9</f>
        <v>32672650.79602851</v>
      </c>
      <c r="V3" s="4">
        <f>IF(T3=0,0,U3/T3)</f>
        <v>5.2711047086373745E-2</v>
      </c>
      <c r="W3" s="3">
        <f>W5+W6+W7+W8+W9</f>
        <v>23865851.045409296</v>
      </c>
      <c r="X3" s="3">
        <f>X5+X6+X7+X8+X9</f>
        <v>182259.01024660328</v>
      </c>
      <c r="Y3" s="4">
        <f>IF(W3=0,0,X3/W3)</f>
        <v>7.6368116896322301E-3</v>
      </c>
      <c r="Z3" s="3">
        <f>Z5+Z6+Z7+Z8+Z9</f>
        <v>815643.03969645989</v>
      </c>
      <c r="AA3" s="3">
        <f>AA5+AA6+AA7+AA8+AA9</f>
        <v>1680.7280119055067</v>
      </c>
      <c r="AB3" s="4">
        <f>IF(Z3=0,0,AA3/Z3)</f>
        <v>2.0606171206107352E-3</v>
      </c>
    </row>
    <row r="4" spans="1:28" x14ac:dyDescent="0.35">
      <c r="A4" s="5" t="s">
        <v>27</v>
      </c>
    </row>
    <row r="5" spans="1:28" x14ac:dyDescent="0.35">
      <c r="B5" t="s">
        <v>28</v>
      </c>
      <c r="C5" s="3">
        <f>H5+K5+E5</f>
        <v>443.61408604281661</v>
      </c>
      <c r="D5" s="3">
        <v>397.34111205252179</v>
      </c>
      <c r="E5" s="3">
        <v>28.563180317425989</v>
      </c>
      <c r="F5" s="4">
        <f>IF(D5=0,0,E5/D5)</f>
        <v>7.1885791454800216E-2</v>
      </c>
      <c r="G5" s="3">
        <v>4596.9756107760377</v>
      </c>
      <c r="H5" s="3">
        <v>361.18659869736899</v>
      </c>
      <c r="I5" s="4">
        <f>IF(G5=0,0,H5/G5)</f>
        <v>7.8570484004894539E-2</v>
      </c>
      <c r="J5" s="3">
        <v>18641.712679665659</v>
      </c>
      <c r="K5" s="3">
        <v>53.864307028021663</v>
      </c>
      <c r="L5" s="4">
        <f>IF(J5=0,0,K5/J5)</f>
        <v>2.8894505539062802E-3</v>
      </c>
      <c r="M5" s="3">
        <v>597.84933727803173</v>
      </c>
      <c r="N5" s="3">
        <v>6.3774193976055829</v>
      </c>
      <c r="O5" s="4">
        <f>IF(M5=0,0,N5/M5)</f>
        <v>1.0667268490488839E-2</v>
      </c>
      <c r="Q5" s="3">
        <v>4416.960542685817</v>
      </c>
      <c r="R5" s="3">
        <v>317.51670443559402</v>
      </c>
      <c r="S5" s="4">
        <f>IF(Q5=0,0,R5/Q5)</f>
        <v>7.1885791454800257E-2</v>
      </c>
      <c r="T5" s="3">
        <v>139164134.1773752</v>
      </c>
      <c r="U5" s="3">
        <v>8505845.6689952314</v>
      </c>
      <c r="V5" s="4">
        <f>IF(T5=0,0,U5/T5)</f>
        <v>6.1120961368924906E-2</v>
      </c>
      <c r="W5" s="3">
        <v>6122536.7016462469</v>
      </c>
      <c r="X5" s="3">
        <v>65974.70812917687</v>
      </c>
      <c r="Y5" s="4">
        <f>IF(W5=0,0,X5/W5)</f>
        <v>1.0775714600687878E-2</v>
      </c>
      <c r="Z5" s="3">
        <v>208025.75267651089</v>
      </c>
      <c r="AA5" s="3">
        <v>598.48801899957471</v>
      </c>
      <c r="AB5" s="4">
        <f>IF(Z5=0,0,AA5/Z5)</f>
        <v>2.876990042335045E-3</v>
      </c>
    </row>
    <row r="6" spans="1:28" x14ac:dyDescent="0.35">
      <c r="B6" t="s">
        <v>29</v>
      </c>
      <c r="C6" s="3">
        <f>H6+K6+E6</f>
        <v>379.95699091097026</v>
      </c>
      <c r="D6" s="3">
        <v>347.01108902834721</v>
      </c>
      <c r="E6" s="3">
        <v>21.234273115711929</v>
      </c>
      <c r="F6" s="4">
        <f>IF(D6=0,0,E6/D6)</f>
        <v>6.1191915149366623E-2</v>
      </c>
      <c r="G6" s="3">
        <v>4120.9915624965133</v>
      </c>
      <c r="H6" s="3">
        <v>324.67693416423162</v>
      </c>
      <c r="I6" s="4">
        <f>IF(G6=0,0,H6/G6)</f>
        <v>7.8786119612324818E-2</v>
      </c>
      <c r="J6" s="3">
        <v>15401.721838607329</v>
      </c>
      <c r="K6" s="3">
        <v>34.045783631026737</v>
      </c>
      <c r="L6" s="4">
        <f>IF(J6=0,0,K6/J6)</f>
        <v>2.2105180179065784E-3</v>
      </c>
      <c r="M6" s="3">
        <v>474.66517473403837</v>
      </c>
      <c r="N6" s="3">
        <v>5.4307797568183158</v>
      </c>
      <c r="O6" s="4">
        <f>IF(M6=0,0,N6/M6)</f>
        <v>1.1441285448972023E-2</v>
      </c>
      <c r="Q6" s="3">
        <v>3857.4772194981001</v>
      </c>
      <c r="R6" s="3">
        <v>236.0464187061425</v>
      </c>
      <c r="S6" s="4">
        <f>IF(Q6=0,0,R6/Q6)</f>
        <v>6.1191915149366644E-2</v>
      </c>
      <c r="T6" s="3">
        <v>129179305.0153213</v>
      </c>
      <c r="U6" s="3">
        <v>8078008.1331280172</v>
      </c>
      <c r="V6" s="4">
        <f>IF(T6=0,0,U6/T6)</f>
        <v>6.2533299216696717E-2</v>
      </c>
      <c r="W6" s="3">
        <v>5177909.8376185223</v>
      </c>
      <c r="X6" s="3">
        <v>45114.783950233832</v>
      </c>
      <c r="Y6" s="4">
        <f>IF(W6=0,0,X6/W6)</f>
        <v>8.7129334741339343E-3</v>
      </c>
      <c r="Z6" s="3">
        <v>171862.19165281719</v>
      </c>
      <c r="AA6" s="3">
        <v>378.31885138832149</v>
      </c>
      <c r="AB6" s="4">
        <f>IF(Z6=0,0,AA6/Z6)</f>
        <v>2.2012919057413875E-3</v>
      </c>
    </row>
    <row r="7" spans="1:28" x14ac:dyDescent="0.35">
      <c r="B7" t="s">
        <v>30</v>
      </c>
      <c r="C7" s="3">
        <f>H7+K7+E7</f>
        <v>324.13692484683548</v>
      </c>
      <c r="D7" s="3">
        <v>308.5630389483282</v>
      </c>
      <c r="E7" s="3">
        <v>16.09202406254137</v>
      </c>
      <c r="F7" s="4">
        <f>IF(D7=0,0,E7/D7)</f>
        <v>5.2151495906274541E-2</v>
      </c>
      <c r="G7" s="3">
        <v>3985.2760327157789</v>
      </c>
      <c r="H7" s="3">
        <v>280.13566344122307</v>
      </c>
      <c r="I7" s="4">
        <f>IF(G7=0,0,H7/G7)</f>
        <v>7.0292662576329434E-2</v>
      </c>
      <c r="J7" s="3">
        <v>13777.25618273796</v>
      </c>
      <c r="K7" s="3">
        <v>27.90923734307103</v>
      </c>
      <c r="L7" s="4">
        <f>IF(J7=0,0,K7/J7)</f>
        <v>2.0257471424563883E-3</v>
      </c>
      <c r="M7" s="3">
        <v>416.35114676752949</v>
      </c>
      <c r="N7" s="3">
        <v>4.1370630363454124</v>
      </c>
      <c r="O7" s="4">
        <f>IF(M7=0,0,N7/M7)</f>
        <v>9.936475661145111E-3</v>
      </c>
      <c r="Q7" s="3">
        <v>3430.077398549784</v>
      </c>
      <c r="R7" s="3">
        <v>178.8836674086738</v>
      </c>
      <c r="S7" s="4">
        <f>IF(Q7=0,0,R7/Q7)</f>
        <v>5.2151495906274513E-2</v>
      </c>
      <c r="T7" s="3">
        <v>125490666.0533599</v>
      </c>
      <c r="U7" s="3">
        <v>7026848.5332566202</v>
      </c>
      <c r="V7" s="4">
        <f>IF(T7=0,0,U7/T7)</f>
        <v>5.5994989541841567E-2</v>
      </c>
      <c r="W7" s="3">
        <v>4635731.7964105764</v>
      </c>
      <c r="X7" s="3">
        <v>32670.824420694262</v>
      </c>
      <c r="Y7" s="4">
        <f>IF(W7=0,0,X7/W7)</f>
        <v>7.0476088469982488E-3</v>
      </c>
      <c r="Z7" s="3">
        <v>153752.5023732449</v>
      </c>
      <c r="AA7" s="3">
        <v>310.09741917075007</v>
      </c>
      <c r="AB7" s="4">
        <f>IF(Z7=0,0,AA7/Z7)</f>
        <v>2.0168609576055353E-3</v>
      </c>
    </row>
    <row r="8" spans="1:28" x14ac:dyDescent="0.35">
      <c r="B8" t="s">
        <v>31</v>
      </c>
      <c r="C8" s="3">
        <f>H8+K8+E8</f>
        <v>258.77458043962366</v>
      </c>
      <c r="D8" s="3">
        <v>288.86678736531792</v>
      </c>
      <c r="E8" s="3">
        <v>13.081033856759079</v>
      </c>
      <c r="F8" s="4">
        <f>IF(D8=0,0,E8/D8)</f>
        <v>4.528396627410141E-2</v>
      </c>
      <c r="G8" s="3">
        <v>3614.3317239066419</v>
      </c>
      <c r="H8" s="3">
        <v>223.0981557032205</v>
      </c>
      <c r="I8" s="4">
        <f>IF(G8=0,0,H8/G8)</f>
        <v>6.1725976679882395E-2</v>
      </c>
      <c r="J8" s="3">
        <v>12916.932829144929</v>
      </c>
      <c r="K8" s="3">
        <v>22.595390879644079</v>
      </c>
      <c r="L8" s="4">
        <f>IF(J8=0,0,K8/J8)</f>
        <v>1.7492845382505438E-3</v>
      </c>
      <c r="M8" s="3">
        <v>380.99541784497882</v>
      </c>
      <c r="N8" s="3">
        <v>3.9648988122108282</v>
      </c>
      <c r="O8" s="4">
        <f>IF(M8=0,0,N8/M8)</f>
        <v>1.0406683719813356E-2</v>
      </c>
      <c r="Q8" s="3">
        <v>3211.1280790807491</v>
      </c>
      <c r="R8" s="3">
        <v>145.41261563491341</v>
      </c>
      <c r="S8" s="4">
        <f>IF(Q8=0,0,R8/Q8)</f>
        <v>4.5283966274101632E-2</v>
      </c>
      <c r="T8" s="3">
        <v>117876445.53719731</v>
      </c>
      <c r="U8" s="3">
        <v>5909428.3290538341</v>
      </c>
      <c r="V8" s="4">
        <f>IF(T8=0,0,U8/T8)</f>
        <v>5.0132393304895204E-2</v>
      </c>
      <c r="W8" s="3">
        <v>4171603.1382768038</v>
      </c>
      <c r="X8" s="3">
        <v>27643.588900032919</v>
      </c>
      <c r="Y8" s="4">
        <f>IF(W8=0,0,X8/W8)</f>
        <v>6.6266104381760222E-3</v>
      </c>
      <c r="Z8" s="3">
        <v>144164.29017248511</v>
      </c>
      <c r="AA8" s="3">
        <v>251.178909528302</v>
      </c>
      <c r="AB8" s="4">
        <f>IF(Z8=0,0,AA8/Z8)</f>
        <v>1.7423101742309378E-3</v>
      </c>
    </row>
    <row r="9" spans="1:28" x14ac:dyDescent="0.35">
      <c r="B9" t="s">
        <v>32</v>
      </c>
      <c r="C9" s="3">
        <f>H9+K9+E9</f>
        <v>127.7497380033243</v>
      </c>
      <c r="D9" s="3">
        <v>239.84852037595849</v>
      </c>
      <c r="E9" s="3">
        <v>4.9733708881363272</v>
      </c>
      <c r="F9" s="4">
        <f>IF(D9=0,0,E9/D9)</f>
        <v>2.0735466203171286E-2</v>
      </c>
      <c r="G9" s="3">
        <v>3112.2118549380339</v>
      </c>
      <c r="H9" s="3">
        <v>109.9352002503402</v>
      </c>
      <c r="I9" s="4">
        <f>IF(G9=0,0,H9/G9)</f>
        <v>3.5323816428470316E-2</v>
      </c>
      <c r="J9" s="3">
        <v>12351.213483150799</v>
      </c>
      <c r="K9" s="3">
        <v>12.841166864847761</v>
      </c>
      <c r="L9" s="4">
        <f>IF(J9=0,0,K9/J9)</f>
        <v>1.0396684408673967E-3</v>
      </c>
      <c r="M9" s="3">
        <v>348.58104643362333</v>
      </c>
      <c r="N9" s="3">
        <v>1.1187082215984121</v>
      </c>
      <c r="O9" s="4">
        <f>IF(M9=0,0,N9/M9)</f>
        <v>3.209320280158824E-3</v>
      </c>
      <c r="Q9" s="3">
        <v>2666.226621377526</v>
      </c>
      <c r="R9" s="3">
        <v>55.285451997568998</v>
      </c>
      <c r="S9" s="4">
        <f>IF(Q9=0,0,R9/Q9)</f>
        <v>2.0735466203171189E-2</v>
      </c>
      <c r="T9" s="3">
        <v>108133914.5048333</v>
      </c>
      <c r="U9" s="3">
        <v>3152520.1315948069</v>
      </c>
      <c r="V9" s="4">
        <f>IF(T9=0,0,U9/T9)</f>
        <v>2.9153851925465046E-2</v>
      </c>
      <c r="W9" s="3">
        <v>3758069.5714571462</v>
      </c>
      <c r="X9" s="3">
        <v>10855.1048464654</v>
      </c>
      <c r="Y9" s="4">
        <f>IF(W9=0,0,X9/W9)</f>
        <v>2.8884789491154801E-3</v>
      </c>
      <c r="Z9" s="3">
        <v>137838.30282140171</v>
      </c>
      <c r="AA9" s="3">
        <v>142.64481281855839</v>
      </c>
      <c r="AB9" s="4">
        <f>IF(Z9=0,0,AA9/Z9)</f>
        <v>1.034870641169926E-3</v>
      </c>
    </row>
    <row r="11" spans="1:28" x14ac:dyDescent="0.35">
      <c r="A11" s="2" t="s">
        <v>33</v>
      </c>
    </row>
    <row r="12" spans="1:28" x14ac:dyDescent="0.35">
      <c r="B12" t="s">
        <v>26</v>
      </c>
      <c r="C12" s="3">
        <f>C14+C15+C16+C17+C18</f>
        <v>2048.0024383365444</v>
      </c>
      <c r="D12" s="3">
        <f>D14+D15+D16+D17+D18</f>
        <v>1581.6305477704739</v>
      </c>
      <c r="E12" s="3">
        <f>E14+E15+E16+E17+E18</f>
        <v>597.71400033354905</v>
      </c>
      <c r="F12" s="4">
        <f>IF(D12=0,0,E12/D12)</f>
        <v>0.37791000001619168</v>
      </c>
      <c r="G12" s="3">
        <f>G14+G15+G16+G17+G18</f>
        <v>19429.786784833006</v>
      </c>
      <c r="H12" s="3">
        <f>H14+H15+H16+H17+H18</f>
        <v>1299.0325522563842</v>
      </c>
      <c r="I12" s="4">
        <f>IF(G12=0,0,H12/G12)</f>
        <v>6.6857787305747263E-2</v>
      </c>
      <c r="J12" s="3">
        <f>J14+J15+J16+J17+J18</f>
        <v>73088.837013306678</v>
      </c>
      <c r="K12" s="3">
        <f>K14+K15+K16+K17+K18</f>
        <v>151.25588574661126</v>
      </c>
      <c r="L12" s="4">
        <f>IF(J12=0,0,K12/J12)</f>
        <v>2.069479990755269E-3</v>
      </c>
      <c r="M12" s="3">
        <f>M14+M15+M16+M17+M18</f>
        <v>2218.4421230582016</v>
      </c>
      <c r="N12" s="3">
        <f>N14+N15+N16+N17+N18</f>
        <v>21.02886922457855</v>
      </c>
      <c r="O12" s="4">
        <f>IF(M12=0,0,N12/M12)</f>
        <v>9.4791155496044693E-3</v>
      </c>
      <c r="Q12" s="3">
        <f>Q14+Q15+Q16+Q17+Q18</f>
        <v>17581.869861191975</v>
      </c>
      <c r="R12" s="3">
        <f>R14+R15+R16+R17+R18</f>
        <v>6644.3644395277415</v>
      </c>
      <c r="S12" s="4">
        <f>IF(Q12=0,0,R12/Q12)</f>
        <v>0.37791000001619179</v>
      </c>
      <c r="T12" s="3">
        <f>T14+T15+T16+T17+T18</f>
        <v>619844465.28808701</v>
      </c>
      <c r="U12" s="3">
        <f>U14+U15+U16+U17+U18</f>
        <v>32672650.79602851</v>
      </c>
      <c r="V12" s="4">
        <f>IF(T12=0,0,U12/T12)</f>
        <v>5.2711047086373745E-2</v>
      </c>
      <c r="W12" s="3">
        <f>W14+W15+W16+W17+W18</f>
        <v>23865851.045409296</v>
      </c>
      <c r="X12" s="3">
        <f>X14+X15+X16+X17+X18</f>
        <v>182259.01024660328</v>
      </c>
      <c r="Y12" s="4">
        <f>IF(W12=0,0,X12/W12)</f>
        <v>7.6368116896322301E-3</v>
      </c>
      <c r="Z12" s="3">
        <f>Z14+Z15+Z16+Z17+Z18</f>
        <v>815643.03969645989</v>
      </c>
      <c r="AA12" s="3">
        <f>AA14+AA15+AA16+AA17+AA18</f>
        <v>1680.7280119055067</v>
      </c>
      <c r="AB12" s="4">
        <f>IF(Z12=0,0,AA12/Z12)</f>
        <v>2.0606171206107352E-3</v>
      </c>
    </row>
    <row r="13" spans="1:28" x14ac:dyDescent="0.35">
      <c r="A13" s="5" t="s">
        <v>27</v>
      </c>
    </row>
    <row r="14" spans="1:28" x14ac:dyDescent="0.35">
      <c r="B14" t="s">
        <v>28</v>
      </c>
      <c r="C14" s="3">
        <f>H14+K14+E14</f>
        <v>603.84647516446057</v>
      </c>
      <c r="D14" s="3">
        <v>397.34111205252179</v>
      </c>
      <c r="E14" s="3">
        <v>188.79556943906991</v>
      </c>
      <c r="F14" s="4">
        <f>IF(D14=0,0,E14/D14)</f>
        <v>0.4751473323860691</v>
      </c>
      <c r="G14" s="3">
        <v>4596.9756107760377</v>
      </c>
      <c r="H14" s="3">
        <v>361.18659869736899</v>
      </c>
      <c r="I14" s="4">
        <f>IF(G14=0,0,H14/G14)</f>
        <v>7.8570484004894539E-2</v>
      </c>
      <c r="J14" s="3">
        <v>18641.712679665659</v>
      </c>
      <c r="K14" s="3">
        <v>53.864307028021663</v>
      </c>
      <c r="L14" s="4">
        <f>IF(J14=0,0,K14/J14)</f>
        <v>2.8894505539062802E-3</v>
      </c>
      <c r="M14" s="3">
        <v>597.84933727803173</v>
      </c>
      <c r="N14" s="3">
        <v>6.3774193976055829</v>
      </c>
      <c r="O14" s="4">
        <f>IF(M14=0,0,N14/M14)</f>
        <v>1.0667268490488839E-2</v>
      </c>
      <c r="Q14" s="3">
        <v>4416.960542685817</v>
      </c>
      <c r="R14" s="3">
        <v>2098.7070191116909</v>
      </c>
      <c r="S14" s="4">
        <f>IF(Q14=0,0,R14/Q14)</f>
        <v>0.47514733238606927</v>
      </c>
      <c r="T14" s="3">
        <v>139164134.1773752</v>
      </c>
      <c r="U14" s="3">
        <v>8505845.6689952314</v>
      </c>
      <c r="V14" s="4">
        <f>IF(T14=0,0,U14/T14)</f>
        <v>6.1120961368924906E-2</v>
      </c>
      <c r="W14" s="3">
        <v>6122536.7016462469</v>
      </c>
      <c r="X14" s="3">
        <v>65974.70812917687</v>
      </c>
      <c r="Y14" s="4">
        <f>IF(W14=0,0,X14/W14)</f>
        <v>1.0775714600687878E-2</v>
      </c>
      <c r="Z14" s="3">
        <v>208025.75267651089</v>
      </c>
      <c r="AA14" s="3">
        <v>598.48801899957471</v>
      </c>
      <c r="AB14" s="4">
        <f>IF(Z14=0,0,AA14/Z14)</f>
        <v>2.876990042335045E-3</v>
      </c>
    </row>
    <row r="15" spans="1:28" x14ac:dyDescent="0.35">
      <c r="B15" t="s">
        <v>29</v>
      </c>
      <c r="C15" s="3">
        <f>H15+K15+E15</f>
        <v>507.03614370681771</v>
      </c>
      <c r="D15" s="3">
        <v>347.01108902834721</v>
      </c>
      <c r="E15" s="3">
        <v>148.31342591155939</v>
      </c>
      <c r="F15" s="4">
        <f>IF(D15=0,0,E15/D15)</f>
        <v>0.42740255456056542</v>
      </c>
      <c r="G15" s="3">
        <v>4120.9915624965133</v>
      </c>
      <c r="H15" s="3">
        <v>324.67693416423162</v>
      </c>
      <c r="I15" s="4">
        <f>IF(G15=0,0,H15/G15)</f>
        <v>7.8786119612324818E-2</v>
      </c>
      <c r="J15" s="3">
        <v>15401.721838607329</v>
      </c>
      <c r="K15" s="3">
        <v>34.045783631026737</v>
      </c>
      <c r="L15" s="4">
        <f>IF(J15=0,0,K15/J15)</f>
        <v>2.2105180179065784E-3</v>
      </c>
      <c r="M15" s="3">
        <v>474.66517473403837</v>
      </c>
      <c r="N15" s="3">
        <v>5.4307797568183158</v>
      </c>
      <c r="O15" s="4">
        <f>IF(M15=0,0,N15/M15)</f>
        <v>1.1441285448972023E-2</v>
      </c>
      <c r="Q15" s="3">
        <v>3857.4772194981001</v>
      </c>
      <c r="R15" s="3">
        <v>1648.695617772675</v>
      </c>
      <c r="S15" s="4">
        <f>IF(Q15=0,0,R15/Q15)</f>
        <v>0.42740255456056542</v>
      </c>
      <c r="T15" s="3">
        <v>129179305.0153213</v>
      </c>
      <c r="U15" s="3">
        <v>8078008.1331280172</v>
      </c>
      <c r="V15" s="4">
        <f>IF(T15=0,0,U15/T15)</f>
        <v>6.2533299216696717E-2</v>
      </c>
      <c r="W15" s="3">
        <v>5177909.8376185223</v>
      </c>
      <c r="X15" s="3">
        <v>45114.783950233832</v>
      </c>
      <c r="Y15" s="4">
        <f>IF(W15=0,0,X15/W15)</f>
        <v>8.7129334741339343E-3</v>
      </c>
      <c r="Z15" s="3">
        <v>171862.19165281719</v>
      </c>
      <c r="AA15" s="3">
        <v>378.31885138832149</v>
      </c>
      <c r="AB15" s="4">
        <f>IF(Z15=0,0,AA15/Z15)</f>
        <v>2.2012919057413875E-3</v>
      </c>
    </row>
    <row r="16" spans="1:28" x14ac:dyDescent="0.35">
      <c r="B16" t="s">
        <v>30</v>
      </c>
      <c r="C16" s="3">
        <f>H16+K16+E16</f>
        <v>425.98550261435679</v>
      </c>
      <c r="D16" s="3">
        <v>308.5630389483282</v>
      </c>
      <c r="E16" s="3">
        <v>117.9406018300627</v>
      </c>
      <c r="F16" s="4">
        <f>IF(D16=0,0,E16/D16)</f>
        <v>0.38222530550657746</v>
      </c>
      <c r="G16" s="3">
        <v>3985.2760327157789</v>
      </c>
      <c r="H16" s="3">
        <v>280.13566344122307</v>
      </c>
      <c r="I16" s="4">
        <f>IF(G16=0,0,H16/G16)</f>
        <v>7.0292662576329434E-2</v>
      </c>
      <c r="J16" s="3">
        <v>13777.25618273796</v>
      </c>
      <c r="K16" s="3">
        <v>27.90923734307103</v>
      </c>
      <c r="L16" s="4">
        <f>IF(J16=0,0,K16/J16)</f>
        <v>2.0257471424563883E-3</v>
      </c>
      <c r="M16" s="3">
        <v>416.35114676752949</v>
      </c>
      <c r="N16" s="3">
        <v>4.1370630363454124</v>
      </c>
      <c r="O16" s="4">
        <f>IF(M16=0,0,N16/M16)</f>
        <v>9.936475661145111E-3</v>
      </c>
      <c r="Q16" s="3">
        <v>3430.077398549784</v>
      </c>
      <c r="R16" s="3">
        <v>1311.062381571898</v>
      </c>
      <c r="S16" s="4">
        <f>IF(Q16=0,0,R16/Q16)</f>
        <v>0.38222530550657757</v>
      </c>
      <c r="T16" s="3">
        <v>125490666.0533599</v>
      </c>
      <c r="U16" s="3">
        <v>7026848.5332566202</v>
      </c>
      <c r="V16" s="4">
        <f>IF(T16=0,0,U16/T16)</f>
        <v>5.5994989541841567E-2</v>
      </c>
      <c r="W16" s="3">
        <v>4635731.7964105764</v>
      </c>
      <c r="X16" s="3">
        <v>32670.824420694262</v>
      </c>
      <c r="Y16" s="4">
        <f>IF(W16=0,0,X16/W16)</f>
        <v>7.0476088469982488E-3</v>
      </c>
      <c r="Z16" s="3">
        <v>153752.5023732449</v>
      </c>
      <c r="AA16" s="3">
        <v>310.09741917075007</v>
      </c>
      <c r="AB16" s="4">
        <f>IF(Z16=0,0,AA16/Z16)</f>
        <v>2.0168609576055353E-3</v>
      </c>
    </row>
    <row r="17" spans="1:28" x14ac:dyDescent="0.35">
      <c r="B17" t="s">
        <v>31</v>
      </c>
      <c r="C17" s="3">
        <f>H17+K17+E17</f>
        <v>345.21575255212258</v>
      </c>
      <c r="D17" s="3">
        <v>288.86678736531792</v>
      </c>
      <c r="E17" s="3">
        <v>99.522205969258039</v>
      </c>
      <c r="F17" s="4">
        <f>IF(D17=0,0,E17/D17)</f>
        <v>0.3445263018188256</v>
      </c>
      <c r="G17" s="3">
        <v>3614.3317239066419</v>
      </c>
      <c r="H17" s="3">
        <v>223.0981557032205</v>
      </c>
      <c r="I17" s="4">
        <f>IF(G17=0,0,H17/G17)</f>
        <v>6.1725976679882395E-2</v>
      </c>
      <c r="J17" s="3">
        <v>12916.932829144929</v>
      </c>
      <c r="K17" s="3">
        <v>22.595390879644079</v>
      </c>
      <c r="L17" s="4">
        <f>IF(J17=0,0,K17/J17)</f>
        <v>1.7492845382505438E-3</v>
      </c>
      <c r="M17" s="3">
        <v>380.99541784497882</v>
      </c>
      <c r="N17" s="3">
        <v>3.9648988122108282</v>
      </c>
      <c r="O17" s="4">
        <f>IF(M17=0,0,N17/M17)</f>
        <v>1.0406683719813356E-2</v>
      </c>
      <c r="Q17" s="3">
        <v>3211.1280790807491</v>
      </c>
      <c r="R17" s="3">
        <v>1106.3180817522791</v>
      </c>
      <c r="S17" s="4">
        <f>IF(Q17=0,0,R17/Q17)</f>
        <v>0.34452630181882538</v>
      </c>
      <c r="T17" s="3">
        <v>117876445.53719731</v>
      </c>
      <c r="U17" s="3">
        <v>5909428.3290538341</v>
      </c>
      <c r="V17" s="4">
        <f>IF(T17=0,0,U17/T17)</f>
        <v>5.0132393304895204E-2</v>
      </c>
      <c r="W17" s="3">
        <v>4171603.1382768038</v>
      </c>
      <c r="X17" s="3">
        <v>27643.588900032919</v>
      </c>
      <c r="Y17" s="4">
        <f>IF(W17=0,0,X17/W17)</f>
        <v>6.6266104381760222E-3</v>
      </c>
      <c r="Z17" s="3">
        <v>144164.29017248511</v>
      </c>
      <c r="AA17" s="3">
        <v>251.178909528302</v>
      </c>
      <c r="AB17" s="4">
        <f>IF(Z17=0,0,AA17/Z17)</f>
        <v>1.7423101742309378E-3</v>
      </c>
    </row>
    <row r="18" spans="1:28" x14ac:dyDescent="0.35">
      <c r="B18" t="s">
        <v>32</v>
      </c>
      <c r="C18" s="3">
        <f>H18+K18+E18</f>
        <v>165.91856429878703</v>
      </c>
      <c r="D18" s="3">
        <v>239.84852037595849</v>
      </c>
      <c r="E18" s="3">
        <v>43.142197183599052</v>
      </c>
      <c r="F18" s="4">
        <f>IF(D18=0,0,E18/D18)</f>
        <v>0.17987268429246256</v>
      </c>
      <c r="G18" s="3">
        <v>3112.2118549380339</v>
      </c>
      <c r="H18" s="3">
        <v>109.9352002503402</v>
      </c>
      <c r="I18" s="4">
        <f>IF(G18=0,0,H18/G18)</f>
        <v>3.5323816428470316E-2</v>
      </c>
      <c r="J18" s="3">
        <v>12351.213483150799</v>
      </c>
      <c r="K18" s="3">
        <v>12.841166864847761</v>
      </c>
      <c r="L18" s="4">
        <f>IF(J18=0,0,K18/J18)</f>
        <v>1.0396684408673967E-3</v>
      </c>
      <c r="M18" s="3">
        <v>348.58104643362333</v>
      </c>
      <c r="N18" s="3">
        <v>1.1187082215984121</v>
      </c>
      <c r="O18" s="4">
        <f>IF(M18=0,0,N18/M18)</f>
        <v>3.209320280158824E-3</v>
      </c>
      <c r="Q18" s="3">
        <v>2666.226621377526</v>
      </c>
      <c r="R18" s="3">
        <v>479.58133931919878</v>
      </c>
      <c r="S18" s="4">
        <f>IF(Q18=0,0,R18/Q18)</f>
        <v>0.17987268429246253</v>
      </c>
      <c r="T18" s="3">
        <v>108133914.5048333</v>
      </c>
      <c r="U18" s="3">
        <v>3152520.1315948069</v>
      </c>
      <c r="V18" s="4">
        <f>IF(T18=0,0,U18/T18)</f>
        <v>2.9153851925465046E-2</v>
      </c>
      <c r="W18" s="3">
        <v>3758069.5714571462</v>
      </c>
      <c r="X18" s="3">
        <v>10855.1048464654</v>
      </c>
      <c r="Y18" s="4">
        <f>IF(W18=0,0,X18/W18)</f>
        <v>2.8884789491154801E-3</v>
      </c>
      <c r="Z18" s="3">
        <v>137838.30282140171</v>
      </c>
      <c r="AA18" s="3">
        <v>142.64481281855839</v>
      </c>
      <c r="AB18" s="4">
        <f>IF(Z18=0,0,AA18/Z18)</f>
        <v>1.034870641169926E-3</v>
      </c>
    </row>
    <row r="20" spans="1:28" x14ac:dyDescent="0.35">
      <c r="A20" s="2" t="s">
        <v>34</v>
      </c>
    </row>
    <row r="21" spans="1:28" x14ac:dyDescent="0.35">
      <c r="B21" t="s">
        <v>26</v>
      </c>
      <c r="C21" s="3">
        <f>C23+C24+C25+C26+C27</f>
        <v>1975.3072175601687</v>
      </c>
      <c r="D21" s="3">
        <f>D23+D24+D25+D26+D27</f>
        <v>1921.9196808294905</v>
      </c>
      <c r="E21" s="3">
        <f>E23+E24+E25+E26+E27</f>
        <v>1075.1027820881895</v>
      </c>
      <c r="F21" s="4">
        <f>IF(D21=0,0,E21/D21)</f>
        <v>0.55939006859234652</v>
      </c>
      <c r="G21" s="3">
        <f>G23+G24+G25+G26+G27</f>
        <v>3682.4352162782898</v>
      </c>
      <c r="H21" s="3">
        <f>H23+H24+H25+H26+H27</f>
        <v>692.2560833897752</v>
      </c>
      <c r="I21" s="4">
        <f>IF(G21=0,0,H21/G21)</f>
        <v>0.1879886658506961</v>
      </c>
      <c r="J21" s="3">
        <f>J23+J24+J25+J26+J27</f>
        <v>75120.106151105079</v>
      </c>
      <c r="K21" s="3">
        <f>K23+K24+K25+K26+K27</f>
        <v>207.94835208220408</v>
      </c>
      <c r="L21" s="4">
        <f>IF(J21=0,0,K21/J21)</f>
        <v>2.7682116378258737E-3</v>
      </c>
      <c r="M21" s="3">
        <f>M23+M24+M25+M26+M27</f>
        <v>1936.1737568351107</v>
      </c>
      <c r="N21" s="3">
        <f>N23+N24+N25+N26+N27</f>
        <v>59.8931588301527</v>
      </c>
      <c r="O21" s="4">
        <f>IF(M21=0,0,N21/M21)</f>
        <v>3.0933772663076824E-2</v>
      </c>
      <c r="Q21" s="3">
        <f>Q23+Q24+Q25+Q26+Q27</f>
        <v>21364.623843185575</v>
      </c>
      <c r="R21" s="3">
        <f>R23+R24+R25+R26+R27</f>
        <v>11951.158397089261</v>
      </c>
      <c r="S21" s="4">
        <f>IF(Q21=0,0,R21/Q21)</f>
        <v>0.55939006859234652</v>
      </c>
      <c r="T21" s="3">
        <f>T23+T24+T25+T26+T27</f>
        <v>106670224.92367341</v>
      </c>
      <c r="U21" s="3">
        <f>U23+U24+U25+U26+U27</f>
        <v>16637355.760071689</v>
      </c>
      <c r="V21" s="4">
        <f>IF(T21=0,0,U21/T21)</f>
        <v>0.15597000730031599</v>
      </c>
      <c r="W21" s="3">
        <f>W23+W24+W25+W26+W27</f>
        <v>8082003.8383214176</v>
      </c>
      <c r="X21" s="3">
        <f>X23+X24+X25+X26+X27</f>
        <v>258149.94787068455</v>
      </c>
      <c r="Y21" s="4">
        <f>IF(W21=0,0,X21/W21)</f>
        <v>3.1941329531006597E-2</v>
      </c>
      <c r="Z21" s="3">
        <f>Z23+Z24+Z25+Z26+Z27</f>
        <v>844449.53447731666</v>
      </c>
      <c r="AA21" s="3">
        <f>AA23+AA24+AA25+AA26+AA27</f>
        <v>2308.9046278140158</v>
      </c>
      <c r="AB21" s="4">
        <f>IF(Z21=0,0,AA21/Z21)</f>
        <v>2.7342126835834461E-3</v>
      </c>
    </row>
    <row r="22" spans="1:28" x14ac:dyDescent="0.35">
      <c r="A22" s="5" t="s">
        <v>27</v>
      </c>
    </row>
    <row r="23" spans="1:28" x14ac:dyDescent="0.35">
      <c r="B23" t="s">
        <v>28</v>
      </c>
      <c r="C23" s="3">
        <f>H23+K23+E23</f>
        <v>518.36206637181317</v>
      </c>
      <c r="D23" s="3">
        <v>428.09244082133358</v>
      </c>
      <c r="E23" s="3">
        <v>277.48144279559938</v>
      </c>
      <c r="F23" s="4">
        <f>IF(D23=0,0,E23/D23)</f>
        <v>0.64818113177431125</v>
      </c>
      <c r="G23" s="3">
        <v>991.82050542122556</v>
      </c>
      <c r="H23" s="3">
        <v>166.97305006018021</v>
      </c>
      <c r="I23" s="4">
        <f>IF(G23=0,0,H23/G23)</f>
        <v>0.16835006853308287</v>
      </c>
      <c r="J23" s="3">
        <v>18248.150900694091</v>
      </c>
      <c r="K23" s="3">
        <v>73.907573516033594</v>
      </c>
      <c r="L23" s="4">
        <f>IF(J23=0,0,K23/J23)</f>
        <v>4.0501404179654407E-3</v>
      </c>
      <c r="M23" s="3">
        <v>476.04818802351332</v>
      </c>
      <c r="N23" s="3">
        <v>13.77730805208051</v>
      </c>
      <c r="O23" s="4">
        <f>IF(M23=0,0,N23/M23)</f>
        <v>2.894099462762793E-2</v>
      </c>
      <c r="Q23" s="3">
        <v>4758.8013481976486</v>
      </c>
      <c r="R23" s="3">
        <v>3084.565243763871</v>
      </c>
      <c r="S23" s="4">
        <f>IF(Q23=0,0,R23/Q23)</f>
        <v>0.64818113177431147</v>
      </c>
      <c r="T23" s="3">
        <v>25699987.560610589</v>
      </c>
      <c r="U23" s="3">
        <v>3401420.686246444</v>
      </c>
      <c r="V23" s="4">
        <f>IF(T23=0,0,U23/T23)</f>
        <v>0.13235106352579232</v>
      </c>
      <c r="W23" s="3">
        <v>1959206.3612258229</v>
      </c>
      <c r="X23" s="3">
        <v>65082.608297784107</v>
      </c>
      <c r="Y23" s="4">
        <f>IF(W23=0,0,X23/W23)</f>
        <v>3.3218863303947042E-2</v>
      </c>
      <c r="Z23" s="3">
        <v>205054.68928072241</v>
      </c>
      <c r="AA23" s="3">
        <v>820.51982641321956</v>
      </c>
      <c r="AB23" s="4">
        <f>IF(Z23=0,0,AA23/Z23)</f>
        <v>4.0014682389921735E-3</v>
      </c>
    </row>
    <row r="24" spans="1:28" x14ac:dyDescent="0.35">
      <c r="B24" t="s">
        <v>29</v>
      </c>
      <c r="C24" s="3">
        <f>H24+K24+E24</f>
        <v>488.67335571001968</v>
      </c>
      <c r="D24" s="3">
        <v>437.75116549754102</v>
      </c>
      <c r="E24" s="3">
        <v>273.77050166811699</v>
      </c>
      <c r="F24" s="4">
        <f>IF(D24=0,0,E24/D24)</f>
        <v>0.62540210796915596</v>
      </c>
      <c r="G24" s="3">
        <v>847.52939170447485</v>
      </c>
      <c r="H24" s="3">
        <v>153.3462496447697</v>
      </c>
      <c r="I24" s="4">
        <f>IF(G24=0,0,H24/G24)</f>
        <v>0.18093325275289099</v>
      </c>
      <c r="J24" s="3">
        <v>18442.648959675</v>
      </c>
      <c r="K24" s="3">
        <v>61.556604397132993</v>
      </c>
      <c r="L24" s="4">
        <f>IF(J24=0,0,K24/J24)</f>
        <v>3.3377311758048967E-3</v>
      </c>
      <c r="M24" s="3">
        <v>476.56393826290048</v>
      </c>
      <c r="N24" s="3">
        <v>17.113331761837991</v>
      </c>
      <c r="O24" s="4">
        <f>IF(M24=0,0,N24/M24)</f>
        <v>3.5909833681954502E-2</v>
      </c>
      <c r="Q24" s="3">
        <v>4866.1705694873763</v>
      </c>
      <c r="R24" s="3">
        <v>3043.313331894874</v>
      </c>
      <c r="S24" s="4">
        <f>IF(Q24=0,0,R24/Q24)</f>
        <v>0.62540210796915607</v>
      </c>
      <c r="T24" s="3">
        <v>23322467.600951109</v>
      </c>
      <c r="U24" s="3">
        <v>3423888.8638618961</v>
      </c>
      <c r="V24" s="4">
        <f>IF(T24=0,0,U24/T24)</f>
        <v>0.14680645815206395</v>
      </c>
      <c r="W24" s="3">
        <v>2033978.1299748039</v>
      </c>
      <c r="X24" s="3">
        <v>70352.468004657887</v>
      </c>
      <c r="Y24" s="4">
        <f>IF(W24=0,0,X24/W24)</f>
        <v>3.4588605928387924E-2</v>
      </c>
      <c r="Z24" s="3">
        <v>207305.28823611679</v>
      </c>
      <c r="AA24" s="3">
        <v>683.76652201107936</v>
      </c>
      <c r="AB24" s="4">
        <f>IF(Z24=0,0,AA24/Z24)</f>
        <v>3.2983554246444609E-3</v>
      </c>
    </row>
    <row r="25" spans="1:28" x14ac:dyDescent="0.35">
      <c r="B25" t="s">
        <v>30</v>
      </c>
      <c r="C25" s="3">
        <f>H25+K25+E25</f>
        <v>387.80095493918424</v>
      </c>
      <c r="D25" s="3">
        <v>396.28526128416758</v>
      </c>
      <c r="E25" s="3">
        <v>214.28435758159819</v>
      </c>
      <c r="F25" s="4">
        <f>IF(D25=0,0,E25/D25)</f>
        <v>0.54073259471524859</v>
      </c>
      <c r="G25" s="3">
        <v>721.62080381298233</v>
      </c>
      <c r="H25" s="3">
        <v>137.51098482848519</v>
      </c>
      <c r="I25" s="4">
        <f>IF(G25=0,0,H25/G25)</f>
        <v>0.19055850954114539</v>
      </c>
      <c r="J25" s="3">
        <v>15355.961975565249</v>
      </c>
      <c r="K25" s="3">
        <v>36.005612529100851</v>
      </c>
      <c r="L25" s="4">
        <f>IF(J25=0,0,K25/J25)</f>
        <v>2.3447318107712033E-3</v>
      </c>
      <c r="M25" s="3">
        <v>391.5266582641886</v>
      </c>
      <c r="N25" s="3">
        <v>12.83719225678127</v>
      </c>
      <c r="O25" s="4">
        <f>IF(M25=0,0,N25/M25)</f>
        <v>3.2787530518852123E-2</v>
      </c>
      <c r="Q25" s="3">
        <v>4405.2233953297473</v>
      </c>
      <c r="R25" s="3">
        <v>2382.047876856971</v>
      </c>
      <c r="S25" s="4">
        <f>IF(Q25=0,0,R25/Q25)</f>
        <v>0.54073259471524848</v>
      </c>
      <c r="T25" s="3">
        <v>21162807.846375171</v>
      </c>
      <c r="U25" s="3">
        <v>3337513.1796382521</v>
      </c>
      <c r="V25" s="4">
        <f>IF(T25=0,0,U25/T25)</f>
        <v>0.15770653893688835</v>
      </c>
      <c r="W25" s="3">
        <v>1664123.912966297</v>
      </c>
      <c r="X25" s="3">
        <v>53910.802672466729</v>
      </c>
      <c r="Y25" s="4">
        <f>IF(W25=0,0,X25/W25)</f>
        <v>3.2395906490142824E-2</v>
      </c>
      <c r="Z25" s="3">
        <v>172634.6152091868</v>
      </c>
      <c r="AA25" s="3">
        <v>399.65888185758382</v>
      </c>
      <c r="AB25" s="4">
        <f>IF(Z25=0,0,AA25/Z25)</f>
        <v>2.3150564640428838E-3</v>
      </c>
    </row>
    <row r="26" spans="1:28" x14ac:dyDescent="0.35">
      <c r="B26" t="s">
        <v>31</v>
      </c>
      <c r="C26" s="3">
        <f>H26+K26+E26</f>
        <v>322.27200750017107</v>
      </c>
      <c r="D26" s="3">
        <v>351.26672270713158</v>
      </c>
      <c r="E26" s="3">
        <v>169.09086715748001</v>
      </c>
      <c r="F26" s="4">
        <f>IF(D26=0,0,E26/D26)</f>
        <v>0.48137456874461582</v>
      </c>
      <c r="G26" s="3">
        <v>656.23600296293523</v>
      </c>
      <c r="H26" s="3">
        <v>131.22809870126761</v>
      </c>
      <c r="I26" s="4">
        <f>IF(G26=0,0,H26/G26)</f>
        <v>0.19997089173523977</v>
      </c>
      <c r="J26" s="3">
        <v>12320.893910346331</v>
      </c>
      <c r="K26" s="3">
        <v>21.953041641423479</v>
      </c>
      <c r="L26" s="4">
        <f>IF(J26=0,0,K26/J26)</f>
        <v>1.7817734493264861E-3</v>
      </c>
      <c r="M26" s="3">
        <v>305.89771512841492</v>
      </c>
      <c r="N26" s="3">
        <v>8.8750085550833617</v>
      </c>
      <c r="O26" s="4">
        <f>IF(M26=0,0,N26/M26)</f>
        <v>2.9012993939355382E-2</v>
      </c>
      <c r="Q26" s="3">
        <v>3904.7840938011818</v>
      </c>
      <c r="R26" s="3">
        <v>1879.66375919438</v>
      </c>
      <c r="S26" s="4">
        <f>IF(Q26=0,0,R26/Q26)</f>
        <v>0.48137456874461598</v>
      </c>
      <c r="T26" s="3">
        <v>20232379.411657181</v>
      </c>
      <c r="U26" s="3">
        <v>3377261.9696825258</v>
      </c>
      <c r="V26" s="4">
        <f>IF(T26=0,0,U26/T26)</f>
        <v>0.16692361787841262</v>
      </c>
      <c r="W26" s="3">
        <v>1291512.2728871789</v>
      </c>
      <c r="X26" s="3">
        <v>35946.191367430612</v>
      </c>
      <c r="Y26" s="4">
        <f>IF(W26=0,0,X26/W26)</f>
        <v>2.7832636299361533E-2</v>
      </c>
      <c r="Z26" s="3">
        <v>138538.51808137319</v>
      </c>
      <c r="AA26" s="3">
        <v>243.82372102720549</v>
      </c>
      <c r="AB26" s="4">
        <f>IF(Z26=0,0,AA26/Z26)</f>
        <v>1.7599706161429494E-3</v>
      </c>
    </row>
    <row r="27" spans="1:28" x14ac:dyDescent="0.35">
      <c r="B27" t="s">
        <v>32</v>
      </c>
      <c r="C27" s="3">
        <f>H27+K27+E27</f>
        <v>258.19883303898035</v>
      </c>
      <c r="D27" s="3">
        <v>308.52409051931693</v>
      </c>
      <c r="E27" s="3">
        <v>140.47561288539481</v>
      </c>
      <c r="F27" s="4">
        <f>IF(D27=0,0,E27/D27)</f>
        <v>0.4553148917769827</v>
      </c>
      <c r="G27" s="3">
        <v>465.22851237667129</v>
      </c>
      <c r="H27" s="3">
        <v>103.1977001550724</v>
      </c>
      <c r="I27" s="4">
        <f>IF(G27=0,0,H27/G27)</f>
        <v>0.22182152944125358</v>
      </c>
      <c r="J27" s="3">
        <v>10752.450404824391</v>
      </c>
      <c r="K27" s="3">
        <v>14.525519998513159</v>
      </c>
      <c r="L27" s="4">
        <f>IF(J27=0,0,K27/J27)</f>
        <v>1.3509032315085941E-3</v>
      </c>
      <c r="M27" s="3">
        <v>286.13725715609343</v>
      </c>
      <c r="N27" s="3">
        <v>7.2903182043695702</v>
      </c>
      <c r="O27" s="4">
        <f>IF(M27=0,0,N27/M27)</f>
        <v>2.5478395497418781E-2</v>
      </c>
      <c r="Q27" s="3">
        <v>3429.6444363696219</v>
      </c>
      <c r="R27" s="3">
        <v>1561.568185379165</v>
      </c>
      <c r="S27" s="4">
        <f>IF(Q27=0,0,R27/Q27)</f>
        <v>0.45531489177698264</v>
      </c>
      <c r="T27" s="3">
        <v>16252582.504079361</v>
      </c>
      <c r="U27" s="3">
        <v>3097271.0606425721</v>
      </c>
      <c r="V27" s="4">
        <f>IF(T27=0,0,U27/T27)</f>
        <v>0.19057100986044306</v>
      </c>
      <c r="W27" s="3">
        <v>1133183.161267315</v>
      </c>
      <c r="X27" s="3">
        <v>32857.877528345212</v>
      </c>
      <c r="Y27" s="4">
        <f>IF(W27=0,0,X27/W27)</f>
        <v>2.8996086997620081E-2</v>
      </c>
      <c r="Z27" s="3">
        <v>120916.42366991749</v>
      </c>
      <c r="AA27" s="3">
        <v>161.13567650492769</v>
      </c>
      <c r="AB27" s="4">
        <f>IF(Z27=0,0,AA27/Z27)</f>
        <v>1.3326202645953401E-3</v>
      </c>
    </row>
    <row r="29" spans="1:28" x14ac:dyDescent="0.35">
      <c r="A29" s="2" t="s">
        <v>35</v>
      </c>
    </row>
    <row r="30" spans="1:28" x14ac:dyDescent="0.35">
      <c r="B30" t="s">
        <v>26</v>
      </c>
      <c r="C30" s="3">
        <f>C32+C33+C34+C35+C36</f>
        <v>252.98081722758172</v>
      </c>
      <c r="D30" s="3">
        <f>D32+D33+D34+D35+D36</f>
        <v>660.80113298361266</v>
      </c>
      <c r="E30" s="3">
        <f>E32+E33+E34+E35+E36</f>
        <v>245.1322541365746</v>
      </c>
      <c r="F30" s="4">
        <f>IF(D30=0,0,E30/D30)</f>
        <v>0.37096221828459497</v>
      </c>
      <c r="G30" s="3">
        <f>G32+G33+G34+G35+G36</f>
        <v>814.53034621778045</v>
      </c>
      <c r="H30" s="6">
        <f>H32+H33+H34+H35+H36</f>
        <v>7.8485630910071178</v>
      </c>
      <c r="I30" s="7">
        <f>IF(G30=0,0,H30/G30)</f>
        <v>9.6356914477789789E-3</v>
      </c>
      <c r="J30" s="3">
        <f>J32+J33+J34+J35+J36</f>
        <v>0</v>
      </c>
      <c r="K30" s="3">
        <f>K32+K33+K34+K35+K36</f>
        <v>0</v>
      </c>
      <c r="L30" s="4">
        <f>IF(J30=0,0,K30/J30)</f>
        <v>0</v>
      </c>
      <c r="M30" s="3">
        <f>M32+M33+M34+M35+M36</f>
        <v>0</v>
      </c>
      <c r="N30" s="3">
        <f>N32+N33+N34+N35+N36</f>
        <v>0</v>
      </c>
      <c r="O30" s="4">
        <f>IF(M30=0,0,N30/M30)</f>
        <v>0</v>
      </c>
      <c r="Q30" s="3">
        <f>Q32+Q33+Q34+Q35+Q36</f>
        <v>7345.6595414292105</v>
      </c>
      <c r="R30" s="3">
        <f>R32+R33+R34+R35+R36</f>
        <v>2724.9621582519808</v>
      </c>
      <c r="S30" s="4">
        <f>IF(Q30=0,0,R30/Q30)</f>
        <v>0.37096221828459497</v>
      </c>
      <c r="T30" s="3">
        <f>T32+T33+T34+T35+T36</f>
        <v>26890169.836246081</v>
      </c>
      <c r="U30" s="3">
        <f>U32+U33+U34+U35+U36</f>
        <v>292255.43316228967</v>
      </c>
      <c r="V30" s="4">
        <f>IF(T30=0,0,U30/T30)</f>
        <v>1.086848595386518E-2</v>
      </c>
      <c r="W30" s="3">
        <f>W32+W33+W34+W35+W36</f>
        <v>0</v>
      </c>
      <c r="X30" s="3">
        <f>X32+X33+X34+X35+X36</f>
        <v>0</v>
      </c>
      <c r="Y30" s="4">
        <f>IF(W30=0,0,X30/W30)</f>
        <v>0</v>
      </c>
      <c r="Z30" s="3">
        <f>Z32+Z33+Z34+Z35+Z36</f>
        <v>0</v>
      </c>
      <c r="AA30" s="3">
        <f>AA32+AA33+AA34+AA35+AA36</f>
        <v>0</v>
      </c>
      <c r="AB30" s="4">
        <f>IF(Z30=0,0,AA30/Z30)</f>
        <v>0</v>
      </c>
    </row>
    <row r="31" spans="1:28" x14ac:dyDescent="0.35">
      <c r="A31" s="5" t="s">
        <v>27</v>
      </c>
      <c r="H31" s="8"/>
      <c r="I31" s="8"/>
    </row>
    <row r="32" spans="1:28" x14ac:dyDescent="0.35">
      <c r="B32" t="s">
        <v>28</v>
      </c>
      <c r="C32" s="3">
        <f>H32+K32+E32</f>
        <v>73.82106874493499</v>
      </c>
      <c r="D32" s="3">
        <v>158.01636350616181</v>
      </c>
      <c r="E32" s="3">
        <v>71.120547266421269</v>
      </c>
      <c r="F32" s="4">
        <f>IF(D32=0,0,E32/D32)</f>
        <v>0.45008343242659132</v>
      </c>
      <c r="G32" s="3">
        <v>289.90090139463632</v>
      </c>
      <c r="H32" s="6">
        <v>2.7005214785137208</v>
      </c>
      <c r="I32" s="7">
        <f>IF(G32=0,0,H32/G32)</f>
        <v>9.3153262563939205E-3</v>
      </c>
      <c r="J32" s="3">
        <v>0</v>
      </c>
      <c r="K32" s="3">
        <v>0</v>
      </c>
      <c r="L32" s="4">
        <f>IF(J32=0,0,K32/J32)</f>
        <v>0</v>
      </c>
      <c r="M32" s="3">
        <v>0</v>
      </c>
      <c r="N32" s="3">
        <v>0</v>
      </c>
      <c r="O32" s="4">
        <f>IF(M32=0,0,N32/M32)</f>
        <v>0</v>
      </c>
      <c r="Q32" s="3">
        <v>1756.5563228532919</v>
      </c>
      <c r="R32" s="3">
        <v>790.59689904044183</v>
      </c>
      <c r="S32" s="4">
        <f>IF(Q32=0,0,R32/Q32)</f>
        <v>0.4500834324265916</v>
      </c>
      <c r="T32" s="3">
        <v>7917202.4300766056</v>
      </c>
      <c r="U32" s="3">
        <v>79522.935220028274</v>
      </c>
      <c r="V32" s="4">
        <f>IF(T32=0,0,U32/T32)</f>
        <v>1.004432259025349E-2</v>
      </c>
      <c r="W32" s="3">
        <v>0</v>
      </c>
      <c r="X32" s="3">
        <v>0</v>
      </c>
      <c r="Y32" s="4">
        <f>IF(W32=0,0,X32/W32)</f>
        <v>0</v>
      </c>
      <c r="Z32" s="3">
        <v>0</v>
      </c>
      <c r="AA32" s="3">
        <v>0</v>
      </c>
      <c r="AB32" s="4">
        <f>IF(Z32=0,0,AA32/Z32)</f>
        <v>0</v>
      </c>
    </row>
    <row r="33" spans="1:28" x14ac:dyDescent="0.35">
      <c r="B33" t="s">
        <v>29</v>
      </c>
      <c r="C33" s="3">
        <f>H33+K33+E33</f>
        <v>66.051288895629042</v>
      </c>
      <c r="D33" s="3">
        <v>150.30970532381971</v>
      </c>
      <c r="E33" s="3">
        <v>64.218379853471717</v>
      </c>
      <c r="F33" s="4">
        <f>IF(D33=0,0,E33/D33)</f>
        <v>0.42724040816341735</v>
      </c>
      <c r="G33" s="3">
        <v>172.51020331953049</v>
      </c>
      <c r="H33" s="6">
        <v>1.83290904215732</v>
      </c>
      <c r="I33" s="7">
        <f>IF(G33=0,0,H33/G33)</f>
        <v>1.0624931203416012E-2</v>
      </c>
      <c r="J33" s="3">
        <v>0</v>
      </c>
      <c r="K33" s="3">
        <v>0</v>
      </c>
      <c r="L33" s="4">
        <f>IF(J33=0,0,K33/J33)</f>
        <v>0</v>
      </c>
      <c r="M33" s="3">
        <v>0</v>
      </c>
      <c r="N33" s="3">
        <v>0</v>
      </c>
      <c r="O33" s="4">
        <f>IF(M33=0,0,N33/M33)</f>
        <v>0</v>
      </c>
      <c r="Q33" s="3">
        <v>1670.8868462377629</v>
      </c>
      <c r="R33" s="3">
        <v>713.87037818150714</v>
      </c>
      <c r="S33" s="4">
        <f>IF(Q33=0,0,R33/Q33)</f>
        <v>0.42724040816341741</v>
      </c>
      <c r="T33" s="3">
        <v>5775458.9344058</v>
      </c>
      <c r="U33" s="3">
        <v>71151.412156144157</v>
      </c>
      <c r="V33" s="4">
        <f>IF(T33=0,0,U33/T33)</f>
        <v>1.2319611820331379E-2</v>
      </c>
      <c r="W33" s="3">
        <v>0</v>
      </c>
      <c r="X33" s="3">
        <v>0</v>
      </c>
      <c r="Y33" s="4">
        <f>IF(W33=0,0,X33/W33)</f>
        <v>0</v>
      </c>
      <c r="Z33" s="3">
        <v>0</v>
      </c>
      <c r="AA33" s="3">
        <v>0</v>
      </c>
      <c r="AB33" s="4">
        <f>IF(Z33=0,0,AA33/Z33)</f>
        <v>0</v>
      </c>
    </row>
    <row r="34" spans="1:28" x14ac:dyDescent="0.35">
      <c r="B34" t="s">
        <v>30</v>
      </c>
      <c r="C34" s="3">
        <f>H34+K34+E34</f>
        <v>65.437886901995398</v>
      </c>
      <c r="D34" s="3">
        <v>136.8081181206467</v>
      </c>
      <c r="E34" s="3">
        <v>63.504190897818653</v>
      </c>
      <c r="F34" s="4">
        <f>IF(D34=0,0,E34/D34)</f>
        <v>0.46418437568022347</v>
      </c>
      <c r="G34" s="3">
        <v>135.45605543604131</v>
      </c>
      <c r="H34" s="6">
        <v>1.933696004176745</v>
      </c>
      <c r="I34" s="7">
        <f>IF(G34=0,0,H34/G34)</f>
        <v>1.4275448948753598E-2</v>
      </c>
      <c r="J34" s="3">
        <v>0</v>
      </c>
      <c r="K34" s="3">
        <v>0</v>
      </c>
      <c r="L34" s="4">
        <f>IF(J34=0,0,K34/J34)</f>
        <v>0</v>
      </c>
      <c r="M34" s="3">
        <v>0</v>
      </c>
      <c r="N34" s="3">
        <v>0</v>
      </c>
      <c r="O34" s="4">
        <f>IF(M34=0,0,N34/M34)</f>
        <v>0</v>
      </c>
      <c r="Q34" s="3">
        <v>1520.7992360431149</v>
      </c>
      <c r="R34" s="3">
        <v>705.93124391763399</v>
      </c>
      <c r="S34" s="4">
        <f>IF(Q34=0,0,R34/Q34)</f>
        <v>0.46418437568022342</v>
      </c>
      <c r="T34" s="3">
        <v>4941006.3189266957</v>
      </c>
      <c r="U34" s="3">
        <v>79056.746527970769</v>
      </c>
      <c r="V34" s="4">
        <f>IF(T34=0,0,U34/T34)</f>
        <v>1.6000130626253436E-2</v>
      </c>
      <c r="W34" s="3">
        <v>0</v>
      </c>
      <c r="X34" s="3">
        <v>0</v>
      </c>
      <c r="Y34" s="4">
        <f>IF(W34=0,0,X34/W34)</f>
        <v>0</v>
      </c>
      <c r="Z34" s="3">
        <v>0</v>
      </c>
      <c r="AA34" s="3">
        <v>0</v>
      </c>
      <c r="AB34" s="4">
        <f>IF(Z34=0,0,AA34/Z34)</f>
        <v>0</v>
      </c>
    </row>
    <row r="35" spans="1:28" x14ac:dyDescent="0.35">
      <c r="B35" t="s">
        <v>31</v>
      </c>
      <c r="C35" s="3">
        <f>H35+K35+E35</f>
        <v>29.385977025459027</v>
      </c>
      <c r="D35" s="3">
        <v>120.55842024780129</v>
      </c>
      <c r="E35" s="3">
        <v>28.61946098787946</v>
      </c>
      <c r="F35" s="4">
        <f>IF(D35=0,0,E35/D35)</f>
        <v>0.23739080960959599</v>
      </c>
      <c r="G35" s="3">
        <v>131.31388542968341</v>
      </c>
      <c r="H35" s="6">
        <v>0.76651603757956766</v>
      </c>
      <c r="I35" s="7">
        <f>IF(G35=0,0,H35/G35)</f>
        <v>5.8372809171808818E-3</v>
      </c>
      <c r="J35" s="3">
        <v>0</v>
      </c>
      <c r="K35" s="3">
        <v>0</v>
      </c>
      <c r="L35" s="4">
        <f>IF(J35=0,0,K35/J35)</f>
        <v>0</v>
      </c>
      <c r="M35" s="3">
        <v>0</v>
      </c>
      <c r="N35" s="3">
        <v>0</v>
      </c>
      <c r="O35" s="4">
        <f>IF(M35=0,0,N35/M35)</f>
        <v>0</v>
      </c>
      <c r="Q35" s="3">
        <v>1340.1628202336269</v>
      </c>
      <c r="R35" s="3">
        <v>318.14233690394002</v>
      </c>
      <c r="S35" s="4">
        <f>IF(Q35=0,0,R35/Q35)</f>
        <v>0.23739080960959591</v>
      </c>
      <c r="T35" s="3">
        <v>4714339.9302510964</v>
      </c>
      <c r="U35" s="3">
        <v>33401.84311571531</v>
      </c>
      <c r="V35" s="4">
        <f>IF(T35=0,0,U35/T35)</f>
        <v>7.0851579669470831E-3</v>
      </c>
      <c r="W35" s="3">
        <v>0</v>
      </c>
      <c r="X35" s="3">
        <v>0</v>
      </c>
      <c r="Y35" s="4">
        <f>IF(W35=0,0,X35/W35)</f>
        <v>0</v>
      </c>
      <c r="Z35" s="3">
        <v>0</v>
      </c>
      <c r="AA35" s="3">
        <v>0</v>
      </c>
      <c r="AB35" s="4">
        <f>IF(Z35=0,0,AA35/Z35)</f>
        <v>0</v>
      </c>
    </row>
    <row r="36" spans="1:28" x14ac:dyDescent="0.35">
      <c r="B36" t="s">
        <v>32</v>
      </c>
      <c r="C36" s="3">
        <f>H36+K36+E36</f>
        <v>18.284595659563276</v>
      </c>
      <c r="D36" s="3">
        <v>95.10852578518319</v>
      </c>
      <c r="E36" s="3">
        <v>17.66967513098351</v>
      </c>
      <c r="F36" s="4">
        <f>IF(D36=0,0,E36/D36)</f>
        <v>0.18578434462219623</v>
      </c>
      <c r="G36" s="3">
        <v>85.349300637888987</v>
      </c>
      <c r="H36" s="6">
        <v>0.6149205285797652</v>
      </c>
      <c r="I36" s="7">
        <f>IF(G36=0,0,H36/G36)</f>
        <v>7.2047518138278034E-3</v>
      </c>
      <c r="J36" s="3">
        <v>0</v>
      </c>
      <c r="K36" s="3">
        <v>0</v>
      </c>
      <c r="L36" s="4">
        <f>IF(J36=0,0,K36/J36)</f>
        <v>0</v>
      </c>
      <c r="M36" s="3">
        <v>0</v>
      </c>
      <c r="N36" s="3">
        <v>0</v>
      </c>
      <c r="O36" s="4">
        <f>IF(M36=0,0,N36/M36)</f>
        <v>0</v>
      </c>
      <c r="Q36" s="3">
        <v>1057.2543160614141</v>
      </c>
      <c r="R36" s="3">
        <v>196.42130020845809</v>
      </c>
      <c r="S36" s="4">
        <f>IF(Q36=0,0,R36/Q36)</f>
        <v>0.1857843446221962</v>
      </c>
      <c r="T36" s="3">
        <v>3542162.2225858839</v>
      </c>
      <c r="U36" s="3">
        <v>29122.496142431159</v>
      </c>
      <c r="V36" s="4">
        <f>IF(T36=0,0,U36/T36)</f>
        <v>8.2216720501216544E-3</v>
      </c>
      <c r="W36" s="3">
        <v>0</v>
      </c>
      <c r="X36" s="3">
        <v>0</v>
      </c>
      <c r="Y36" s="4">
        <f>IF(W36=0,0,X36/W36)</f>
        <v>0</v>
      </c>
      <c r="Z36" s="3">
        <v>0</v>
      </c>
      <c r="AA36" s="3">
        <v>0</v>
      </c>
      <c r="AB36" s="4">
        <f>IF(Z36=0,0,AA36/Z36)</f>
        <v>0</v>
      </c>
    </row>
    <row r="37" spans="1:28" x14ac:dyDescent="0.35">
      <c r="H37" s="8"/>
      <c r="I37" s="8"/>
    </row>
    <row r="38" spans="1:28" x14ac:dyDescent="0.35">
      <c r="A38" s="2" t="s">
        <v>36</v>
      </c>
      <c r="H38" s="8"/>
      <c r="I38" s="8"/>
    </row>
    <row r="39" spans="1:28" x14ac:dyDescent="0.35">
      <c r="B39" t="s">
        <v>26</v>
      </c>
      <c r="C39" s="3">
        <f>C41+C42+C43+C44+C45</f>
        <v>509.8785426179017</v>
      </c>
      <c r="D39" s="3">
        <f>D41+D42+D43+D44+D45</f>
        <v>660.80113298361266</v>
      </c>
      <c r="E39" s="3">
        <f>E41+E42+E43+E44+E45</f>
        <v>480.83763185909783</v>
      </c>
      <c r="F39" s="4">
        <f>IF(D39=0,0,E39/D39)</f>
        <v>0.72765860689137496</v>
      </c>
      <c r="G39" s="3">
        <f>G41+G42+G43+G44+G45</f>
        <v>814.53034621778045</v>
      </c>
      <c r="H39" s="6">
        <f>H41+H42+H43+H44+H45</f>
        <v>29.040910758803861</v>
      </c>
      <c r="I39" s="7">
        <f>IF(G39=0,0,H39/G39)</f>
        <v>3.5653565141745142E-2</v>
      </c>
      <c r="J39" s="3">
        <f>J41+J42+J43+J44+J45</f>
        <v>0</v>
      </c>
      <c r="K39" s="3">
        <f>K41+K42+K43+K44+K45</f>
        <v>0</v>
      </c>
      <c r="L39" s="4">
        <f>IF(J39=0,0,K39/J39)</f>
        <v>0</v>
      </c>
      <c r="M39" s="3">
        <f>M41+M42+M43+M44+M45</f>
        <v>0</v>
      </c>
      <c r="N39" s="3">
        <f>N41+N42+N43+N44+N45</f>
        <v>0</v>
      </c>
      <c r="O39" s="4">
        <f>IF(M39=0,0,N39/M39)</f>
        <v>0</v>
      </c>
      <c r="Q39" s="3">
        <f>Q41+Q42+Q43+Q44+Q45</f>
        <v>7345.6595414292105</v>
      </c>
      <c r="R39" s="3">
        <f>R41+R42+R43+R44+R45</f>
        <v>5345.1323886147175</v>
      </c>
      <c r="S39" s="4">
        <f>IF(Q39=0,0,R39/Q39)</f>
        <v>0.72765860689137518</v>
      </c>
      <c r="T39" s="3">
        <f>T41+T42+T43+T44+T45</f>
        <v>26890169.836246081</v>
      </c>
      <c r="U39" s="3">
        <f>U41+U42+U43+U44+U45</f>
        <v>1105374.7651894097</v>
      </c>
      <c r="V39" s="4">
        <f>IF(T39=0,0,U39/T39)</f>
        <v>4.1107020592314795E-2</v>
      </c>
      <c r="W39" s="3">
        <f>W41+W42+W43+W44+W45</f>
        <v>0</v>
      </c>
      <c r="X39" s="3">
        <f>X41+X42+X43+X44+X45</f>
        <v>0</v>
      </c>
      <c r="Y39" s="4">
        <f>IF(W39=0,0,X39/W39)</f>
        <v>0</v>
      </c>
      <c r="Z39" s="3">
        <f>Z41+Z42+Z43+Z44+Z45</f>
        <v>0</v>
      </c>
      <c r="AA39" s="3">
        <f>AA41+AA42+AA43+AA44+AA45</f>
        <v>0</v>
      </c>
      <c r="AB39" s="4">
        <f>IF(Z39=0,0,AA39/Z39)</f>
        <v>0</v>
      </c>
    </row>
    <row r="40" spans="1:28" x14ac:dyDescent="0.35">
      <c r="A40" s="5" t="s">
        <v>27</v>
      </c>
      <c r="H40" s="8"/>
      <c r="I40" s="8"/>
    </row>
    <row r="41" spans="1:28" x14ac:dyDescent="0.35">
      <c r="B41" t="s">
        <v>28</v>
      </c>
      <c r="C41" s="3">
        <f>H41+K41+E41</f>
        <v>138.65122217384757</v>
      </c>
      <c r="D41" s="3">
        <v>158.01636350616181</v>
      </c>
      <c r="E41" s="3">
        <v>128.62683418279411</v>
      </c>
      <c r="F41" s="4">
        <f>IF(D41=0,0,E41/D41)</f>
        <v>0.81400958311370286</v>
      </c>
      <c r="G41" s="3">
        <v>289.90090139463632</v>
      </c>
      <c r="H41" s="6">
        <v>10.024387991053461</v>
      </c>
      <c r="I41" s="7">
        <f>IF(G41=0,0,H41/G41)</f>
        <v>3.4578671341926812E-2</v>
      </c>
      <c r="J41" s="3">
        <v>0</v>
      </c>
      <c r="K41" s="3">
        <v>0</v>
      </c>
      <c r="L41" s="4">
        <f>IF(J41=0,0,K41/J41)</f>
        <v>0</v>
      </c>
      <c r="M41" s="3">
        <v>0</v>
      </c>
      <c r="N41" s="3">
        <v>0</v>
      </c>
      <c r="O41" s="4">
        <f>IF(M41=0,0,N41/M41)</f>
        <v>0</v>
      </c>
      <c r="Q41" s="3">
        <v>1756.5563228532919</v>
      </c>
      <c r="R41" s="3">
        <v>1429.8536800815471</v>
      </c>
      <c r="S41" s="4">
        <f>IF(Q41=0,0,R41/Q41)</f>
        <v>0.81400958311370286</v>
      </c>
      <c r="T41" s="3">
        <v>7917202.4300766056</v>
      </c>
      <c r="U41" s="3">
        <v>303590.13104824722</v>
      </c>
      <c r="V41" s="4">
        <f>IF(T41=0,0,U41/T41)</f>
        <v>3.8345632024632939E-2</v>
      </c>
      <c r="W41" s="3">
        <v>0</v>
      </c>
      <c r="X41" s="3">
        <v>0</v>
      </c>
      <c r="Y41" s="4">
        <f>IF(W41=0,0,X41/W41)</f>
        <v>0</v>
      </c>
      <c r="Z41" s="3">
        <v>0</v>
      </c>
      <c r="AA41" s="3">
        <v>0</v>
      </c>
      <c r="AB41" s="4">
        <f>IF(Z41=0,0,AA41/Z41)</f>
        <v>0</v>
      </c>
    </row>
    <row r="42" spans="1:28" x14ac:dyDescent="0.35">
      <c r="B42" t="s">
        <v>29</v>
      </c>
      <c r="C42" s="3">
        <f>H42+K42+E42</f>
        <v>126.52920136922393</v>
      </c>
      <c r="D42" s="3">
        <v>150.30970532381971</v>
      </c>
      <c r="E42" s="3">
        <v>119.80575138365791</v>
      </c>
      <c r="F42" s="4">
        <f>IF(D42=0,0,E42/D42)</f>
        <v>0.79705931912749339</v>
      </c>
      <c r="G42" s="3">
        <v>172.51020331953049</v>
      </c>
      <c r="H42" s="6">
        <v>6.7234499855660248</v>
      </c>
      <c r="I42" s="7">
        <f>IF(G42=0,0,H42/G42)</f>
        <v>3.8974216343091166E-2</v>
      </c>
      <c r="J42" s="3">
        <v>0</v>
      </c>
      <c r="K42" s="3">
        <v>0</v>
      </c>
      <c r="L42" s="4">
        <f>IF(J42=0,0,K42/J42)</f>
        <v>0</v>
      </c>
      <c r="M42" s="3">
        <v>0</v>
      </c>
      <c r="N42" s="3">
        <v>0</v>
      </c>
      <c r="O42" s="4">
        <f>IF(M42=0,0,N42/M42)</f>
        <v>0</v>
      </c>
      <c r="Q42" s="3">
        <v>1670.8868462377629</v>
      </c>
      <c r="R42" s="3">
        <v>1331.795932001357</v>
      </c>
      <c r="S42" s="4">
        <f>IF(Q42=0,0,R42/Q42)</f>
        <v>0.79705931912749395</v>
      </c>
      <c r="T42" s="3">
        <v>5775458.9344058</v>
      </c>
      <c r="U42" s="3">
        <v>266981.41794837551</v>
      </c>
      <c r="V42" s="4">
        <f>IF(T42=0,0,U42/T42)</f>
        <v>4.6226874951513015E-2</v>
      </c>
      <c r="W42" s="3">
        <v>0</v>
      </c>
      <c r="X42" s="3">
        <v>0</v>
      </c>
      <c r="Y42" s="4">
        <f>IF(W42=0,0,X42/W42)</f>
        <v>0</v>
      </c>
      <c r="Z42" s="3">
        <v>0</v>
      </c>
      <c r="AA42" s="3">
        <v>0</v>
      </c>
      <c r="AB42" s="4">
        <f>IF(Z42=0,0,AA42/Z42)</f>
        <v>0</v>
      </c>
    </row>
    <row r="43" spans="1:28" x14ac:dyDescent="0.35">
      <c r="B43" t="s">
        <v>30</v>
      </c>
      <c r="C43" s="3">
        <f>H43+K43+E43</f>
        <v>119.70614589422573</v>
      </c>
      <c r="D43" s="3">
        <v>136.8081181206467</v>
      </c>
      <c r="E43" s="3">
        <v>112.71169114408799</v>
      </c>
      <c r="F43" s="4">
        <f>IF(D43=0,0,E43/D43)</f>
        <v>0.82386698020866833</v>
      </c>
      <c r="G43" s="3">
        <v>135.45605543604131</v>
      </c>
      <c r="H43" s="6">
        <v>6.9944547501377379</v>
      </c>
      <c r="I43" s="7">
        <f>IF(G43=0,0,H43/G43)</f>
        <v>5.1636338645933262E-2</v>
      </c>
      <c r="J43" s="3">
        <v>0</v>
      </c>
      <c r="K43" s="3">
        <v>0</v>
      </c>
      <c r="L43" s="4">
        <f>IF(J43=0,0,K43/J43)</f>
        <v>0</v>
      </c>
      <c r="M43" s="3">
        <v>0</v>
      </c>
      <c r="N43" s="3">
        <v>0</v>
      </c>
      <c r="O43" s="4">
        <f>IF(M43=0,0,N43/M43)</f>
        <v>0</v>
      </c>
      <c r="Q43" s="3">
        <v>1520.7992360431149</v>
      </c>
      <c r="R43" s="3">
        <v>1252.9362741024911</v>
      </c>
      <c r="S43" s="4">
        <f>IF(Q43=0,0,R43/Q43)</f>
        <v>0.82386698020866844</v>
      </c>
      <c r="T43" s="3">
        <v>4941006.3189266957</v>
      </c>
      <c r="U43" s="3">
        <v>292834.59484026668</v>
      </c>
      <c r="V43" s="4">
        <f>IF(T43=0,0,U43/T43)</f>
        <v>5.9266185051930341E-2</v>
      </c>
      <c r="W43" s="3">
        <v>0</v>
      </c>
      <c r="X43" s="3">
        <v>0</v>
      </c>
      <c r="Y43" s="4">
        <f>IF(W43=0,0,X43/W43)</f>
        <v>0</v>
      </c>
      <c r="Z43" s="3">
        <v>0</v>
      </c>
      <c r="AA43" s="3">
        <v>0</v>
      </c>
      <c r="AB43" s="4">
        <f>IF(Z43=0,0,AA43/Z43)</f>
        <v>0</v>
      </c>
    </row>
    <row r="44" spans="1:28" x14ac:dyDescent="0.35">
      <c r="B44" t="s">
        <v>31</v>
      </c>
      <c r="C44" s="3">
        <f>H44+K44+E44</f>
        <v>74.321153627583328</v>
      </c>
      <c r="D44" s="3">
        <v>120.55842024780129</v>
      </c>
      <c r="E44" s="3">
        <v>71.388793624683842</v>
      </c>
      <c r="F44" s="4">
        <f>IF(D44=0,0,E44/D44)</f>
        <v>0.59215103746339781</v>
      </c>
      <c r="G44" s="3">
        <v>131.31388542968341</v>
      </c>
      <c r="H44" s="6">
        <v>2.9323600028994838</v>
      </c>
      <c r="I44" s="7">
        <f>IF(G44=0,0,H44/G44)</f>
        <v>2.2330921008880802E-2</v>
      </c>
      <c r="J44" s="3">
        <v>0</v>
      </c>
      <c r="K44" s="3">
        <v>0</v>
      </c>
      <c r="L44" s="4">
        <f>IF(J44=0,0,K44/J44)</f>
        <v>0</v>
      </c>
      <c r="M44" s="3">
        <v>0</v>
      </c>
      <c r="N44" s="3">
        <v>0</v>
      </c>
      <c r="O44" s="4">
        <f>IF(M44=0,0,N44/M44)</f>
        <v>0</v>
      </c>
      <c r="Q44" s="3">
        <v>1340.1628202336269</v>
      </c>
      <c r="R44" s="3">
        <v>793.57880437121526</v>
      </c>
      <c r="S44" s="4">
        <f>IF(Q44=0,0,R44/Q44)</f>
        <v>0.59215103746339781</v>
      </c>
      <c r="T44" s="3">
        <v>4714339.9302510964</v>
      </c>
      <c r="U44" s="3">
        <v>129073.88777256011</v>
      </c>
      <c r="V44" s="4">
        <f>IF(T44=0,0,U44/T44)</f>
        <v>2.7378994659319218E-2</v>
      </c>
      <c r="W44" s="3">
        <v>0</v>
      </c>
      <c r="X44" s="3">
        <v>0</v>
      </c>
      <c r="Y44" s="4">
        <f>IF(W44=0,0,X44/W44)</f>
        <v>0</v>
      </c>
      <c r="Z44" s="3">
        <v>0</v>
      </c>
      <c r="AA44" s="3">
        <v>0</v>
      </c>
      <c r="AB44" s="4">
        <f>IF(Z44=0,0,AA44/Z44)</f>
        <v>0</v>
      </c>
    </row>
    <row r="45" spans="1:28" x14ac:dyDescent="0.35">
      <c r="B45" t="s">
        <v>32</v>
      </c>
      <c r="C45" s="3">
        <f>H45+K45+E45</f>
        <v>50.670819553021161</v>
      </c>
      <c r="D45" s="3">
        <v>95.10852578518319</v>
      </c>
      <c r="E45" s="3">
        <v>48.304561523874007</v>
      </c>
      <c r="F45" s="4">
        <f>IF(D45=0,0,E45/D45)</f>
        <v>0.50788886827009672</v>
      </c>
      <c r="G45" s="3">
        <v>85.349300637888987</v>
      </c>
      <c r="H45" s="6">
        <v>2.3662580291471529</v>
      </c>
      <c r="I45" s="7">
        <f>IF(G45=0,0,H45/G45)</f>
        <v>2.7724398576931087E-2</v>
      </c>
      <c r="J45" s="3">
        <v>0</v>
      </c>
      <c r="K45" s="3">
        <v>0</v>
      </c>
      <c r="L45" s="4">
        <f>IF(J45=0,0,K45/J45)</f>
        <v>0</v>
      </c>
      <c r="M45" s="3">
        <v>0</v>
      </c>
      <c r="N45" s="3">
        <v>0</v>
      </c>
      <c r="O45" s="4">
        <f>IF(M45=0,0,N45/M45)</f>
        <v>0</v>
      </c>
      <c r="Q45" s="3">
        <v>1057.2543160614141</v>
      </c>
      <c r="R45" s="3">
        <v>536.96769805810709</v>
      </c>
      <c r="S45" s="4">
        <f>IF(Q45=0,0,R45/Q45)</f>
        <v>0.50788886827009705</v>
      </c>
      <c r="T45" s="3">
        <v>3542162.2225858839</v>
      </c>
      <c r="U45" s="3">
        <v>112894.7335799602</v>
      </c>
      <c r="V45" s="4">
        <f>IF(T45=0,0,U45/T45)</f>
        <v>3.1871700528030497E-2</v>
      </c>
      <c r="W45" s="3">
        <v>0</v>
      </c>
      <c r="X45" s="3">
        <v>0</v>
      </c>
      <c r="Y45" s="4">
        <f>IF(W45=0,0,X45/W45)</f>
        <v>0</v>
      </c>
      <c r="Z45" s="3">
        <v>0</v>
      </c>
      <c r="AA45" s="3">
        <v>0</v>
      </c>
      <c r="AB45" s="4">
        <f>IF(Z45=0,0,AA45/Z45)</f>
        <v>0</v>
      </c>
    </row>
    <row r="46" spans="1:28" x14ac:dyDescent="0.35">
      <c r="H4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2024-08-16T22:06:39Z</dcterms:created>
  <dcterms:modified xsi:type="dcterms:W3CDTF">2024-08-16T23:52:32Z</dcterms:modified>
</cp:coreProperties>
</file>