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3"/>
  <workbookPr/>
  <mc:AlternateContent xmlns:mc="http://schemas.openxmlformats.org/markup-compatibility/2006">
    <mc:Choice Requires="x15">
      <x15ac:absPath xmlns:x15ac="http://schemas.microsoft.com/office/spreadsheetml/2010/11/ac" url="https://uwnetid.sharepoint.com/sites/ihme_simulation_science_team/Shared Documents/Research/LSFF/04_Concept_Model_Development/"/>
    </mc:Choice>
  </mc:AlternateContent>
  <xr:revisionPtr revIDLastSave="0" documentId="8_{DF2AFBC8-FBF7-4A84-8B4F-DA796B09EEEB}" xr6:coauthVersionLast="47" xr6:coauthVersionMax="47" xr10:uidLastSave="{00000000-0000-0000-0000-000000000000}"/>
  <bookViews>
    <workbookView xWindow="-110" yWindow="-110" windowWidth="38620" windowHeight="21100" firstSheet="10" activeTab="3" xr2:uid="{00000000-000D-0000-FFFF-FFFF00000000}"/>
  </bookViews>
  <sheets>
    <sheet name="Country-Vehicle Progress" sheetId="1" r:id="rId1"/>
    <sheet name="Country-Vehicle Extraction" sheetId="6" r:id="rId2"/>
    <sheet name="Country-Vehicle-Fortif Progress" sheetId="4" r:id="rId3"/>
    <sheet name="Country-Vehicle-Fort Extraction" sheetId="9" r:id="rId4"/>
    <sheet name="Country Progress" sheetId="5" r:id="rId5"/>
    <sheet name="Country Extraction" sheetId="11" r:id="rId6"/>
    <sheet name="Vehicle Progress" sheetId="12" r:id="rId7"/>
    <sheet name="Vehicle Extraction" sheetId="13" r:id="rId8"/>
    <sheet name="Universal" sheetId="7" r:id="rId9"/>
    <sheet name="Scenario Definition Progress" sheetId="14" r:id="rId10"/>
    <sheet name="Scenario Definition Extraction" sheetId="15" r:id="rId11"/>
    <sheet name="Data Sources" sheetId="8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4" i="6" l="1"/>
  <c r="G6" i="14"/>
  <c r="C8" i="14"/>
  <c r="C7" i="14"/>
  <c r="C6" i="14"/>
  <c r="E8" i="14"/>
  <c r="D8" i="14"/>
  <c r="E7" i="14"/>
  <c r="D7" i="14"/>
  <c r="E6" i="14"/>
  <c r="D6" i="14"/>
  <c r="B8" i="14"/>
  <c r="B7" i="14"/>
  <c r="B6" i="14"/>
  <c r="G8" i="14"/>
  <c r="G7" i="14"/>
  <c r="F8" i="14"/>
  <c r="F7" i="14"/>
  <c r="F6" i="14"/>
  <c r="H7" i="4"/>
  <c r="L7" i="4"/>
  <c r="F9" i="1"/>
  <c r="J7" i="4"/>
  <c r="D4" i="12"/>
  <c r="C4" i="12"/>
  <c r="D3" i="12"/>
  <c r="C3" i="12"/>
  <c r="I7" i="4"/>
  <c r="I6" i="4"/>
  <c r="H6" i="4"/>
  <c r="E11" i="5"/>
  <c r="E10" i="5"/>
  <c r="E15" i="5"/>
  <c r="G15" i="5"/>
  <c r="G10" i="5"/>
  <c r="G5" i="5"/>
  <c r="G6" i="5"/>
  <c r="E6" i="5"/>
  <c r="E5" i="5"/>
  <c r="C15" i="5"/>
  <c r="C6" i="5"/>
  <c r="C5" i="5"/>
  <c r="B5" i="1"/>
  <c r="E9" i="1"/>
  <c r="E8" i="1"/>
  <c r="E7" i="1"/>
  <c r="E6" i="1"/>
  <c r="E5" i="1"/>
  <c r="C9" i="1"/>
  <c r="C8" i="1"/>
  <c r="C7" i="1"/>
  <c r="C6" i="1"/>
  <c r="C5" i="1"/>
  <c r="D9" i="1"/>
  <c r="D8" i="1"/>
  <c r="D7" i="1"/>
  <c r="D6" i="1"/>
  <c r="D5" i="1"/>
  <c r="B9" i="1"/>
  <c r="B8" i="1"/>
  <c r="B7" i="1"/>
  <c r="B6" i="1"/>
  <c r="F6" i="5"/>
  <c r="F5" i="5"/>
  <c r="D6" i="5"/>
  <c r="D5" i="5"/>
  <c r="B6" i="5"/>
  <c r="B5" i="5"/>
</calcChain>
</file>

<file path=xl/sharedStrings.xml><?xml version="1.0" encoding="utf-8"?>
<sst xmlns="http://schemas.openxmlformats.org/spreadsheetml/2006/main" count="1862" uniqueCount="210">
  <si>
    <t>Country</t>
  </si>
  <si>
    <t>Ethiopia</t>
  </si>
  <si>
    <t>Nigeria</t>
  </si>
  <si>
    <t>India</t>
  </si>
  <si>
    <t>Vehicle</t>
  </si>
  <si>
    <t>Salt</t>
  </si>
  <si>
    <t>Bouillon</t>
  </si>
  <si>
    <t>Rice</t>
  </si>
  <si>
    <t>Wealth</t>
  </si>
  <si>
    <t>Overall</t>
  </si>
  <si>
    <t>Quintile</t>
  </si>
  <si>
    <t>Data need</t>
  </si>
  <si>
    <t>Vehicle consumption by WRA -- any</t>
  </si>
  <si>
    <t>Microdata: HCES</t>
  </si>
  <si>
    <t>Vehicle consumption by WRA -- amount</t>
  </si>
  <si>
    <t>Vehicle consumption by U5 children -- any</t>
  </si>
  <si>
    <t>Vehicle consumption by U5 children -- amount</t>
  </si>
  <si>
    <t>Vehicle "fortifiability" (essentially amount industrially produced)</t>
  </si>
  <si>
    <t>Data point name</t>
  </si>
  <si>
    <t>Units</t>
  </si>
  <si>
    <t>Year</t>
  </si>
  <si>
    <t>Data source</t>
  </si>
  <si>
    <t>Value</t>
  </si>
  <si>
    <t>CI</t>
  </si>
  <si>
    <t>SE</t>
  </si>
  <si>
    <t>Notes</t>
  </si>
  <si>
    <t>All</t>
  </si>
  <si>
    <t>percentage</t>
  </si>
  <si>
    <t>%</t>
  </si>
  <si>
    <t>EPHI data sent by Andy Garcia</t>
  </si>
  <si>
    <t>Total population (?), not WRA specifically</t>
  </si>
  <si>
    <t>Lowest</t>
  </si>
  <si>
    <t>Not stratified by wealth quintile</t>
  </si>
  <si>
    <t>Second</t>
  </si>
  <si>
    <t>Middle</t>
  </si>
  <si>
    <t>Fourth</t>
  </si>
  <si>
    <t>Highest</t>
  </si>
  <si>
    <t>mean</t>
  </si>
  <si>
    <t>g/day</t>
  </si>
  <si>
    <t>2022 National Nutrition Survey; Total population (?), not WRA specifically</t>
  </si>
  <si>
    <t>standard deviation</t>
  </si>
  <si>
    <t>Survey in Addis Ababa</t>
  </si>
  <si>
    <t>https://www.ncbi.nlm.nih.gov/pmc/articles/PMC10195378/; among all adults</t>
  </si>
  <si>
    <t>Assumption</t>
  </si>
  <si>
    <t>Assumed same by quintile</t>
  </si>
  <si>
    <t>Total population (?), not U5 specifically</t>
  </si>
  <si>
    <t>2022 National Nutrition Survey; Total population (?), not U5 specifically</t>
  </si>
  <si>
    <t>"Almost all households in Ethiopia have access to iodized salt." ~ National Food and Nutrition Strategy Baseline Survey</t>
  </si>
  <si>
    <t>NFCMS</t>
  </si>
  <si>
    <t>[97.5,98.8]</t>
  </si>
  <si>
    <t>https://www.unicef.org/nigeria/media/9271/file/%20National%20Food%20Consumption%20and%20Micronutrient%20Survey%20(2021).pdf</t>
  </si>
  <si>
    <t>[94.2, 98.4]</t>
  </si>
  <si>
    <t>Table 169, page 220</t>
  </si>
  <si>
    <t>[96.8, 99.3]</t>
  </si>
  <si>
    <t>95% CI</t>
  </si>
  <si>
    <t>[98.5, 99.8]</t>
  </si>
  <si>
    <t>These numbers are for non-pregnant WRA, not all WRA</t>
  </si>
  <si>
    <t>[97.8, 99.4]</t>
  </si>
  <si>
    <t>[97.5, 99.7]</t>
  </si>
  <si>
    <t>[6.0, 6.6]</t>
  </si>
  <si>
    <t>Table 170, page 222</t>
  </si>
  <si>
    <t>[7.7, 9.0]</t>
  </si>
  <si>
    <t>[7.3, 8.7]</t>
  </si>
  <si>
    <t xml:space="preserve">Pregnant and non-pregnant WRA have been stratified in the NFCMS final report, these are the non-pregnant numbers  </t>
  </si>
  <si>
    <t>[5.3, 6.5]</t>
  </si>
  <si>
    <t>Also, these numbers are across all women, not just those who consume bouillon</t>
  </si>
  <si>
    <t>[4.3, 5.4]</t>
  </si>
  <si>
    <t>[4.1, 5.2]</t>
  </si>
  <si>
    <t>Very rough estimate using SD = IQR / 1.35 (normality assumption), IQR reported in table 170</t>
  </si>
  <si>
    <t>[98.3,99.2]</t>
  </si>
  <si>
    <t>Annex 43, page 549</t>
  </si>
  <si>
    <t>Children 6-59 months old (doesn't include U6months)</t>
  </si>
  <si>
    <t>Not stratified by wealth quintile for children; wealth stratification numbers are for WRA</t>
  </si>
  <si>
    <t>[4.0, 4.5]</t>
  </si>
  <si>
    <t>Table 171, page 223</t>
  </si>
  <si>
    <t>Table 169, page 220 'Percentage of Non-Pregnant Women Whose Households Consumed Bouillon (purchased, branded, and labelled as fortified) by Residence, Zone, and Wealth Quintile', using 'branded' as a proxy for fortifiable and % of households as a proxy for % of product. Values obtained by dividing percent consuming branded food by percent consuming food, which is why we don't have uncertainty. A similar thing is reported in Annex 43, page 549; 'How household obtained bouillon the last time it was obtained': 'purchased', and not by wealth quintile</t>
  </si>
  <si>
    <t>M4N Database</t>
  </si>
  <si>
    <t>"Industry consolidation" sent by Jonathan Gorstein in a spreadsheet on 7/19</t>
  </si>
  <si>
    <t>Fortificant</t>
  </si>
  <si>
    <t>Folate</t>
  </si>
  <si>
    <t>Iron</t>
  </si>
  <si>
    <t>Vehicle fortification at baseline -- any</t>
  </si>
  <si>
    <t>Zero</t>
  </si>
  <si>
    <t>Not modeled</t>
  </si>
  <si>
    <t>Vehicle fortification at baseline -- amount among fortified</t>
  </si>
  <si>
    <t>N/A</t>
  </si>
  <si>
    <t>concentration</t>
  </si>
  <si>
    <t>mcg/g</t>
  </si>
  <si>
    <t>Assumption: labeled as fortified = fortified (basically true for salt). Divided "consumed food labeled as fortified" by "consumed food".</t>
  </si>
  <si>
    <t>Maggi cubes (most popular brand and format) have 15% NRV per serving (https://www.nestle-cwa.com/en/ask-nestle/products-brands/what-is-in-the-maggi-cube)</t>
  </si>
  <si>
    <t>Assumed no disparity</t>
  </si>
  <si>
    <t>There is some information on fraction labeled as fortified in NFCMS Table 169, but it Figure 71 shows that 95% of WRA have RBC folate insufficiency. Also: '61 percent of the non-pregnant women from households consumed bouillons that are labelled as fortified with iodine and/or iron.' There is some evidence that the rich have more bouillon labeled as fortified (Table 169).</t>
  </si>
  <si>
    <t xml:space="preserve">slide deck JG shared to ADF, credited to 
Helena.Pachon@emory.edu
</t>
  </si>
  <si>
    <t>Originally in mg/100g; https://www.wolframalpha.com/input?i=4.25+mg+per+100+grams+in+micrograms+per+gram</t>
  </si>
  <si>
    <t>assumed same by quintile?</t>
  </si>
  <si>
    <t>Originally in mcg/100g; https://www.wolframalpha.com/input?i=4.25+mg+per+100+grams+in+micrograms+per+gram</t>
  </si>
  <si>
    <t>Pregnant people hemoglobin levels at baseline</t>
  </si>
  <si>
    <t>GBD</t>
  </si>
  <si>
    <t>DHS 2018</t>
  </si>
  <si>
    <t>DHS 2016</t>
  </si>
  <si>
    <t>Serum/plasma folate levels at baseline</t>
  </si>
  <si>
    <t>RBC folate levels at baseline</t>
  </si>
  <si>
    <t>LBWSG prevalence</t>
  </si>
  <si>
    <t>CGF prevalence</t>
  </si>
  <si>
    <t>Measles prevalence</t>
  </si>
  <si>
    <t>We have microdata on whether child has received Measles 1 vaccination.</t>
  </si>
  <si>
    <t>LRI prevalence</t>
  </si>
  <si>
    <t>We have microdata on whether child has had cough in the last two weeks, or ARI prevalence in DHS final reports.</t>
  </si>
  <si>
    <t>Malaria prevalence</t>
  </si>
  <si>
    <t>For India, we might have to use the DHS microdata for whether child has had fever in the last two weeks as a proxy for malaria.</t>
  </si>
  <si>
    <t>U5 hemoglobin levels at baseline</t>
  </si>
  <si>
    <t>Maternal disorders incidence</t>
  </si>
  <si>
    <t>Using DHS' maternal mortality ratio as a proxy for maternal disorders</t>
  </si>
  <si>
    <t>Maternal hemorrhage incidence</t>
  </si>
  <si>
    <t>Using DHS' maternal mortality ratio as a proxy for maternal hemorrhage</t>
  </si>
  <si>
    <t>Neural tube defect deaths</t>
  </si>
  <si>
    <t xml:space="preserve">Serum folate levels at baseline </t>
  </si>
  <si>
    <t>?</t>
  </si>
  <si>
    <r>
      <t>potential data gap!</t>
    </r>
    <r>
      <rPr>
        <sz val="12"/>
        <rFont val="Aptos"/>
        <charset val="1"/>
      </rPr>
      <t>  </t>
    </r>
  </si>
  <si>
    <t>Back-calculate from GBD NTDs? (and DHS NTDs for wealth quintiles?)</t>
  </si>
  <si>
    <t xml:space="preserve">Nigeria </t>
  </si>
  <si>
    <t>Red blood cell folate levels at baseline -- Also called “whole blood lysate”? </t>
  </si>
  <si>
    <t>nmol/L?</t>
  </si>
  <si>
    <r>
      <t>potential data gap!</t>
    </r>
    <r>
      <rPr>
        <sz val="12"/>
        <rFont val="Aptos"/>
        <charset val="1"/>
      </rPr>
      <t> </t>
    </r>
  </si>
  <si>
    <t>Pregnancies longer than 7 months </t>
  </si>
  <si>
    <t>Most recent DHS for Ethiopia</t>
  </si>
  <si>
    <t>Ethiopia DHS survey report Table 8.4 </t>
  </si>
  <si>
    <t>Most recent DHS for Nigeria</t>
  </si>
  <si>
    <t xml:space="preserve">Nigeria DHS survey report -  Table 8.4 </t>
  </si>
  <si>
    <t xml:space="preserve">Nigeria DHS survey report -  Table 8.4 </t>
  </si>
  <si>
    <t>Most recent DHS for India </t>
  </si>
  <si>
    <t xml:space="preserve">Neural Tube Defect deaths </t>
  </si>
  <si>
    <t xml:space="preserve">From RBC folate levels? Or from differential folate intake? Or assume none, since they are all pretty similar in Nigeria NFCMS. </t>
  </si>
  <si>
    <t> </t>
  </si>
  <si>
    <t xml:space="preserve">NTD stillbirth to death ratio </t>
  </si>
  <si>
    <t>Ratio</t>
  </si>
  <si>
    <t>From CHAMPS? </t>
  </si>
  <si>
    <t>There is also some data on stillbirth-to-livebirth ratio among NTDs in the literature, see Blencowe et al 2018.</t>
  </si>
  <si>
    <t>Assumed no variation between quintiles</t>
  </si>
  <si>
    <t>Iron fortification/consumption effect on hemoglobin</t>
  </si>
  <si>
    <t>Iron fortification/consumption effect on birthweight</t>
  </si>
  <si>
    <t>Mean difference</t>
  </si>
  <si>
    <t>g/L</t>
  </si>
  <si>
    <t>Unpublished</t>
  </si>
  <si>
    <t>Dorbu et al. Nutritional anemia reductions due to food fortification among women of childbearing age: a systematic review and Bayesian meta-analysis. Unpublished data.</t>
  </si>
  <si>
    <t>0.9-5.71</t>
  </si>
  <si>
    <t>"This comes from a slide deck that Jonathan send to Abie.  It is credited to  Helena.Pachon@emory.edu".
There are also https://doi.org/10.1080/09637486.2020.1855126 and https://iris.who.int/bitstream/handle/10665/272535/9789241550291-eng.pdf?ua=1 which report similar-ish numbers but this is the one we got from Gates.</t>
  </si>
  <si>
    <t>Can Double Fortification of Salt with Iron and Iodine Reduce Anemia, Iron Deficiency Anemia, Iron Deficiency, Iodine Deficiency, and Functional Outcomes? Evidence of Efficacy, Effectiveness, and Safety</t>
  </si>
  <si>
    <t>2.3-6.4</t>
  </si>
  <si>
    <t>https://www.ncbi.nlm.nih.gov/pmc/articles/PMC7882357/; meta-analysis of 22 studies</t>
  </si>
  <si>
    <t>Effect of iron-fortified foods on hematologic and biological outcomes: systematic review of randomized controlled trials</t>
  </si>
  <si>
    <t>2.8-5.6</t>
  </si>
  <si>
    <t>https://www.sciencedirect.com/science/article/pii/S0002916523028915; could not find anything bouillon-specific</t>
  </si>
  <si>
    <t>g/(mg/person-day)</t>
  </si>
  <si>
    <t>Anaemia, prenatal iron use, and risk of adverse pregnancy outcomes: systematic review and meta-analysis</t>
  </si>
  <si>
    <t>7.29 to 26.11</t>
  </si>
  <si>
    <t>https://www.bmj.com/content/346/bmj.f3443; study of supplementation at higher doses than fortification; selected the effect among trials &lt;66mg/day as all fortification would fall in this range</t>
  </si>
  <si>
    <t>Folate fortification/consumption effect on serum/plasma folate</t>
  </si>
  <si>
    <t xml:space="preserve">    Rice</t>
  </si>
  <si>
    <t>Risk Difference</t>
  </si>
  <si>
    <t>nmol/L</t>
  </si>
  <si>
    <t>WHO 2018 systematic review</t>
  </si>
  <si>
    <t>2.00-6.60</t>
  </si>
  <si>
    <t>https://iris.who.int/bitstream/handle/10665/272535/9789241550291-eng.pdf?ua=1 found a single study</t>
  </si>
  <si>
    <t>Folate fortification/consumption effect on RBC folate</t>
  </si>
  <si>
    <t>Relative Risk (linear dose-response)</t>
  </si>
  <si>
    <t>percent RBC increase per 10% increase in folate intake</t>
  </si>
  <si>
    <t>Marchetta et al, 2015</t>
  </si>
  <si>
    <t>4-9</t>
  </si>
  <si>
    <t>Serum/plasma folate effect on RBC folate</t>
  </si>
  <si>
    <t>RBC folate effect on NTD incidence</t>
  </si>
  <si>
    <t>non-linear relationship</t>
  </si>
  <si>
    <t>(Daly et al, 1995)</t>
  </si>
  <si>
    <t xml:space="preserve">ln (odds of NTD risk) = 1.6563 − 1.2193 × ln (RBC) </t>
  </si>
  <si>
    <t>(Crider et al, 2014)</t>
  </si>
  <si>
    <t>ln (odds of NTD risk) = 4.57 − 1.70 × ln (RBC)</t>
  </si>
  <si>
    <t>NTD stillbirth-to-death ratio</t>
  </si>
  <si>
    <t>NTD Stillbirths paper in Lancet Global Health based on CHAMPS MITS data</t>
  </si>
  <si>
    <t>51/18</t>
  </si>
  <si>
    <t>There might be more data available since this paper was published</t>
  </si>
  <si>
    <t>Scenario</t>
  </si>
  <si>
    <t>Intervention - 25% NRV</t>
  </si>
  <si>
    <t>Intervention - 100% NRV</t>
  </si>
  <si>
    <t>Intervention</t>
  </si>
  <si>
    <t>Vehicle fortification in intervention -- amount among fortified</t>
  </si>
  <si>
    <t>Intervention coverage % of fortifiable and unfortified</t>
  </si>
  <si>
    <t>Intervention effective % of newly fortified</t>
  </si>
  <si>
    <t>Andy Garcia email 7/26</t>
  </si>
  <si>
    <t>Same across all vehicles/countries/fortificants</t>
  </si>
  <si>
    <t>15% Codex (2100mcg) per 2.5 grams; I think the 2.5 grams might be in error</t>
  </si>
  <si>
    <t>15% Codex (60mcg) per 2.5 grams; I think the 2.5 grams might be in error</t>
  </si>
  <si>
    <t>25% Codex (100mcg) per 7.1 grams</t>
  </si>
  <si>
    <t>100% Codex (400mcg) per 7.1 grams</t>
  </si>
  <si>
    <t>FSSAI</t>
  </si>
  <si>
    <t>Same as baseline, PDS rice; see county-vehicle-fort extraction</t>
  </si>
  <si>
    <t>Name</t>
  </si>
  <si>
    <t>Full Title</t>
  </si>
  <si>
    <t>Link</t>
  </si>
  <si>
    <t>Authors</t>
  </si>
  <si>
    <t>In Sharepoint?</t>
  </si>
  <si>
    <t>National Food Consumption
and Micronutrient Survey
2021</t>
  </si>
  <si>
    <t>UNICEF</t>
  </si>
  <si>
    <t>HCES</t>
  </si>
  <si>
    <t>Household Consumption Expenditure Survey</t>
  </si>
  <si>
    <t>DHS</t>
  </si>
  <si>
    <t>Demographic and Health Surveys</t>
  </si>
  <si>
    <t>https://www.dhsprogram.com/pubs/pdf/DHSG4/Recode7_DHS_10Sep2018_DHSG4.pdf</t>
  </si>
  <si>
    <t>USAID</t>
  </si>
  <si>
    <t>2016; 2018</t>
  </si>
  <si>
    <t>J 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</si>
</sst>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i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444444"/>
      <name val="Aptos Narrow"/>
      <charset val="1"/>
    </font>
    <font>
      <sz val="11"/>
      <color rgb="FF000000"/>
      <name val="Aptos"/>
      <charset val="1"/>
    </font>
    <font>
      <sz val="12"/>
      <name val="Aptos"/>
      <charset val="1"/>
    </font>
    <font>
      <b/>
      <sz val="12"/>
      <name val="Aptos"/>
      <charset val="1"/>
    </font>
    <font>
      <sz val="11"/>
      <name val="Aptos"/>
      <charset val="1"/>
    </font>
    <font>
      <sz val="11"/>
      <color rgb="FF000000"/>
      <name val="Aptos Narrow"/>
      <charset val="1"/>
    </font>
    <font>
      <sz val="11"/>
      <color rgb="FF000000"/>
      <name val="Aptos Narrow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u/>
      <sz val="11"/>
      <color theme="10"/>
      <name val="Aptos Narrow"/>
      <scheme val="minor"/>
    </font>
    <font>
      <i/>
      <sz val="11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wrapText="1"/>
    </xf>
    <xf numFmtId="0" fontId="5" fillId="0" borderId="0" xfId="1"/>
    <xf numFmtId="9" fontId="0" fillId="0" borderId="0" xfId="0" applyNumberFormat="1"/>
    <xf numFmtId="0" fontId="6" fillId="0" borderId="0" xfId="0" applyFont="1"/>
    <xf numFmtId="0" fontId="7" fillId="0" borderId="0" xfId="0" applyFont="1"/>
    <xf numFmtId="2" fontId="0" fillId="0" borderId="0" xfId="0" applyNumberFormat="1"/>
    <xf numFmtId="0" fontId="9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5" fillId="0" borderId="0" xfId="1" applyAlignment="1">
      <alignment wrapText="1"/>
    </xf>
    <xf numFmtId="0" fontId="11" fillId="0" borderId="0" xfId="0" applyFont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4" fillId="0" borderId="0" xfId="1" applyFont="1"/>
    <xf numFmtId="9" fontId="0" fillId="0" borderId="0" xfId="0" applyNumberFormat="1" applyAlignment="1">
      <alignment wrapText="1"/>
    </xf>
    <xf numFmtId="10" fontId="0" fillId="0" borderId="0" xfId="0" applyNumberFormat="1"/>
    <xf numFmtId="0" fontId="13" fillId="0" borderId="0" xfId="0" applyFont="1"/>
    <xf numFmtId="0" fontId="14" fillId="0" borderId="0" xfId="0" applyFont="1"/>
    <xf numFmtId="0" fontId="15" fillId="0" borderId="0" xfId="1" applyFont="1"/>
    <xf numFmtId="0" fontId="12" fillId="2" borderId="0" xfId="0" applyFont="1" applyFill="1"/>
    <xf numFmtId="0" fontId="12" fillId="0" borderId="0" xfId="0" applyFont="1"/>
    <xf numFmtId="49" fontId="12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16" fillId="0" borderId="0" xfId="0" applyFont="1"/>
    <xf numFmtId="0" fontId="1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</cellXfs>
  <cellStyles count="2">
    <cellStyle name="Hyperlink" xfId="1" builtinId="8"/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cbi.nlm.nih.gov/pmc/articles/PMC10195378/;%20among%20all%20adults" TargetMode="External"/><Relationship Id="rId2" Type="http://schemas.openxmlformats.org/officeDocument/2006/relationships/hyperlink" Target="https://www.ncbi.nlm.nih.gov/pmc/articles/PMC10195378/;%20among%20all%20adults" TargetMode="External"/><Relationship Id="rId1" Type="http://schemas.openxmlformats.org/officeDocument/2006/relationships/hyperlink" Target="https://www.unicef.org/nigeria/media/9271/file/%20National%20Food%20Consumption%20and%20Micronutrient%20Survey%20(2021).pdf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pubmed.ncbi.nlm.nih.gov/29363759/" TargetMode="External"/><Relationship Id="rId3" Type="http://schemas.openxmlformats.org/officeDocument/2006/relationships/hyperlink" Target="file:///J:\DATA\DHS_PROG_DHS\ETH\2016\ETH_DHS7_2016_REP_QUEST_Y2017M08D15.PDF" TargetMode="External"/><Relationship Id="rId7" Type="http://schemas.openxmlformats.org/officeDocument/2006/relationships/hyperlink" Target="file:///J:\DATA\DHS_PROG_DHS\ETH\2016\ETH_DHS7_2016_REP_QUEST_Y2017M08D15.PDF" TargetMode="External"/><Relationship Id="rId2" Type="http://schemas.openxmlformats.org/officeDocument/2006/relationships/hyperlink" Target="file:///J:\DATA\DHS_PROG_DHS\NGA\2018\NGA_DHS7_2018_REP_QUEST_Y2019M11D05.PDF" TargetMode="External"/><Relationship Id="rId1" Type="http://schemas.openxmlformats.org/officeDocument/2006/relationships/hyperlink" Target="file:///J:\DATA\DHS_PROG_DHS\NGA\2018\NGA_DHS7_2018_REP_QUEST_Y2019M11D05.PDF" TargetMode="External"/><Relationship Id="rId6" Type="http://schemas.openxmlformats.org/officeDocument/2006/relationships/hyperlink" Target="file:///J:\DATA\DHS_PROG_DHS\ETH\2016\ETH_DHS7_2016_REP_QUEST_Y2017M08D15.PDF" TargetMode="External"/><Relationship Id="rId5" Type="http://schemas.openxmlformats.org/officeDocument/2006/relationships/hyperlink" Target="file:///J:\DATA\DHS_PROG_DHS\ETH\2016\ETH_DHS7_2016_REP_QUEST_Y2017M08D15.PDF" TargetMode="External"/><Relationship Id="rId4" Type="http://schemas.openxmlformats.org/officeDocument/2006/relationships/hyperlink" Target="file:///J:\DATA\DHS_PROG_DHS\ETH\2016\ETH_DHS7_2016_REP_QUEST_Y2017M08D15.PDF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ciencedirect.com/science/article/pii/S0002916523028915;%20could%20not%20find%20anything%20bouillon-specific" TargetMode="External"/><Relationship Id="rId2" Type="http://schemas.openxmlformats.org/officeDocument/2006/relationships/hyperlink" Target="https://www.bmj.com/content/346/bmj.f3443;%20study%20of%20supplementation%20at%20higher%20doses%20than%20fortification;%20selected%20the%20effect%20among%20trials%20%3c66mg/day%20as%20all%20fortification%20would%20fall%20in%20this%20range" TargetMode="External"/><Relationship Id="rId1" Type="http://schemas.openxmlformats.org/officeDocument/2006/relationships/hyperlink" Target="https://www.ncbi.nlm.nih.gov/pmc/articles/PMC7882357/;%20meta-analysis%20of%2022%20studies" TargetMode="External"/><Relationship Id="rId4" Type="http://schemas.openxmlformats.org/officeDocument/2006/relationships/hyperlink" Target="https://www.bmj.com/content/346/bmj.f3443;%20study%20of%20supplementation%20at%20higher%20doses%20than%20fortification;%20selected%20the%20effect%20among%20trials%20%3c66mg/day%20as%20all%20fortification%20would%20fall%20in%20this%20range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iris.who.int/bitstream/handle/10665/272535/9789241550291-eng.pdf?ua=1%20found%20a%20single%20study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dhsprogram.com/pubs/pdf/DHSG4/Recode7_DHS_10Sep2018_DHSG4.pdf" TargetMode="External"/><Relationship Id="rId1" Type="http://schemas.openxmlformats.org/officeDocument/2006/relationships/hyperlink" Target="https://www.unicef.org/nigeria/media/9271/file/%20National%20Food%20Consumption%20and%20Micronutrient%20Survey%20(2021)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workbookViewId="0">
      <selection activeCell="F13" sqref="F13"/>
    </sheetView>
  </sheetViews>
  <sheetFormatPr defaultRowHeight="15"/>
  <cols>
    <col min="1" max="1" width="58.28515625" bestFit="1" customWidth="1"/>
    <col min="2" max="2" width="12.42578125" bestFit="1" customWidth="1"/>
    <col min="3" max="3" width="15.5703125" bestFit="1" customWidth="1"/>
    <col min="4" max="4" width="9.7109375" bestFit="1" customWidth="1"/>
    <col min="6" max="7" width="15.85546875" bestFit="1" customWidth="1"/>
  </cols>
  <sheetData>
    <row r="1" spans="1:7">
      <c r="A1" s="3" t="s">
        <v>0</v>
      </c>
      <c r="B1" s="32" t="s">
        <v>1</v>
      </c>
      <c r="C1" s="32"/>
      <c r="D1" s="32" t="s">
        <v>2</v>
      </c>
      <c r="E1" s="32"/>
      <c r="F1" s="32" t="s">
        <v>3</v>
      </c>
      <c r="G1" s="32"/>
    </row>
    <row r="2" spans="1:7">
      <c r="A2" s="3" t="s">
        <v>4</v>
      </c>
      <c r="B2" s="32" t="s">
        <v>5</v>
      </c>
      <c r="C2" s="32"/>
      <c r="D2" s="32" t="s">
        <v>6</v>
      </c>
      <c r="E2" s="32"/>
      <c r="F2" s="32" t="s">
        <v>7</v>
      </c>
      <c r="G2" s="32"/>
    </row>
    <row r="3" spans="1:7">
      <c r="A3" s="3" t="s">
        <v>8</v>
      </c>
      <c r="B3" s="2" t="s">
        <v>9</v>
      </c>
      <c r="C3" s="1" t="s">
        <v>10</v>
      </c>
      <c r="D3" s="2" t="s">
        <v>9</v>
      </c>
      <c r="E3" s="1" t="s">
        <v>10</v>
      </c>
      <c r="F3" s="2" t="s">
        <v>9</v>
      </c>
      <c r="G3" s="1" t="s">
        <v>10</v>
      </c>
    </row>
    <row r="4" spans="1:7">
      <c r="A4" s="1" t="s">
        <v>11</v>
      </c>
      <c r="B4" s="1"/>
      <c r="C4" s="1"/>
      <c r="D4" s="1"/>
      <c r="E4" s="1"/>
    </row>
    <row r="5" spans="1:7">
      <c r="A5" t="s">
        <v>12</v>
      </c>
      <c r="B5" t="str">
        <f>IF(COUNTIFS('Country-Vehicle Extraction'!$A$2:$A$1024, B$1,  'Country-Vehicle Extraction'!$B$2:$B$1024, B$2,  'Country-Vehicle Extraction'!$C$2:$C$1024, "All",  'Country-Vehicle Extraction'!$D$2:$D$1024, $A5, 'Country-Vehicle Extraction'!$I$2:$I$1024, "&lt;&gt;") = 0, "Missing", "Complete")</f>
        <v>Complete</v>
      </c>
      <c r="C5" t="str">
        <f>IF(COUNTIFS('Country-Vehicle Extraction'!$A$2:$A$1024, B$1,  'Country-Vehicle Extraction'!$B$2:$B$1024, B$2,  'Country-Vehicle Extraction'!$C$2:$C$1024, "&lt;&gt;All",  'Country-Vehicle Extraction'!D$2:D$1024, $A5, 'Country-Vehicle Extraction'!$I$2:$I$1024, "&lt;&gt;") = 0, "Missing", "Complete")</f>
        <v>Complete</v>
      </c>
      <c r="D5" t="str">
        <f>IF(COUNTIFS('Country-Vehicle Extraction'!$A$2:$A$1024, D$1,  'Country-Vehicle Extraction'!$B$2:$B$1024, D$2,  'Country-Vehicle Extraction'!$C$2:$C$1024, "All",  'Country-Vehicle Extraction'!$D$2:$D$1024, $A5, 'Country-Vehicle Extraction'!$I$2:$I$1024, "&lt;&gt;") = 0, "Missing", "Complete")</f>
        <v>Complete</v>
      </c>
      <c r="E5" t="str">
        <f>IF(COUNTIFS('Country-Vehicle Extraction'!$A$2:$A$1024, D$1,  'Country-Vehicle Extraction'!$B$2:$B$1024, D$2,  'Country-Vehicle Extraction'!$C$2:$C$1024, "&lt;&gt;All",  'Country-Vehicle Extraction'!$D$2:$D$1024, $A5, 'Country-Vehicle Extraction'!$I$2:$I$1024, "&lt;&gt;") = 0, "Missing", "Complete")</f>
        <v>Complete</v>
      </c>
      <c r="F5" t="s">
        <v>13</v>
      </c>
      <c r="G5" t="s">
        <v>13</v>
      </c>
    </row>
    <row r="6" spans="1:7">
      <c r="A6" t="s">
        <v>14</v>
      </c>
      <c r="B6" t="str">
        <f>IF(COUNTIFS('Country-Vehicle Extraction'!$A$2:$A$1024, B$1,  'Country-Vehicle Extraction'!$B$2:$B$1024, B$2,  'Country-Vehicle Extraction'!$C$2:$C$1024, "All",  'Country-Vehicle Extraction'!$D$2:$D$1024, $A6, 'Country-Vehicle Extraction'!$I$2:$I$1024, "&lt;&gt;") = 0, "Missing", "Complete")</f>
        <v>Complete</v>
      </c>
      <c r="C6" t="str">
        <f>IF(COUNTIFS('Country-Vehicle Extraction'!$A$2:$A$1024, B$1,  'Country-Vehicle Extraction'!$B$2:$B$1024, B$2,  'Country-Vehicle Extraction'!$C$2:$C$1024, "&lt;&gt;All",  'Country-Vehicle Extraction'!D$2:D$1024, $A6, 'Country-Vehicle Extraction'!$I$2:$I$1024, "&lt;&gt;") = 0, "Missing", "Complete")</f>
        <v>Complete</v>
      </c>
      <c r="D6" t="str">
        <f>IF(COUNTIFS('Country-Vehicle Extraction'!$A$2:$A$1024, D$1,  'Country-Vehicle Extraction'!$B$2:$B$1024, D$2,  'Country-Vehicle Extraction'!$C$2:$C$1024, "All",  'Country-Vehicle Extraction'!$D$2:$D$1024, $A6, 'Country-Vehicle Extraction'!$I$2:$I$1024, "&lt;&gt;") = 0, "Missing", "Complete")</f>
        <v>Complete</v>
      </c>
      <c r="E6" t="str">
        <f>IF(COUNTIFS('Country-Vehicle Extraction'!$A$2:$A$1024, D$1,  'Country-Vehicle Extraction'!$B$2:$B$1024, D$2,  'Country-Vehicle Extraction'!$C$2:$C$1024, "&lt;&gt;All",  'Country-Vehicle Extraction'!$D$2:$D$1024, $A6, 'Country-Vehicle Extraction'!$I$2:$I$1024, "&lt;&gt;") = 0, "Missing", "Complete")</f>
        <v>Complete</v>
      </c>
      <c r="F6" t="s">
        <v>13</v>
      </c>
      <c r="G6" t="s">
        <v>13</v>
      </c>
    </row>
    <row r="7" spans="1:7">
      <c r="A7" t="s">
        <v>15</v>
      </c>
      <c r="B7" t="str">
        <f>IF(COUNTIFS('Country-Vehicle Extraction'!$A$2:$A$1024, B$1,  'Country-Vehicle Extraction'!$B$2:$B$1024, B$2,  'Country-Vehicle Extraction'!$C$2:$C$1024, "All",  'Country-Vehicle Extraction'!$D$2:$D$1024, $A7, 'Country-Vehicle Extraction'!$I$2:$I$1024, "&lt;&gt;") = 0, "Missing", "Complete")</f>
        <v>Complete</v>
      </c>
      <c r="C7" t="str">
        <f>IF(COUNTIFS('Country-Vehicle Extraction'!$A$2:$A$1024, B$1,  'Country-Vehicle Extraction'!$B$2:$B$1024, B$2,  'Country-Vehicle Extraction'!$C$2:$C$1024, "&lt;&gt;All",  'Country-Vehicle Extraction'!D$2:D$1024, $A7, 'Country-Vehicle Extraction'!$I$2:$I$1024, "&lt;&gt;") = 0, "Missing", "Complete")</f>
        <v>Complete</v>
      </c>
      <c r="D7" t="str">
        <f>IF(COUNTIFS('Country-Vehicle Extraction'!$A$2:$A$1024, D$1,  'Country-Vehicle Extraction'!$B$2:$B$1024, D$2,  'Country-Vehicle Extraction'!$C$2:$C$1024, "All",  'Country-Vehicle Extraction'!$D$2:$D$1024, $A7, 'Country-Vehicle Extraction'!$I$2:$I$1024, "&lt;&gt;") = 0, "Missing", "Complete")</f>
        <v>Complete</v>
      </c>
      <c r="E7" t="str">
        <f>IF(COUNTIFS('Country-Vehicle Extraction'!$A$2:$A$1024, D$1,  'Country-Vehicle Extraction'!$B$2:$B$1024, D$2,  'Country-Vehicle Extraction'!$C$2:$C$1024, "&lt;&gt;All",  'Country-Vehicle Extraction'!$D$2:$D$1024, $A7, 'Country-Vehicle Extraction'!$I$2:$I$1024, "&lt;&gt;") = 0, "Missing", "Complete")</f>
        <v>Complete</v>
      </c>
      <c r="F7" t="s">
        <v>13</v>
      </c>
      <c r="G7" t="s">
        <v>13</v>
      </c>
    </row>
    <row r="8" spans="1:7">
      <c r="A8" t="s">
        <v>16</v>
      </c>
      <c r="B8" t="str">
        <f>IF(COUNTIFS('Country-Vehicle Extraction'!$A$2:$A$1024, B$1,  'Country-Vehicle Extraction'!$B$2:$B$1024, B$2,  'Country-Vehicle Extraction'!$C$2:$C$1024, "All",  'Country-Vehicle Extraction'!$D$2:$D$1024, $A8, 'Country-Vehicle Extraction'!$I$2:$I$1024, "&lt;&gt;") = 0, "Missing", "Complete")</f>
        <v>Complete</v>
      </c>
      <c r="C8" t="str">
        <f>IF(COUNTIFS('Country-Vehicle Extraction'!$A$2:$A$1024, B$1,  'Country-Vehicle Extraction'!$B$2:$B$1024, B$2,  'Country-Vehicle Extraction'!$C$2:$C$1024, "&lt;&gt;All",  'Country-Vehicle Extraction'!D$2:D$1024, $A8, 'Country-Vehicle Extraction'!$I$2:$I$1024, "&lt;&gt;") = 0, "Missing", "Complete")</f>
        <v>Complete</v>
      </c>
      <c r="D8" t="str">
        <f>IF(COUNTIFS('Country-Vehicle Extraction'!$A$2:$A$1024, D$1,  'Country-Vehicle Extraction'!$B$2:$B$1024, D$2,  'Country-Vehicle Extraction'!$C$2:$C$1024, "All",  'Country-Vehicle Extraction'!$D$2:$D$1024, $A8, 'Country-Vehicle Extraction'!$I$2:$I$1024, "&lt;&gt;") = 0, "Missing", "Complete")</f>
        <v>Complete</v>
      </c>
      <c r="E8" t="str">
        <f>IF(COUNTIFS('Country-Vehicle Extraction'!$A$2:$A$1024, D$1,  'Country-Vehicle Extraction'!$B$2:$B$1024, D$2,  'Country-Vehicle Extraction'!$C$2:$C$1024, "&lt;&gt;All",  'Country-Vehicle Extraction'!$D$2:$D$1024, $A8, 'Country-Vehicle Extraction'!$I$2:$I$1024, "&lt;&gt;") = 0, "Missing", "Complete")</f>
        <v>Complete</v>
      </c>
      <c r="F8" t="s">
        <v>13</v>
      </c>
      <c r="G8" t="s">
        <v>13</v>
      </c>
    </row>
    <row r="9" spans="1:7">
      <c r="A9" t="s">
        <v>17</v>
      </c>
      <c r="B9" t="str">
        <f>IF(COUNTIFS('Country-Vehicle Extraction'!$A$2:$A$1024, B$1,  'Country-Vehicle Extraction'!$B$2:$B$1024, B$2,  'Country-Vehicle Extraction'!$C$2:$C$1024, "All",  'Country-Vehicle Extraction'!$D$2:$D$1024, $A9, 'Country-Vehicle Extraction'!$I$2:$I$1024, "&lt;&gt;") = 0, "Missing", "Complete")</f>
        <v>Complete</v>
      </c>
      <c r="C9" t="str">
        <f>IF(COUNTIFS('Country-Vehicle Extraction'!$A$2:$A$1024, B$1,  'Country-Vehicle Extraction'!$B$2:$B$1024, B$2,  'Country-Vehicle Extraction'!$C$2:$C$1024, "&lt;&gt;All",  'Country-Vehicle Extraction'!D$2:D$1024, $A9, 'Country-Vehicle Extraction'!$I$2:$I$1024, "&lt;&gt;") = 0, "Missing", "Complete")</f>
        <v>Complete</v>
      </c>
      <c r="D9" t="str">
        <f>IF(COUNTIFS('Country-Vehicle Extraction'!$A$2:$A$1024, D$1,  'Country-Vehicle Extraction'!$B$2:$B$1024, D$2,  'Country-Vehicle Extraction'!$C$2:$C$1024, "All",  'Country-Vehicle Extraction'!$D$2:$D$1024, $A9, 'Country-Vehicle Extraction'!$I$2:$I$1024, "&lt;&gt;") = 0, "Missing", "Complete")</f>
        <v>Complete</v>
      </c>
      <c r="E9" t="str">
        <f>IF(COUNTIFS('Country-Vehicle Extraction'!$A$2:$A$1024, D$1,  'Country-Vehicle Extraction'!$B$2:$B$1024, D$2,  'Country-Vehicle Extraction'!$C$2:$C$1024, "&lt;&gt;All",  'Country-Vehicle Extraction'!$D$2:$D$1024, $A9, 'Country-Vehicle Extraction'!$I$2:$I$1024, "&lt;&gt;") = 0, "Missing", "Complete")</f>
        <v>Complete</v>
      </c>
      <c r="F9" t="str">
        <f>IF(COUNTIFS('Country-Vehicle Extraction'!$A$2:$A$1024, F$1,  'Country-Vehicle Extraction'!$B$2:$B$1024, F$2,  'Country-Vehicle Extraction'!$C$2:$C$1024, "All",  'Country-Vehicle Extraction'!$D$2:$D$1024, $A9, 'Country-Vehicle Extraction'!$I$2:$I$1024, "&lt;&gt;") = 0, "Missing", "Complete")</f>
        <v>Complete</v>
      </c>
      <c r="G9" t="s">
        <v>13</v>
      </c>
    </row>
  </sheetData>
  <mergeCells count="6">
    <mergeCell ref="B1:C1"/>
    <mergeCell ref="B2:C2"/>
    <mergeCell ref="D1:E1"/>
    <mergeCell ref="D2:E2"/>
    <mergeCell ref="F1:G1"/>
    <mergeCell ref="F2:G2"/>
  </mergeCells>
  <conditionalFormatting sqref="B5:G9">
    <cfRule type="cellIs" dxfId="12" priority="1" operator="equal">
      <formula>"Missing"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501F0-08E1-4A63-A382-F6741C91E79A}">
  <dimension ref="A1:L86"/>
  <sheetViews>
    <sheetView workbookViewId="0">
      <pane ySplit="1" topLeftCell="A54" activePane="bottomLeft" state="frozen"/>
      <selection pane="bottomLeft" activeCell="J75" sqref="J75"/>
    </sheetView>
  </sheetViews>
  <sheetFormatPr defaultRowHeight="15"/>
  <cols>
    <col min="1" max="1" width="8" bestFit="1" customWidth="1"/>
    <col min="4" max="4" width="60.140625" bestFit="1" customWidth="1"/>
    <col min="5" max="5" width="19" customWidth="1"/>
    <col min="8" max="8" width="11.85546875" bestFit="1" customWidth="1"/>
    <col min="10" max="11" width="10.140625" customWidth="1"/>
    <col min="12" max="12" width="50.42578125" customWidth="1"/>
  </cols>
  <sheetData>
    <row r="1" spans="1:12">
      <c r="A1" s="1" t="s">
        <v>0</v>
      </c>
      <c r="B1" s="1" t="s">
        <v>4</v>
      </c>
      <c r="C1" s="1" t="s">
        <v>10</v>
      </c>
      <c r="D1" s="1" t="s">
        <v>11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</row>
    <row r="2" spans="1:12">
      <c r="A2" t="s">
        <v>1</v>
      </c>
      <c r="B2" t="s">
        <v>5</v>
      </c>
      <c r="C2" t="s">
        <v>26</v>
      </c>
      <c r="D2" t="s">
        <v>12</v>
      </c>
      <c r="E2" t="s">
        <v>27</v>
      </c>
      <c r="F2" t="s">
        <v>28</v>
      </c>
      <c r="H2" t="s">
        <v>29</v>
      </c>
      <c r="I2" s="7">
        <v>0.97</v>
      </c>
      <c r="L2" t="s">
        <v>30</v>
      </c>
    </row>
    <row r="3" spans="1:12">
      <c r="A3" t="s">
        <v>1</v>
      </c>
      <c r="B3" t="s">
        <v>5</v>
      </c>
      <c r="C3" t="s">
        <v>31</v>
      </c>
      <c r="D3" t="s">
        <v>12</v>
      </c>
      <c r="E3" t="s">
        <v>27</v>
      </c>
      <c r="F3" t="s">
        <v>28</v>
      </c>
      <c r="I3" s="7">
        <v>0.97</v>
      </c>
      <c r="L3" t="s">
        <v>32</v>
      </c>
    </row>
    <row r="4" spans="1:12">
      <c r="A4" t="s">
        <v>1</v>
      </c>
      <c r="B4" t="s">
        <v>5</v>
      </c>
      <c r="C4" t="s">
        <v>33</v>
      </c>
      <c r="D4" t="s">
        <v>12</v>
      </c>
      <c r="E4" t="s">
        <v>27</v>
      </c>
      <c r="F4" t="s">
        <v>28</v>
      </c>
      <c r="I4" s="7">
        <v>0.97</v>
      </c>
    </row>
    <row r="5" spans="1:12">
      <c r="A5" t="s">
        <v>1</v>
      </c>
      <c r="B5" t="s">
        <v>5</v>
      </c>
      <c r="C5" t="s">
        <v>34</v>
      </c>
      <c r="D5" t="s">
        <v>12</v>
      </c>
      <c r="E5" t="s">
        <v>27</v>
      </c>
      <c r="F5" t="s">
        <v>28</v>
      </c>
      <c r="I5" s="7">
        <v>0.97</v>
      </c>
    </row>
    <row r="6" spans="1:12">
      <c r="A6" t="s">
        <v>1</v>
      </c>
      <c r="B6" t="s">
        <v>5</v>
      </c>
      <c r="C6" t="s">
        <v>35</v>
      </c>
      <c r="D6" t="s">
        <v>12</v>
      </c>
      <c r="E6" t="s">
        <v>27</v>
      </c>
      <c r="F6" t="s">
        <v>28</v>
      </c>
      <c r="I6" s="7">
        <v>0.97</v>
      </c>
    </row>
    <row r="7" spans="1:12">
      <c r="A7" t="s">
        <v>1</v>
      </c>
      <c r="B7" t="s">
        <v>5</v>
      </c>
      <c r="C7" t="s">
        <v>36</v>
      </c>
      <c r="D7" t="s">
        <v>12</v>
      </c>
      <c r="E7" t="s">
        <v>27</v>
      </c>
      <c r="F7" t="s">
        <v>28</v>
      </c>
      <c r="I7" s="7">
        <v>0.97</v>
      </c>
    </row>
    <row r="8" spans="1:12">
      <c r="A8" t="s">
        <v>1</v>
      </c>
      <c r="B8" t="s">
        <v>5</v>
      </c>
      <c r="C8" t="s">
        <v>26</v>
      </c>
      <c r="D8" t="s">
        <v>14</v>
      </c>
      <c r="E8" t="s">
        <v>37</v>
      </c>
      <c r="F8" t="s">
        <v>38</v>
      </c>
      <c r="H8" t="s">
        <v>29</v>
      </c>
      <c r="I8" s="5">
        <v>7.1</v>
      </c>
      <c r="L8" t="s">
        <v>39</v>
      </c>
    </row>
    <row r="9" spans="1:12">
      <c r="A9" t="s">
        <v>1</v>
      </c>
      <c r="B9" t="s">
        <v>5</v>
      </c>
      <c r="C9" t="s">
        <v>31</v>
      </c>
      <c r="D9" t="s">
        <v>14</v>
      </c>
      <c r="E9" t="s">
        <v>37</v>
      </c>
      <c r="F9" t="s">
        <v>38</v>
      </c>
      <c r="H9" t="s">
        <v>29</v>
      </c>
      <c r="I9">
        <v>7.1</v>
      </c>
    </row>
    <row r="10" spans="1:12">
      <c r="A10" t="s">
        <v>1</v>
      </c>
      <c r="B10" t="s">
        <v>5</v>
      </c>
      <c r="C10" t="s">
        <v>33</v>
      </c>
      <c r="D10" t="s">
        <v>14</v>
      </c>
      <c r="E10" t="s">
        <v>37</v>
      </c>
      <c r="F10" t="s">
        <v>38</v>
      </c>
      <c r="H10" t="s">
        <v>29</v>
      </c>
      <c r="I10" s="5">
        <v>7.2</v>
      </c>
    </row>
    <row r="11" spans="1:12">
      <c r="A11" t="s">
        <v>1</v>
      </c>
      <c r="B11" t="s">
        <v>5</v>
      </c>
      <c r="C11" t="s">
        <v>34</v>
      </c>
      <c r="D11" t="s">
        <v>14</v>
      </c>
      <c r="E11" t="s">
        <v>37</v>
      </c>
      <c r="F11" t="s">
        <v>38</v>
      </c>
      <c r="H11" t="s">
        <v>29</v>
      </c>
      <c r="I11">
        <v>7.7</v>
      </c>
    </row>
    <row r="12" spans="1:12">
      <c r="A12" t="s">
        <v>1</v>
      </c>
      <c r="B12" t="s">
        <v>5</v>
      </c>
      <c r="C12" t="s">
        <v>35</v>
      </c>
      <c r="D12" t="s">
        <v>14</v>
      </c>
      <c r="E12" t="s">
        <v>37</v>
      </c>
      <c r="F12" t="s">
        <v>38</v>
      </c>
      <c r="H12" t="s">
        <v>29</v>
      </c>
      <c r="I12">
        <v>7.2</v>
      </c>
    </row>
    <row r="13" spans="1:12">
      <c r="A13" t="s">
        <v>1</v>
      </c>
      <c r="B13" t="s">
        <v>5</v>
      </c>
      <c r="C13" t="s">
        <v>36</v>
      </c>
      <c r="D13" t="s">
        <v>14</v>
      </c>
      <c r="E13" t="s">
        <v>37</v>
      </c>
      <c r="F13" t="s">
        <v>38</v>
      </c>
      <c r="H13" t="s">
        <v>29</v>
      </c>
      <c r="I13">
        <v>6.5</v>
      </c>
    </row>
    <row r="14" spans="1:12">
      <c r="A14" t="s">
        <v>1</v>
      </c>
      <c r="B14" t="s">
        <v>5</v>
      </c>
      <c r="C14" t="s">
        <v>26</v>
      </c>
      <c r="D14" t="s">
        <v>14</v>
      </c>
      <c r="E14" t="s">
        <v>40</v>
      </c>
      <c r="F14" t="s">
        <v>38</v>
      </c>
      <c r="H14" t="s">
        <v>41</v>
      </c>
      <c r="I14" s="5">
        <v>2.2000000000000002</v>
      </c>
      <c r="L14" s="6" t="s">
        <v>42</v>
      </c>
    </row>
    <row r="15" spans="1:12">
      <c r="A15" t="s">
        <v>1</v>
      </c>
      <c r="B15" t="s">
        <v>5</v>
      </c>
      <c r="C15" t="s">
        <v>31</v>
      </c>
      <c r="D15" t="s">
        <v>14</v>
      </c>
      <c r="E15" t="s">
        <v>40</v>
      </c>
      <c r="F15" t="s">
        <v>38</v>
      </c>
      <c r="H15" t="s">
        <v>43</v>
      </c>
      <c r="I15" s="5">
        <v>2.2000000000000002</v>
      </c>
      <c r="L15" t="s">
        <v>44</v>
      </c>
    </row>
    <row r="16" spans="1:12">
      <c r="A16" t="s">
        <v>1</v>
      </c>
      <c r="B16" t="s">
        <v>5</v>
      </c>
      <c r="C16" t="s">
        <v>33</v>
      </c>
      <c r="D16" t="s">
        <v>14</v>
      </c>
      <c r="E16" t="s">
        <v>40</v>
      </c>
      <c r="F16" t="s">
        <v>38</v>
      </c>
      <c r="H16" t="s">
        <v>43</v>
      </c>
      <c r="I16" s="5">
        <v>2.2000000000000002</v>
      </c>
    </row>
    <row r="17" spans="1:12">
      <c r="A17" t="s">
        <v>1</v>
      </c>
      <c r="B17" t="s">
        <v>5</v>
      </c>
      <c r="C17" t="s">
        <v>34</v>
      </c>
      <c r="D17" t="s">
        <v>14</v>
      </c>
      <c r="E17" t="s">
        <v>40</v>
      </c>
      <c r="F17" t="s">
        <v>38</v>
      </c>
      <c r="H17" t="s">
        <v>43</v>
      </c>
      <c r="I17" s="5">
        <v>2.2000000000000002</v>
      </c>
    </row>
    <row r="18" spans="1:12">
      <c r="A18" t="s">
        <v>1</v>
      </c>
      <c r="B18" t="s">
        <v>5</v>
      </c>
      <c r="C18" t="s">
        <v>35</v>
      </c>
      <c r="D18" t="s">
        <v>14</v>
      </c>
      <c r="E18" t="s">
        <v>40</v>
      </c>
      <c r="F18" t="s">
        <v>38</v>
      </c>
      <c r="H18" t="s">
        <v>43</v>
      </c>
      <c r="I18" s="5">
        <v>2.2000000000000002</v>
      </c>
    </row>
    <row r="19" spans="1:12">
      <c r="A19" t="s">
        <v>1</v>
      </c>
      <c r="B19" t="s">
        <v>5</v>
      </c>
      <c r="C19" t="s">
        <v>36</v>
      </c>
      <c r="D19" t="s">
        <v>14</v>
      </c>
      <c r="E19" t="s">
        <v>40</v>
      </c>
      <c r="F19" t="s">
        <v>38</v>
      </c>
      <c r="H19" t="s">
        <v>43</v>
      </c>
      <c r="I19" s="5">
        <v>2.2000000000000002</v>
      </c>
    </row>
    <row r="20" spans="1:12">
      <c r="A20" t="s">
        <v>1</v>
      </c>
      <c r="B20" t="s">
        <v>5</v>
      </c>
      <c r="C20" t="s">
        <v>26</v>
      </c>
      <c r="D20" t="s">
        <v>15</v>
      </c>
      <c r="E20" t="s">
        <v>27</v>
      </c>
      <c r="F20" t="s">
        <v>28</v>
      </c>
      <c r="I20" s="7">
        <v>0.97</v>
      </c>
      <c r="L20" t="s">
        <v>45</v>
      </c>
    </row>
    <row r="21" spans="1:12">
      <c r="A21" t="s">
        <v>1</v>
      </c>
      <c r="B21" t="s">
        <v>5</v>
      </c>
      <c r="C21" t="s">
        <v>31</v>
      </c>
      <c r="D21" t="s">
        <v>15</v>
      </c>
      <c r="E21" t="s">
        <v>27</v>
      </c>
      <c r="F21" t="s">
        <v>28</v>
      </c>
      <c r="I21" s="7">
        <v>0.97</v>
      </c>
      <c r="L21" t="s">
        <v>32</v>
      </c>
    </row>
    <row r="22" spans="1:12">
      <c r="A22" t="s">
        <v>1</v>
      </c>
      <c r="B22" t="s">
        <v>5</v>
      </c>
      <c r="C22" t="s">
        <v>33</v>
      </c>
      <c r="D22" t="s">
        <v>15</v>
      </c>
      <c r="E22" t="s">
        <v>27</v>
      </c>
      <c r="F22" t="s">
        <v>28</v>
      </c>
      <c r="I22" s="7">
        <v>0.97</v>
      </c>
    </row>
    <row r="23" spans="1:12">
      <c r="A23" t="s">
        <v>1</v>
      </c>
      <c r="B23" t="s">
        <v>5</v>
      </c>
      <c r="C23" t="s">
        <v>34</v>
      </c>
      <c r="D23" t="s">
        <v>15</v>
      </c>
      <c r="E23" t="s">
        <v>27</v>
      </c>
      <c r="F23" t="s">
        <v>28</v>
      </c>
      <c r="I23" s="7">
        <v>0.97</v>
      </c>
    </row>
    <row r="24" spans="1:12">
      <c r="A24" t="s">
        <v>1</v>
      </c>
      <c r="B24" t="s">
        <v>5</v>
      </c>
      <c r="C24" t="s">
        <v>35</v>
      </c>
      <c r="D24" t="s">
        <v>15</v>
      </c>
      <c r="E24" t="s">
        <v>27</v>
      </c>
      <c r="F24" t="s">
        <v>28</v>
      </c>
      <c r="I24" s="7">
        <v>0.97</v>
      </c>
    </row>
    <row r="25" spans="1:12">
      <c r="A25" t="s">
        <v>1</v>
      </c>
      <c r="B25" t="s">
        <v>5</v>
      </c>
      <c r="C25" t="s">
        <v>36</v>
      </c>
      <c r="D25" t="s">
        <v>15</v>
      </c>
      <c r="E25" t="s">
        <v>27</v>
      </c>
      <c r="F25" t="s">
        <v>28</v>
      </c>
      <c r="I25" s="7">
        <v>0.97</v>
      </c>
    </row>
    <row r="26" spans="1:12">
      <c r="A26" t="s">
        <v>1</v>
      </c>
      <c r="B26" t="s">
        <v>5</v>
      </c>
      <c r="C26" t="s">
        <v>26</v>
      </c>
      <c r="D26" t="s">
        <v>16</v>
      </c>
      <c r="E26" t="s">
        <v>37</v>
      </c>
      <c r="F26" t="s">
        <v>38</v>
      </c>
      <c r="H26" t="s">
        <v>29</v>
      </c>
      <c r="I26" s="5">
        <v>7.1</v>
      </c>
      <c r="L26" t="s">
        <v>46</v>
      </c>
    </row>
    <row r="27" spans="1:12">
      <c r="A27" t="s">
        <v>1</v>
      </c>
      <c r="B27" t="s">
        <v>5</v>
      </c>
      <c r="C27" t="s">
        <v>31</v>
      </c>
      <c r="D27" t="s">
        <v>16</v>
      </c>
      <c r="E27" t="s">
        <v>37</v>
      </c>
      <c r="F27" t="s">
        <v>38</v>
      </c>
      <c r="H27" t="s">
        <v>29</v>
      </c>
      <c r="I27">
        <v>7.1</v>
      </c>
    </row>
    <row r="28" spans="1:12">
      <c r="A28" t="s">
        <v>1</v>
      </c>
      <c r="B28" t="s">
        <v>5</v>
      </c>
      <c r="C28" t="s">
        <v>33</v>
      </c>
      <c r="D28" t="s">
        <v>16</v>
      </c>
      <c r="E28" t="s">
        <v>37</v>
      </c>
      <c r="F28" t="s">
        <v>38</v>
      </c>
      <c r="H28" t="s">
        <v>29</v>
      </c>
      <c r="I28" s="5">
        <v>7.2</v>
      </c>
    </row>
    <row r="29" spans="1:12">
      <c r="A29" t="s">
        <v>1</v>
      </c>
      <c r="B29" t="s">
        <v>5</v>
      </c>
      <c r="C29" t="s">
        <v>34</v>
      </c>
      <c r="D29" t="s">
        <v>16</v>
      </c>
      <c r="E29" t="s">
        <v>37</v>
      </c>
      <c r="F29" t="s">
        <v>38</v>
      </c>
      <c r="H29" t="s">
        <v>29</v>
      </c>
      <c r="I29">
        <v>7.7</v>
      </c>
    </row>
    <row r="30" spans="1:12">
      <c r="A30" t="s">
        <v>1</v>
      </c>
      <c r="B30" t="s">
        <v>5</v>
      </c>
      <c r="C30" t="s">
        <v>35</v>
      </c>
      <c r="D30" t="s">
        <v>16</v>
      </c>
      <c r="E30" t="s">
        <v>37</v>
      </c>
      <c r="F30" t="s">
        <v>38</v>
      </c>
      <c r="H30" t="s">
        <v>29</v>
      </c>
      <c r="I30">
        <v>7.2</v>
      </c>
    </row>
    <row r="31" spans="1:12">
      <c r="A31" t="s">
        <v>1</v>
      </c>
      <c r="B31" t="s">
        <v>5</v>
      </c>
      <c r="C31" t="s">
        <v>36</v>
      </c>
      <c r="D31" t="s">
        <v>16</v>
      </c>
      <c r="E31" t="s">
        <v>37</v>
      </c>
      <c r="F31" t="s">
        <v>38</v>
      </c>
      <c r="H31" t="s">
        <v>29</v>
      </c>
      <c r="I31">
        <v>6.5</v>
      </c>
    </row>
    <row r="32" spans="1:12">
      <c r="A32" t="s">
        <v>1</v>
      </c>
      <c r="B32" t="s">
        <v>5</v>
      </c>
      <c r="C32" t="s">
        <v>26</v>
      </c>
      <c r="D32" t="s">
        <v>16</v>
      </c>
      <c r="E32" t="s">
        <v>40</v>
      </c>
      <c r="F32" t="s">
        <v>38</v>
      </c>
      <c r="H32" t="s">
        <v>41</v>
      </c>
      <c r="I32" s="5">
        <v>2.2000000000000002</v>
      </c>
      <c r="L32" s="6" t="s">
        <v>42</v>
      </c>
    </row>
    <row r="33" spans="1:12">
      <c r="A33" t="s">
        <v>1</v>
      </c>
      <c r="B33" t="s">
        <v>5</v>
      </c>
      <c r="C33" t="s">
        <v>31</v>
      </c>
      <c r="D33" t="s">
        <v>16</v>
      </c>
      <c r="E33" t="s">
        <v>40</v>
      </c>
      <c r="F33" t="s">
        <v>38</v>
      </c>
      <c r="H33" t="s">
        <v>43</v>
      </c>
      <c r="I33" s="5">
        <v>2.2000000000000002</v>
      </c>
      <c r="L33" t="s">
        <v>44</v>
      </c>
    </row>
    <row r="34" spans="1:12">
      <c r="A34" t="s">
        <v>1</v>
      </c>
      <c r="B34" t="s">
        <v>5</v>
      </c>
      <c r="C34" t="s">
        <v>33</v>
      </c>
      <c r="D34" t="s">
        <v>16</v>
      </c>
      <c r="E34" t="s">
        <v>40</v>
      </c>
      <c r="F34" t="s">
        <v>38</v>
      </c>
      <c r="H34" t="s">
        <v>43</v>
      </c>
      <c r="I34" s="5">
        <v>2.2000000000000002</v>
      </c>
    </row>
    <row r="35" spans="1:12">
      <c r="A35" t="s">
        <v>1</v>
      </c>
      <c r="B35" t="s">
        <v>5</v>
      </c>
      <c r="C35" t="s">
        <v>34</v>
      </c>
      <c r="D35" t="s">
        <v>16</v>
      </c>
      <c r="E35" t="s">
        <v>40</v>
      </c>
      <c r="F35" t="s">
        <v>38</v>
      </c>
      <c r="H35" t="s">
        <v>43</v>
      </c>
      <c r="I35" s="5">
        <v>2.2000000000000002</v>
      </c>
    </row>
    <row r="36" spans="1:12">
      <c r="A36" t="s">
        <v>1</v>
      </c>
      <c r="B36" t="s">
        <v>5</v>
      </c>
      <c r="C36" t="s">
        <v>35</v>
      </c>
      <c r="D36" t="s">
        <v>16</v>
      </c>
      <c r="E36" t="s">
        <v>40</v>
      </c>
      <c r="F36" t="s">
        <v>38</v>
      </c>
      <c r="H36" t="s">
        <v>43</v>
      </c>
      <c r="I36" s="5">
        <v>2.2000000000000002</v>
      </c>
    </row>
    <row r="37" spans="1:12">
      <c r="A37" t="s">
        <v>1</v>
      </c>
      <c r="B37" t="s">
        <v>5</v>
      </c>
      <c r="C37" t="s">
        <v>36</v>
      </c>
      <c r="D37" t="s">
        <v>16</v>
      </c>
      <c r="E37" t="s">
        <v>40</v>
      </c>
      <c r="F37" t="s">
        <v>38</v>
      </c>
      <c r="H37" t="s">
        <v>43</v>
      </c>
      <c r="I37" s="5">
        <v>2.2000000000000002</v>
      </c>
    </row>
    <row r="38" spans="1:12">
      <c r="A38" t="s">
        <v>1</v>
      </c>
      <c r="B38" t="s">
        <v>5</v>
      </c>
      <c r="C38" t="s">
        <v>26</v>
      </c>
      <c r="D38" t="s">
        <v>17</v>
      </c>
      <c r="E38" t="s">
        <v>27</v>
      </c>
      <c r="F38" t="s">
        <v>28</v>
      </c>
      <c r="H38" t="s">
        <v>43</v>
      </c>
      <c r="I38" s="7">
        <v>1</v>
      </c>
      <c r="L38" t="s">
        <v>47</v>
      </c>
    </row>
    <row r="39" spans="1:12">
      <c r="A39" t="s">
        <v>1</v>
      </c>
      <c r="B39" t="s">
        <v>5</v>
      </c>
      <c r="C39" t="s">
        <v>31</v>
      </c>
      <c r="D39" t="s">
        <v>17</v>
      </c>
      <c r="E39" t="s">
        <v>27</v>
      </c>
      <c r="F39" t="s">
        <v>28</v>
      </c>
      <c r="H39" t="s">
        <v>43</v>
      </c>
      <c r="I39" s="7">
        <v>1</v>
      </c>
    </row>
    <row r="40" spans="1:12">
      <c r="A40" t="s">
        <v>1</v>
      </c>
      <c r="B40" t="s">
        <v>5</v>
      </c>
      <c r="C40" t="s">
        <v>33</v>
      </c>
      <c r="D40" t="s">
        <v>17</v>
      </c>
      <c r="E40" t="s">
        <v>27</v>
      </c>
      <c r="F40" t="s">
        <v>28</v>
      </c>
      <c r="H40" t="s">
        <v>43</v>
      </c>
      <c r="I40" s="7">
        <v>1</v>
      </c>
    </row>
    <row r="41" spans="1:12">
      <c r="A41" t="s">
        <v>1</v>
      </c>
      <c r="B41" t="s">
        <v>5</v>
      </c>
      <c r="C41" t="s">
        <v>34</v>
      </c>
      <c r="D41" t="s">
        <v>17</v>
      </c>
      <c r="E41" t="s">
        <v>27</v>
      </c>
      <c r="F41" t="s">
        <v>28</v>
      </c>
      <c r="H41" t="s">
        <v>43</v>
      </c>
      <c r="I41" s="7">
        <v>1</v>
      </c>
    </row>
    <row r="42" spans="1:12">
      <c r="A42" t="s">
        <v>1</v>
      </c>
      <c r="B42" t="s">
        <v>5</v>
      </c>
      <c r="C42" t="s">
        <v>35</v>
      </c>
      <c r="D42" t="s">
        <v>17</v>
      </c>
      <c r="E42" t="s">
        <v>27</v>
      </c>
      <c r="F42" t="s">
        <v>28</v>
      </c>
      <c r="H42" t="s">
        <v>43</v>
      </c>
      <c r="I42" s="7">
        <v>1</v>
      </c>
    </row>
    <row r="43" spans="1:12">
      <c r="A43" t="s">
        <v>1</v>
      </c>
      <c r="B43" t="s">
        <v>5</v>
      </c>
      <c r="C43" t="s">
        <v>36</v>
      </c>
      <c r="D43" t="s">
        <v>17</v>
      </c>
      <c r="E43" t="s">
        <v>27</v>
      </c>
      <c r="F43" t="s">
        <v>28</v>
      </c>
      <c r="H43" t="s">
        <v>43</v>
      </c>
      <c r="I43" s="7">
        <v>1</v>
      </c>
    </row>
    <row r="44" spans="1:12">
      <c r="A44" t="s">
        <v>2</v>
      </c>
      <c r="B44" t="s">
        <v>6</v>
      </c>
      <c r="C44" t="s">
        <v>26</v>
      </c>
      <c r="D44" t="s">
        <v>12</v>
      </c>
      <c r="E44" t="s">
        <v>27</v>
      </c>
      <c r="F44" t="s">
        <v>28</v>
      </c>
      <c r="G44">
        <v>2021</v>
      </c>
      <c r="H44" t="s">
        <v>48</v>
      </c>
      <c r="I44" s="17">
        <v>0.98099999999999998</v>
      </c>
      <c r="J44" t="s">
        <v>49</v>
      </c>
      <c r="L44" s="6" t="s">
        <v>50</v>
      </c>
    </row>
    <row r="45" spans="1:12">
      <c r="A45" t="s">
        <v>2</v>
      </c>
      <c r="B45" t="s">
        <v>6</v>
      </c>
      <c r="C45" t="s">
        <v>31</v>
      </c>
      <c r="D45" t="s">
        <v>12</v>
      </c>
      <c r="E45" t="s">
        <v>27</v>
      </c>
      <c r="F45" t="s">
        <v>28</v>
      </c>
      <c r="G45">
        <v>2021</v>
      </c>
      <c r="H45" t="s">
        <v>48</v>
      </c>
      <c r="I45" s="17">
        <v>0.96299999999999997</v>
      </c>
      <c r="J45" t="s">
        <v>51</v>
      </c>
      <c r="L45" t="s">
        <v>52</v>
      </c>
    </row>
    <row r="46" spans="1:12">
      <c r="A46" t="s">
        <v>2</v>
      </c>
      <c r="B46" t="s">
        <v>6</v>
      </c>
      <c r="C46" t="s">
        <v>33</v>
      </c>
      <c r="D46" t="s">
        <v>12</v>
      </c>
      <c r="E46" t="s">
        <v>27</v>
      </c>
      <c r="F46" t="s">
        <v>28</v>
      </c>
      <c r="G46">
        <v>2021</v>
      </c>
      <c r="H46" t="s">
        <v>48</v>
      </c>
      <c r="I46" s="17">
        <v>0.98099999999999998</v>
      </c>
      <c r="J46" t="s">
        <v>53</v>
      </c>
      <c r="L46" t="s">
        <v>54</v>
      </c>
    </row>
    <row r="47" spans="1:12">
      <c r="A47" t="s">
        <v>2</v>
      </c>
      <c r="B47" t="s">
        <v>6</v>
      </c>
      <c r="C47" t="s">
        <v>34</v>
      </c>
      <c r="D47" t="s">
        <v>12</v>
      </c>
      <c r="E47" t="s">
        <v>27</v>
      </c>
      <c r="F47" t="s">
        <v>28</v>
      </c>
      <c r="G47">
        <v>2021</v>
      </c>
      <c r="H47" t="s">
        <v>48</v>
      </c>
      <c r="I47" s="17">
        <v>0.99199999999999999</v>
      </c>
      <c r="J47" t="s">
        <v>55</v>
      </c>
      <c r="L47" t="s">
        <v>56</v>
      </c>
    </row>
    <row r="48" spans="1:12">
      <c r="A48" t="s">
        <v>2</v>
      </c>
      <c r="B48" t="s">
        <v>6</v>
      </c>
      <c r="C48" t="s">
        <v>35</v>
      </c>
      <c r="D48" t="s">
        <v>12</v>
      </c>
      <c r="E48" t="s">
        <v>27</v>
      </c>
      <c r="F48" t="s">
        <v>28</v>
      </c>
      <c r="G48">
        <v>2021</v>
      </c>
      <c r="H48" t="s">
        <v>48</v>
      </c>
      <c r="I48" s="17">
        <v>0.98599999999999999</v>
      </c>
      <c r="J48" t="s">
        <v>57</v>
      </c>
    </row>
    <row r="49" spans="1:12">
      <c r="A49" t="s">
        <v>2</v>
      </c>
      <c r="B49" t="s">
        <v>6</v>
      </c>
      <c r="C49" t="s">
        <v>36</v>
      </c>
      <c r="D49" t="s">
        <v>12</v>
      </c>
      <c r="E49" t="s">
        <v>27</v>
      </c>
      <c r="F49" t="s">
        <v>28</v>
      </c>
      <c r="G49">
        <v>2021</v>
      </c>
      <c r="H49" t="s">
        <v>48</v>
      </c>
      <c r="I49" s="17">
        <v>0.98599999999999999</v>
      </c>
      <c r="J49" t="s">
        <v>58</v>
      </c>
    </row>
    <row r="50" spans="1:12">
      <c r="A50" t="s">
        <v>2</v>
      </c>
      <c r="B50" t="s">
        <v>6</v>
      </c>
      <c r="C50" t="s">
        <v>26</v>
      </c>
      <c r="D50" t="s">
        <v>14</v>
      </c>
      <c r="E50" t="s">
        <v>37</v>
      </c>
      <c r="F50" t="s">
        <v>38</v>
      </c>
      <c r="G50">
        <v>2021</v>
      </c>
      <c r="H50" t="s">
        <v>48</v>
      </c>
      <c r="I50">
        <v>6.3</v>
      </c>
      <c r="J50" t="s">
        <v>59</v>
      </c>
      <c r="K50">
        <v>0.1</v>
      </c>
      <c r="L50" t="s">
        <v>60</v>
      </c>
    </row>
    <row r="51" spans="1:12">
      <c r="A51" t="s">
        <v>2</v>
      </c>
      <c r="B51" t="s">
        <v>6</v>
      </c>
      <c r="C51" t="s">
        <v>31</v>
      </c>
      <c r="D51" t="s">
        <v>14</v>
      </c>
      <c r="E51" t="s">
        <v>37</v>
      </c>
      <c r="F51" t="s">
        <v>38</v>
      </c>
      <c r="G51">
        <v>2021</v>
      </c>
      <c r="H51" t="s">
        <v>48</v>
      </c>
      <c r="I51">
        <v>8.4</v>
      </c>
      <c r="J51" t="s">
        <v>61</v>
      </c>
      <c r="K51">
        <v>0.3</v>
      </c>
      <c r="L51" t="s">
        <v>54</v>
      </c>
    </row>
    <row r="52" spans="1:12">
      <c r="A52" t="s">
        <v>2</v>
      </c>
      <c r="B52" t="s">
        <v>6</v>
      </c>
      <c r="C52" t="s">
        <v>33</v>
      </c>
      <c r="D52" t="s">
        <v>14</v>
      </c>
      <c r="E52" t="s">
        <v>37</v>
      </c>
      <c r="F52" t="s">
        <v>38</v>
      </c>
      <c r="G52">
        <v>2021</v>
      </c>
      <c r="H52" t="s">
        <v>48</v>
      </c>
      <c r="I52" s="18">
        <v>8</v>
      </c>
      <c r="J52" t="s">
        <v>62</v>
      </c>
      <c r="K52">
        <v>0.3</v>
      </c>
      <c r="L52" t="s">
        <v>63</v>
      </c>
    </row>
    <row r="53" spans="1:12">
      <c r="A53" t="s">
        <v>2</v>
      </c>
      <c r="B53" t="s">
        <v>6</v>
      </c>
      <c r="C53" t="s">
        <v>34</v>
      </c>
      <c r="D53" t="s">
        <v>14</v>
      </c>
      <c r="E53" t="s">
        <v>37</v>
      </c>
      <c r="F53" t="s">
        <v>38</v>
      </c>
      <c r="G53">
        <v>2021</v>
      </c>
      <c r="H53" t="s">
        <v>48</v>
      </c>
      <c r="I53">
        <v>5.9</v>
      </c>
      <c r="J53" t="s">
        <v>64</v>
      </c>
      <c r="K53">
        <v>0.3</v>
      </c>
      <c r="L53" t="s">
        <v>65</v>
      </c>
    </row>
    <row r="54" spans="1:12">
      <c r="A54" t="s">
        <v>2</v>
      </c>
      <c r="B54" t="s">
        <v>6</v>
      </c>
      <c r="C54" t="s">
        <v>35</v>
      </c>
      <c r="D54" t="s">
        <v>14</v>
      </c>
      <c r="E54" t="s">
        <v>37</v>
      </c>
      <c r="F54" t="s">
        <v>38</v>
      </c>
      <c r="G54">
        <v>2021</v>
      </c>
      <c r="H54" t="s">
        <v>48</v>
      </c>
      <c r="I54">
        <v>4.9000000000000004</v>
      </c>
      <c r="J54" t="s">
        <v>66</v>
      </c>
      <c r="K54">
        <v>0.3</v>
      </c>
    </row>
    <row r="55" spans="1:12">
      <c r="A55" t="s">
        <v>2</v>
      </c>
      <c r="B55" t="s">
        <v>6</v>
      </c>
      <c r="C55" t="s">
        <v>36</v>
      </c>
      <c r="D55" t="s">
        <v>14</v>
      </c>
      <c r="E55" t="s">
        <v>37</v>
      </c>
      <c r="F55" t="s">
        <v>38</v>
      </c>
      <c r="G55">
        <v>2021</v>
      </c>
      <c r="H55" t="s">
        <v>48</v>
      </c>
      <c r="I55">
        <v>4.5999999999999996</v>
      </c>
      <c r="J55" t="s">
        <v>67</v>
      </c>
      <c r="K55">
        <v>0.3</v>
      </c>
    </row>
    <row r="56" spans="1:12">
      <c r="A56" t="s">
        <v>2</v>
      </c>
      <c r="B56" t="s">
        <v>6</v>
      </c>
      <c r="C56" t="s">
        <v>26</v>
      </c>
      <c r="D56" t="s">
        <v>14</v>
      </c>
      <c r="E56" t="s">
        <v>40</v>
      </c>
      <c r="F56" t="s">
        <v>38</v>
      </c>
      <c r="G56">
        <v>2021</v>
      </c>
      <c r="H56" t="s">
        <v>48</v>
      </c>
      <c r="I56">
        <v>3.0370370370370368</v>
      </c>
      <c r="L56" t="s">
        <v>68</v>
      </c>
    </row>
    <row r="57" spans="1:12">
      <c r="A57" t="s">
        <v>2</v>
      </c>
      <c r="B57" t="s">
        <v>6</v>
      </c>
      <c r="C57" t="s">
        <v>31</v>
      </c>
      <c r="D57" t="s">
        <v>14</v>
      </c>
      <c r="E57" t="s">
        <v>40</v>
      </c>
      <c r="F57" t="s">
        <v>38</v>
      </c>
      <c r="G57">
        <v>2021</v>
      </c>
      <c r="H57" t="s">
        <v>48</v>
      </c>
      <c r="I57">
        <v>3.6296296296296298</v>
      </c>
    </row>
    <row r="58" spans="1:12">
      <c r="A58" t="s">
        <v>2</v>
      </c>
      <c r="B58" t="s">
        <v>6</v>
      </c>
      <c r="C58" t="s">
        <v>33</v>
      </c>
      <c r="D58" t="s">
        <v>14</v>
      </c>
      <c r="E58" t="s">
        <v>40</v>
      </c>
      <c r="F58" t="s">
        <v>38</v>
      </c>
      <c r="G58">
        <v>2021</v>
      </c>
      <c r="H58" t="s">
        <v>48</v>
      </c>
      <c r="I58">
        <v>3.1111111111111112</v>
      </c>
    </row>
    <row r="59" spans="1:12">
      <c r="A59" t="s">
        <v>2</v>
      </c>
      <c r="B59" t="s">
        <v>6</v>
      </c>
      <c r="C59" t="s">
        <v>34</v>
      </c>
      <c r="D59" t="s">
        <v>14</v>
      </c>
      <c r="E59" t="s">
        <v>40</v>
      </c>
      <c r="F59" t="s">
        <v>38</v>
      </c>
      <c r="G59">
        <v>2021</v>
      </c>
      <c r="H59" t="s">
        <v>48</v>
      </c>
      <c r="I59" s="18">
        <v>2.9629629629629624</v>
      </c>
    </row>
    <row r="60" spans="1:12">
      <c r="A60" t="s">
        <v>2</v>
      </c>
      <c r="B60" t="s">
        <v>6</v>
      </c>
      <c r="C60" t="s">
        <v>35</v>
      </c>
      <c r="D60" t="s">
        <v>14</v>
      </c>
      <c r="E60" t="s">
        <v>40</v>
      </c>
      <c r="F60" t="s">
        <v>38</v>
      </c>
      <c r="G60">
        <v>2021</v>
      </c>
      <c r="H60" t="s">
        <v>48</v>
      </c>
      <c r="I60">
        <v>2.4444444444444446</v>
      </c>
    </row>
    <row r="61" spans="1:12">
      <c r="A61" t="s">
        <v>2</v>
      </c>
      <c r="B61" t="s">
        <v>6</v>
      </c>
      <c r="C61" t="s">
        <v>36</v>
      </c>
      <c r="D61" t="s">
        <v>14</v>
      </c>
      <c r="E61" t="s">
        <v>40</v>
      </c>
      <c r="F61" t="s">
        <v>38</v>
      </c>
      <c r="G61">
        <v>2021</v>
      </c>
      <c r="H61" t="s">
        <v>48</v>
      </c>
      <c r="I61">
        <v>1.7037037037037035</v>
      </c>
    </row>
    <row r="62" spans="1:12">
      <c r="A62" t="s">
        <v>2</v>
      </c>
      <c r="B62" t="s">
        <v>6</v>
      </c>
      <c r="C62" t="s">
        <v>26</v>
      </c>
      <c r="D62" t="s">
        <v>15</v>
      </c>
      <c r="E62" t="s">
        <v>27</v>
      </c>
      <c r="F62" t="s">
        <v>28</v>
      </c>
      <c r="G62">
        <v>2021</v>
      </c>
      <c r="H62" t="s">
        <v>48</v>
      </c>
      <c r="I62" s="17">
        <v>0.98799999999999999</v>
      </c>
      <c r="J62" t="s">
        <v>69</v>
      </c>
      <c r="L62" t="s">
        <v>70</v>
      </c>
    </row>
    <row r="63" spans="1:12">
      <c r="A63" t="s">
        <v>2</v>
      </c>
      <c r="B63" t="s">
        <v>6</v>
      </c>
      <c r="C63" t="s">
        <v>31</v>
      </c>
      <c r="D63" t="s">
        <v>15</v>
      </c>
      <c r="E63" t="s">
        <v>27</v>
      </c>
      <c r="F63" t="s">
        <v>28</v>
      </c>
      <c r="G63">
        <v>2021</v>
      </c>
      <c r="H63" t="s">
        <v>48</v>
      </c>
      <c r="I63" s="17">
        <v>0.96299999999999997</v>
      </c>
      <c r="J63" t="s">
        <v>51</v>
      </c>
      <c r="L63" s="19" t="s">
        <v>71</v>
      </c>
    </row>
    <row r="64" spans="1:12">
      <c r="A64" t="s">
        <v>2</v>
      </c>
      <c r="B64" t="s">
        <v>6</v>
      </c>
      <c r="C64" t="s">
        <v>33</v>
      </c>
      <c r="D64" t="s">
        <v>15</v>
      </c>
      <c r="E64" t="s">
        <v>27</v>
      </c>
      <c r="F64" t="s">
        <v>28</v>
      </c>
      <c r="G64">
        <v>2021</v>
      </c>
      <c r="H64" t="s">
        <v>48</v>
      </c>
      <c r="I64" s="17">
        <v>0.98099999999999998</v>
      </c>
      <c r="J64" t="s">
        <v>53</v>
      </c>
      <c r="L64" t="s">
        <v>72</v>
      </c>
    </row>
    <row r="65" spans="1:12">
      <c r="A65" t="s">
        <v>2</v>
      </c>
      <c r="B65" t="s">
        <v>6</v>
      </c>
      <c r="C65" t="s">
        <v>34</v>
      </c>
      <c r="D65" t="s">
        <v>15</v>
      </c>
      <c r="E65" t="s">
        <v>27</v>
      </c>
      <c r="F65" t="s">
        <v>28</v>
      </c>
      <c r="G65">
        <v>2021</v>
      </c>
      <c r="H65" t="s">
        <v>48</v>
      </c>
      <c r="I65" s="17">
        <v>0.99199999999999999</v>
      </c>
      <c r="J65" t="s">
        <v>55</v>
      </c>
      <c r="L65" t="s">
        <v>54</v>
      </c>
    </row>
    <row r="66" spans="1:12">
      <c r="A66" t="s">
        <v>2</v>
      </c>
      <c r="B66" t="s">
        <v>6</v>
      </c>
      <c r="C66" t="s">
        <v>35</v>
      </c>
      <c r="D66" t="s">
        <v>15</v>
      </c>
      <c r="E66" t="s">
        <v>27</v>
      </c>
      <c r="F66" t="s">
        <v>28</v>
      </c>
      <c r="G66">
        <v>2021</v>
      </c>
      <c r="H66" t="s">
        <v>48</v>
      </c>
      <c r="I66" s="17">
        <v>0.98599999999999999</v>
      </c>
      <c r="J66" t="s">
        <v>57</v>
      </c>
    </row>
    <row r="67" spans="1:12">
      <c r="A67" t="s">
        <v>2</v>
      </c>
      <c r="B67" t="s">
        <v>6</v>
      </c>
      <c r="C67" t="s">
        <v>36</v>
      </c>
      <c r="D67" t="s">
        <v>15</v>
      </c>
      <c r="E67" t="s">
        <v>27</v>
      </c>
      <c r="F67" t="s">
        <v>28</v>
      </c>
      <c r="G67">
        <v>2021</v>
      </c>
      <c r="H67" t="s">
        <v>48</v>
      </c>
      <c r="I67" s="17">
        <v>0.98599999999999999</v>
      </c>
      <c r="J67" t="s">
        <v>58</v>
      </c>
    </row>
    <row r="68" spans="1:12">
      <c r="A68" t="s">
        <v>2</v>
      </c>
      <c r="B68" t="s">
        <v>6</v>
      </c>
      <c r="C68" t="s">
        <v>26</v>
      </c>
      <c r="D68" t="s">
        <v>16</v>
      </c>
      <c r="E68" t="s">
        <v>37</v>
      </c>
      <c r="F68" t="s">
        <v>38</v>
      </c>
      <c r="G68">
        <v>2021</v>
      </c>
      <c r="H68" t="s">
        <v>48</v>
      </c>
      <c r="I68">
        <v>4.2</v>
      </c>
      <c r="J68" t="s">
        <v>73</v>
      </c>
      <c r="K68">
        <v>0.1</v>
      </c>
      <c r="L68" t="s">
        <v>74</v>
      </c>
    </row>
    <row r="69" spans="1:12">
      <c r="A69" t="s">
        <v>2</v>
      </c>
      <c r="B69" t="s">
        <v>6</v>
      </c>
      <c r="C69" t="s">
        <v>31</v>
      </c>
      <c r="D69" t="s">
        <v>16</v>
      </c>
      <c r="E69" t="s">
        <v>37</v>
      </c>
      <c r="F69" t="s">
        <v>38</v>
      </c>
      <c r="G69">
        <v>2021</v>
      </c>
      <c r="H69" t="s">
        <v>48</v>
      </c>
      <c r="I69">
        <v>8.4</v>
      </c>
      <c r="J69" t="s">
        <v>61</v>
      </c>
      <c r="K69">
        <v>0.3</v>
      </c>
      <c r="L69" t="s">
        <v>72</v>
      </c>
    </row>
    <row r="70" spans="1:12">
      <c r="A70" t="s">
        <v>2</v>
      </c>
      <c r="B70" t="s">
        <v>6</v>
      </c>
      <c r="C70" t="s">
        <v>33</v>
      </c>
      <c r="D70" t="s">
        <v>16</v>
      </c>
      <c r="E70" t="s">
        <v>37</v>
      </c>
      <c r="F70" t="s">
        <v>38</v>
      </c>
      <c r="G70">
        <v>2021</v>
      </c>
      <c r="H70" t="s">
        <v>48</v>
      </c>
      <c r="I70" s="18">
        <v>8</v>
      </c>
      <c r="J70" t="s">
        <v>62</v>
      </c>
      <c r="K70">
        <v>0.3</v>
      </c>
      <c r="L70" t="s">
        <v>54</v>
      </c>
    </row>
    <row r="71" spans="1:12">
      <c r="A71" t="s">
        <v>2</v>
      </c>
      <c r="B71" t="s">
        <v>6</v>
      </c>
      <c r="C71" t="s">
        <v>34</v>
      </c>
      <c r="D71" t="s">
        <v>16</v>
      </c>
      <c r="E71" t="s">
        <v>37</v>
      </c>
      <c r="F71" t="s">
        <v>38</v>
      </c>
      <c r="G71">
        <v>2021</v>
      </c>
      <c r="H71" t="s">
        <v>48</v>
      </c>
      <c r="I71">
        <v>5.9</v>
      </c>
      <c r="J71" t="s">
        <v>64</v>
      </c>
      <c r="K71">
        <v>0.3</v>
      </c>
    </row>
    <row r="72" spans="1:12">
      <c r="A72" t="s">
        <v>2</v>
      </c>
      <c r="B72" t="s">
        <v>6</v>
      </c>
      <c r="C72" t="s">
        <v>35</v>
      </c>
      <c r="D72" t="s">
        <v>16</v>
      </c>
      <c r="E72" t="s">
        <v>37</v>
      </c>
      <c r="F72" t="s">
        <v>38</v>
      </c>
      <c r="G72">
        <v>2021</v>
      </c>
      <c r="H72" t="s">
        <v>48</v>
      </c>
      <c r="I72">
        <v>4.9000000000000004</v>
      </c>
      <c r="J72" t="s">
        <v>66</v>
      </c>
      <c r="K72">
        <v>0.3</v>
      </c>
    </row>
    <row r="73" spans="1:12">
      <c r="A73" t="s">
        <v>2</v>
      </c>
      <c r="B73" t="s">
        <v>6</v>
      </c>
      <c r="C73" t="s">
        <v>36</v>
      </c>
      <c r="D73" t="s">
        <v>16</v>
      </c>
      <c r="E73" t="s">
        <v>37</v>
      </c>
      <c r="F73" t="s">
        <v>38</v>
      </c>
      <c r="G73">
        <v>2021</v>
      </c>
      <c r="H73" t="s">
        <v>48</v>
      </c>
      <c r="I73">
        <v>4.5999999999999996</v>
      </c>
      <c r="J73" t="s">
        <v>67</v>
      </c>
      <c r="K73">
        <v>0.3</v>
      </c>
    </row>
    <row r="74" spans="1:12">
      <c r="A74" t="s">
        <v>2</v>
      </c>
      <c r="B74" t="s">
        <v>6</v>
      </c>
      <c r="C74" t="s">
        <v>26</v>
      </c>
      <c r="D74" t="s">
        <v>16</v>
      </c>
      <c r="E74" t="s">
        <v>40</v>
      </c>
      <c r="F74" t="s">
        <v>38</v>
      </c>
      <c r="G74">
        <v>2021</v>
      </c>
      <c r="H74" t="s">
        <v>48</v>
      </c>
      <c r="I74">
        <f>(5.5-2.5)/1.35</f>
        <v>2.2222222222222219</v>
      </c>
      <c r="L74" t="s">
        <v>68</v>
      </c>
    </row>
    <row r="75" spans="1:12">
      <c r="A75" t="s">
        <v>2</v>
      </c>
      <c r="B75" t="s">
        <v>6</v>
      </c>
      <c r="C75" t="s">
        <v>31</v>
      </c>
      <c r="D75" t="s">
        <v>16</v>
      </c>
      <c r="E75" t="s">
        <v>40</v>
      </c>
      <c r="F75" t="s">
        <v>38</v>
      </c>
      <c r="G75">
        <v>2021</v>
      </c>
      <c r="H75" t="s">
        <v>48</v>
      </c>
      <c r="I75">
        <v>3.6296296296296298</v>
      </c>
      <c r="L75" t="s">
        <v>72</v>
      </c>
    </row>
    <row r="76" spans="1:12">
      <c r="A76" t="s">
        <v>2</v>
      </c>
      <c r="B76" t="s">
        <v>6</v>
      </c>
      <c r="C76" t="s">
        <v>33</v>
      </c>
      <c r="D76" t="s">
        <v>16</v>
      </c>
      <c r="E76" t="s">
        <v>40</v>
      </c>
      <c r="F76" t="s">
        <v>38</v>
      </c>
      <c r="G76">
        <v>2021</v>
      </c>
      <c r="H76" t="s">
        <v>48</v>
      </c>
      <c r="I76">
        <v>3.1111111111111112</v>
      </c>
    </row>
    <row r="77" spans="1:12">
      <c r="A77" t="s">
        <v>2</v>
      </c>
      <c r="B77" t="s">
        <v>6</v>
      </c>
      <c r="C77" t="s">
        <v>34</v>
      </c>
      <c r="D77" t="s">
        <v>16</v>
      </c>
      <c r="E77" t="s">
        <v>40</v>
      </c>
      <c r="F77" t="s">
        <v>38</v>
      </c>
      <c r="G77">
        <v>2021</v>
      </c>
      <c r="H77" t="s">
        <v>48</v>
      </c>
      <c r="I77" s="18">
        <v>2.9629629629629624</v>
      </c>
    </row>
    <row r="78" spans="1:12">
      <c r="A78" t="s">
        <v>2</v>
      </c>
      <c r="B78" t="s">
        <v>6</v>
      </c>
      <c r="C78" t="s">
        <v>35</v>
      </c>
      <c r="D78" t="s">
        <v>16</v>
      </c>
      <c r="E78" t="s">
        <v>40</v>
      </c>
      <c r="F78" t="s">
        <v>38</v>
      </c>
      <c r="G78">
        <v>2021</v>
      </c>
      <c r="H78" t="s">
        <v>48</v>
      </c>
      <c r="I78">
        <v>2.4444444444444446</v>
      </c>
    </row>
    <row r="79" spans="1:12">
      <c r="A79" t="s">
        <v>2</v>
      </c>
      <c r="B79" t="s">
        <v>6</v>
      </c>
      <c r="C79" t="s">
        <v>36</v>
      </c>
      <c r="D79" t="s">
        <v>16</v>
      </c>
      <c r="E79" t="s">
        <v>40</v>
      </c>
      <c r="F79" t="s">
        <v>38</v>
      </c>
      <c r="G79">
        <v>2021</v>
      </c>
      <c r="H79" t="s">
        <v>48</v>
      </c>
      <c r="I79">
        <v>1.7037037037037035</v>
      </c>
    </row>
    <row r="80" spans="1:12">
      <c r="A80" t="s">
        <v>2</v>
      </c>
      <c r="B80" t="s">
        <v>6</v>
      </c>
      <c r="C80" t="s">
        <v>26</v>
      </c>
      <c r="D80" t="s">
        <v>17</v>
      </c>
      <c r="E80" t="s">
        <v>27</v>
      </c>
      <c r="F80" t="s">
        <v>28</v>
      </c>
      <c r="G80">
        <v>2021</v>
      </c>
      <c r="H80" t="s">
        <v>48</v>
      </c>
      <c r="I80" s="21">
        <v>0.9796126401630989</v>
      </c>
      <c r="J80" s="17"/>
      <c r="K80" s="17"/>
      <c r="L80" t="s">
        <v>75</v>
      </c>
    </row>
    <row r="81" spans="1:12">
      <c r="A81" t="s">
        <v>2</v>
      </c>
      <c r="B81" t="s">
        <v>6</v>
      </c>
      <c r="C81" t="s">
        <v>31</v>
      </c>
      <c r="D81" t="s">
        <v>17</v>
      </c>
      <c r="E81" t="s">
        <v>27</v>
      </c>
      <c r="F81" t="s">
        <v>28</v>
      </c>
      <c r="G81">
        <v>2021</v>
      </c>
      <c r="H81" t="s">
        <v>48</v>
      </c>
      <c r="I81" s="17">
        <v>0.96573208722741444</v>
      </c>
    </row>
    <row r="82" spans="1:12">
      <c r="A82" t="s">
        <v>2</v>
      </c>
      <c r="B82" t="s">
        <v>6</v>
      </c>
      <c r="C82" t="s">
        <v>33</v>
      </c>
      <c r="D82" t="s">
        <v>17</v>
      </c>
      <c r="E82" t="s">
        <v>27</v>
      </c>
      <c r="F82" t="s">
        <v>28</v>
      </c>
      <c r="G82">
        <v>2021</v>
      </c>
      <c r="H82" t="s">
        <v>48</v>
      </c>
      <c r="I82" s="7">
        <v>0.9785932721712538</v>
      </c>
    </row>
    <row r="83" spans="1:12">
      <c r="A83" t="s">
        <v>2</v>
      </c>
      <c r="B83" t="s">
        <v>6</v>
      </c>
      <c r="C83" t="s">
        <v>34</v>
      </c>
      <c r="D83" t="s">
        <v>17</v>
      </c>
      <c r="E83" t="s">
        <v>27</v>
      </c>
      <c r="F83" t="s">
        <v>28</v>
      </c>
      <c r="G83">
        <v>2021</v>
      </c>
      <c r="H83" t="s">
        <v>48</v>
      </c>
      <c r="I83" s="20">
        <v>0.98084677419354838</v>
      </c>
    </row>
    <row r="84" spans="1:12">
      <c r="A84" t="s">
        <v>2</v>
      </c>
      <c r="B84" t="s">
        <v>6</v>
      </c>
      <c r="C84" t="s">
        <v>35</v>
      </c>
      <c r="D84" t="s">
        <v>17</v>
      </c>
      <c r="E84" t="s">
        <v>27</v>
      </c>
      <c r="F84" t="s">
        <v>28</v>
      </c>
      <c r="G84">
        <v>2021</v>
      </c>
      <c r="H84" t="s">
        <v>48</v>
      </c>
      <c r="I84" s="7">
        <v>0.98884381338742389</v>
      </c>
    </row>
    <row r="85" spans="1:12">
      <c r="A85" t="s">
        <v>2</v>
      </c>
      <c r="B85" t="s">
        <v>6</v>
      </c>
      <c r="C85" t="s">
        <v>36</v>
      </c>
      <c r="D85" t="s">
        <v>17</v>
      </c>
      <c r="E85" t="s">
        <v>27</v>
      </c>
      <c r="F85" t="s">
        <v>28</v>
      </c>
      <c r="G85">
        <v>2021</v>
      </c>
      <c r="H85" t="s">
        <v>48</v>
      </c>
      <c r="I85" s="20">
        <v>0.98377281947261663</v>
      </c>
    </row>
    <row r="86" spans="1:12">
      <c r="A86" t="s">
        <v>3</v>
      </c>
      <c r="B86" t="s">
        <v>7</v>
      </c>
      <c r="C86" t="s">
        <v>26</v>
      </c>
      <c r="D86" t="s">
        <v>17</v>
      </c>
      <c r="E86" t="s">
        <v>27</v>
      </c>
      <c r="F86" t="s">
        <v>28</v>
      </c>
      <c r="G86">
        <v>2024</v>
      </c>
      <c r="H86" t="s">
        <v>76</v>
      </c>
      <c r="I86" s="21">
        <v>0.51300000000000001</v>
      </c>
      <c r="L86" t="s">
        <v>77</v>
      </c>
    </row>
  </sheetData>
  <dataValidations count="4">
    <dataValidation allowBlank="1" showInputMessage="1" showErrorMessage="1" sqref="A1:C1" xr:uid="{E441A666-11EF-40F7-A6AA-2528D8D84D13}"/>
    <dataValidation type="list" allowBlank="1" showInputMessage="1" showErrorMessage="1" sqref="A2:A1048576" xr:uid="{4703F569-7426-4F3E-8C55-3036695499EA}">
      <formula1>"Nigeria,Ethiopia,India"</formula1>
    </dataValidation>
    <dataValidation type="list" allowBlank="1" showInputMessage="1" showErrorMessage="1" sqref="B2:B1048576" xr:uid="{BCD02A3B-B123-4319-A864-E9F403043D84}">
      <formula1>"Bouillon,Salt,Rice"</formula1>
    </dataValidation>
    <dataValidation type="list" allowBlank="1" showInputMessage="1" showErrorMessage="1" sqref="C2:C1048576" xr:uid="{9D6075CA-7D74-4E4D-8B56-0DD52E93158E}">
      <formula1>"All,Lowest,Second,Middle,Fourth,Highest"</formula1>
    </dataValidation>
  </dataValidations>
  <hyperlinks>
    <hyperlink ref="L44" r:id="rId1" xr:uid="{43FE6AF0-C443-4A48-A269-5B73EB396FB6}"/>
    <hyperlink ref="L14" r:id="rId2" xr:uid="{57C7F0B9-B50C-49CF-A5F5-C51B2423D2C4}"/>
    <hyperlink ref="L32" r:id="rId3" xr:uid="{1650080F-1085-40E4-8BD5-886F921DD675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084D8C1-6474-4551-8F8C-6471925FE6D2}">
          <x14:formula1>
            <xm:f>'Country-Vehicle Progress'!$A$5:$A$9</xm:f>
          </x14:formula1>
          <xm:sqref>D2:D1048576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50408-61D8-4A10-93E8-9867356C2F54}">
  <dimension ref="A1:M7"/>
  <sheetViews>
    <sheetView workbookViewId="0">
      <selection activeCell="H7" sqref="H7"/>
    </sheetView>
  </sheetViews>
  <sheetFormatPr defaultRowHeight="15"/>
  <cols>
    <col min="1" max="1" width="52.42578125" bestFit="1" customWidth="1"/>
    <col min="2" max="2" width="12.42578125" bestFit="1" customWidth="1"/>
    <col min="3" max="3" width="15.5703125" bestFit="1" customWidth="1"/>
    <col min="4" max="5" width="15.5703125" customWidth="1"/>
    <col min="6" max="6" width="9.7109375" bestFit="1" customWidth="1"/>
    <col min="10" max="13" width="15.85546875" bestFit="1" customWidth="1"/>
  </cols>
  <sheetData>
    <row r="1" spans="1:13">
      <c r="A1" s="3" t="s">
        <v>0</v>
      </c>
      <c r="B1" s="32" t="s">
        <v>1</v>
      </c>
      <c r="C1" s="32"/>
      <c r="D1" s="32"/>
      <c r="E1" s="32"/>
      <c r="F1" s="32" t="s">
        <v>2</v>
      </c>
      <c r="G1" s="32"/>
      <c r="H1" s="32"/>
      <c r="I1" s="32"/>
      <c r="J1" s="33" t="s">
        <v>3</v>
      </c>
      <c r="K1" s="33"/>
      <c r="L1" s="33"/>
      <c r="M1" s="33"/>
    </row>
    <row r="2" spans="1:13">
      <c r="A2" s="3" t="s">
        <v>4</v>
      </c>
      <c r="B2" s="32" t="s">
        <v>5</v>
      </c>
      <c r="C2" s="32"/>
      <c r="D2" s="32"/>
      <c r="E2" s="32"/>
      <c r="F2" s="32" t="s">
        <v>6</v>
      </c>
      <c r="G2" s="32"/>
      <c r="H2" s="32"/>
      <c r="I2" s="32"/>
      <c r="J2" s="32" t="s">
        <v>7</v>
      </c>
      <c r="K2" s="32"/>
      <c r="L2" s="32"/>
      <c r="M2" s="32"/>
    </row>
    <row r="3" spans="1:13">
      <c r="A3" s="3" t="s">
        <v>78</v>
      </c>
      <c r="B3" s="32" t="s">
        <v>79</v>
      </c>
      <c r="C3" s="32"/>
      <c r="D3" s="32" t="s">
        <v>80</v>
      </c>
      <c r="E3" s="32"/>
      <c r="F3" s="32" t="s">
        <v>79</v>
      </c>
      <c r="G3" s="32"/>
      <c r="H3" s="32" t="s">
        <v>80</v>
      </c>
      <c r="I3" s="32"/>
      <c r="J3" s="32" t="s">
        <v>79</v>
      </c>
      <c r="K3" s="32"/>
      <c r="L3" s="32" t="s">
        <v>80</v>
      </c>
      <c r="M3" s="32"/>
    </row>
    <row r="4" spans="1:13">
      <c r="A4" s="3" t="s">
        <v>8</v>
      </c>
      <c r="B4" s="2" t="s">
        <v>9</v>
      </c>
      <c r="C4" s="1" t="s">
        <v>10</v>
      </c>
      <c r="D4" s="2" t="s">
        <v>9</v>
      </c>
      <c r="E4" s="1" t="s">
        <v>10</v>
      </c>
      <c r="F4" s="2" t="s">
        <v>9</v>
      </c>
      <c r="G4" s="1" t="s">
        <v>10</v>
      </c>
      <c r="H4" s="2" t="s">
        <v>9</v>
      </c>
      <c r="I4" s="1" t="s">
        <v>10</v>
      </c>
      <c r="J4" s="2" t="s">
        <v>9</v>
      </c>
      <c r="K4" s="1" t="s">
        <v>10</v>
      </c>
      <c r="L4" s="2" t="s">
        <v>9</v>
      </c>
      <c r="M4" s="1" t="s">
        <v>10</v>
      </c>
    </row>
    <row r="5" spans="1:13">
      <c r="A5" s="1" t="s">
        <v>11</v>
      </c>
      <c r="B5" s="1"/>
      <c r="C5" s="1"/>
      <c r="D5" s="1"/>
      <c r="E5" s="1"/>
      <c r="F5" s="1"/>
      <c r="G5" s="1"/>
    </row>
    <row r="6" spans="1:13">
      <c r="A6" t="s">
        <v>81</v>
      </c>
      <c r="B6" t="s">
        <v>82</v>
      </c>
      <c r="C6" t="s">
        <v>82</v>
      </c>
      <c r="D6" t="s">
        <v>83</v>
      </c>
      <c r="E6" t="s">
        <v>83</v>
      </c>
      <c r="F6" t="s">
        <v>82</v>
      </c>
      <c r="G6" t="s">
        <v>82</v>
      </c>
      <c r="H6" t="str">
        <f>IF(COUNTIFS('Country-Vehicle-Fort Extraction'!$A$2:$A$973, F$1,  'Country-Vehicle-Fort Extraction'!$B$2:$B$973, F$2,  'Country-Vehicle-Fort Extraction'!$C$2:$C$973, H$3, 'Country-Vehicle-Fort Extraction'!$D$2:$D$973, "All",  'Country-Vehicle-Fort Extraction'!$E$2:$E$973, $A6, 'Country-Vehicle-Fort Extraction'!$J$2:$J$973, "&lt;&gt;") = 0, "Missing", "Complete")</f>
        <v>Complete</v>
      </c>
      <c r="I6" t="str">
        <f>IF(COUNTIFS('Country-Vehicle-Fort Extraction'!$A$2:$A$973, F$1,  'Country-Vehicle-Fort Extraction'!$B$2:$B$973, F$2,  'Country-Vehicle-Fort Extraction'!$C$2:$C$973, H$3, 'Country-Vehicle-Fort Extraction'!$D$2:$D$973, "&lt;&gt;All",  'Country-Vehicle-Fort Extraction'!$E$2:$E$973, $A6, 'Country-Vehicle-Fort Extraction'!$J$2:$J$973, "&lt;&gt;") &lt; 5, "Missing", "Complete")</f>
        <v>Complete</v>
      </c>
      <c r="J6" t="s">
        <v>13</v>
      </c>
      <c r="K6" t="s">
        <v>13</v>
      </c>
      <c r="L6" t="s">
        <v>13</v>
      </c>
      <c r="M6" t="s">
        <v>13</v>
      </c>
    </row>
    <row r="7" spans="1:13">
      <c r="A7" t="s">
        <v>84</v>
      </c>
      <c r="B7" t="s">
        <v>82</v>
      </c>
      <c r="C7" t="s">
        <v>82</v>
      </c>
      <c r="D7" t="s">
        <v>83</v>
      </c>
      <c r="E7" t="s">
        <v>83</v>
      </c>
      <c r="F7" t="s">
        <v>82</v>
      </c>
      <c r="G7" t="s">
        <v>82</v>
      </c>
      <c r="H7" t="str">
        <f>IF(COUNTIFS('Country-Vehicle-Fort Extraction'!$A$2:$A$973, F$1,  'Country-Vehicle-Fort Extraction'!$B$2:$B$973, F$2,  'Country-Vehicle-Fort Extraction'!$C$2:$C$973, H$3, 'Country-Vehicle-Fort Extraction'!$D$2:$D$973, "All",  'Country-Vehicle-Fort Extraction'!$E$2:$E$973, $A7, 'Country-Vehicle-Fort Extraction'!$J$2:$J$973, "&lt;&gt;") = 0, "Missing", "Complete")</f>
        <v>Complete</v>
      </c>
      <c r="I7" t="str">
        <f>IF(COUNTIFS('Country-Vehicle-Fort Extraction'!$A$2:$A$973, F$1,  'Country-Vehicle-Fort Extraction'!$B$2:$B$973, F$2,  'Country-Vehicle-Fort Extraction'!$C$2:$C$973, H$3, 'Country-Vehicle-Fort Extraction'!$D$2:$D$973, "&lt;&gt;All",  'Country-Vehicle-Fort Extraction'!$E$2:$E$973, $A7, 'Country-Vehicle-Fort Extraction'!$J$2:$J$973, "&lt;&gt;") &lt; 5, "Missing", "Complete")</f>
        <v>Complete</v>
      </c>
      <c r="J7" t="str">
        <f>IF(COUNTIFS('Country-Vehicle-Fort Extraction'!$A$2:$A$973, J$1,  'Country-Vehicle-Fort Extraction'!$B$2:$B$973, J$2,  'Country-Vehicle-Fort Extraction'!$C$2:$C$973, J$3, 'Country-Vehicle-Fort Extraction'!$D$2:$D$973, "All",  'Country-Vehicle-Fort Extraction'!$E$2:$E$973, $A7, 'Country-Vehicle-Fort Extraction'!$J$2:$J$973, "&lt;&gt;") = 0, "Missing", "Complete")</f>
        <v>Complete</v>
      </c>
      <c r="K7" t="s">
        <v>85</v>
      </c>
      <c r="L7" t="str">
        <f>IF(COUNTIFS('Country-Vehicle-Fort Extraction'!$A$2:$A$973, J$1,  'Country-Vehicle-Fort Extraction'!$B$2:$B$973, J$2,  'Country-Vehicle-Fort Extraction'!$C$2:$C$973, L$3, 'Country-Vehicle-Fort Extraction'!$D$2:$D$973, "All",  'Country-Vehicle-Fort Extraction'!$E$2:$E$973, $A7, 'Country-Vehicle-Fort Extraction'!$J$2:$J$973, "&lt;&gt;") = 0, "Missing", "Complete")</f>
        <v>Complete</v>
      </c>
      <c r="M7" t="s">
        <v>85</v>
      </c>
    </row>
  </sheetData>
  <mergeCells count="12">
    <mergeCell ref="J1:M1"/>
    <mergeCell ref="J2:M2"/>
    <mergeCell ref="J3:K3"/>
    <mergeCell ref="L3:M3"/>
    <mergeCell ref="B3:C3"/>
    <mergeCell ref="D3:E3"/>
    <mergeCell ref="B1:E1"/>
    <mergeCell ref="B2:E2"/>
    <mergeCell ref="F1:I1"/>
    <mergeCell ref="F2:I2"/>
    <mergeCell ref="F3:G3"/>
    <mergeCell ref="H3:I3"/>
  </mergeCells>
  <conditionalFormatting sqref="B6:M6 B7:I7 I6:M7">
    <cfRule type="cellIs" dxfId="11" priority="6" operator="equal">
      <formula>"Missing"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6D125-533B-4E2C-8B10-83B96EF6CBCB}">
  <dimension ref="A1:L49"/>
  <sheetViews>
    <sheetView tabSelected="1" workbookViewId="0">
      <pane ySplit="1" topLeftCell="A2" activePane="bottomLeft" state="frozen"/>
      <selection pane="bottomLeft" activeCell="F8" sqref="F8:F13"/>
    </sheetView>
  </sheetViews>
  <sheetFormatPr defaultRowHeight="15"/>
  <cols>
    <col min="1" max="1" width="8" bestFit="1" customWidth="1"/>
    <col min="3" max="3" width="9.5703125" bestFit="1" customWidth="1"/>
    <col min="5" max="5" width="52.7109375" bestFit="1" customWidth="1"/>
    <col min="6" max="6" width="19" customWidth="1"/>
    <col min="9" max="9" width="11.85546875" bestFit="1" customWidth="1"/>
    <col min="12" max="12" width="50.42578125" customWidth="1"/>
  </cols>
  <sheetData>
    <row r="1" spans="1:12">
      <c r="A1" s="1" t="s">
        <v>0</v>
      </c>
      <c r="B1" s="1" t="s">
        <v>4</v>
      </c>
      <c r="C1" s="1" t="s">
        <v>78</v>
      </c>
      <c r="D1" s="1" t="s">
        <v>10</v>
      </c>
      <c r="E1" s="1" t="s">
        <v>11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25</v>
      </c>
    </row>
    <row r="2" spans="1:12">
      <c r="A2" t="s">
        <v>1</v>
      </c>
      <c r="B2" t="s">
        <v>5</v>
      </c>
      <c r="C2" t="s">
        <v>79</v>
      </c>
      <c r="D2" t="s">
        <v>26</v>
      </c>
      <c r="E2" t="s">
        <v>81</v>
      </c>
      <c r="F2" t="s">
        <v>27</v>
      </c>
      <c r="G2" s="8" t="s">
        <v>28</v>
      </c>
      <c r="I2" t="s">
        <v>43</v>
      </c>
      <c r="J2" s="7">
        <v>0</v>
      </c>
    </row>
    <row r="3" spans="1:12">
      <c r="A3" t="s">
        <v>1</v>
      </c>
      <c r="B3" t="s">
        <v>5</v>
      </c>
      <c r="C3" t="s">
        <v>79</v>
      </c>
      <c r="D3" t="s">
        <v>31</v>
      </c>
      <c r="E3" t="s">
        <v>81</v>
      </c>
      <c r="F3" t="s">
        <v>27</v>
      </c>
      <c r="G3" s="8" t="s">
        <v>28</v>
      </c>
      <c r="I3" t="s">
        <v>43</v>
      </c>
      <c r="J3" s="7">
        <v>0</v>
      </c>
    </row>
    <row r="4" spans="1:12">
      <c r="A4" t="s">
        <v>1</v>
      </c>
      <c r="B4" t="s">
        <v>5</v>
      </c>
      <c r="C4" t="s">
        <v>79</v>
      </c>
      <c r="D4" t="s">
        <v>33</v>
      </c>
      <c r="E4" t="s">
        <v>81</v>
      </c>
      <c r="F4" t="s">
        <v>27</v>
      </c>
      <c r="G4" s="8" t="s">
        <v>28</v>
      </c>
      <c r="I4" t="s">
        <v>43</v>
      </c>
      <c r="J4" s="7">
        <v>0</v>
      </c>
    </row>
    <row r="5" spans="1:12">
      <c r="A5" t="s">
        <v>1</v>
      </c>
      <c r="B5" t="s">
        <v>5</v>
      </c>
      <c r="C5" t="s">
        <v>79</v>
      </c>
      <c r="D5" t="s">
        <v>34</v>
      </c>
      <c r="E5" t="s">
        <v>81</v>
      </c>
      <c r="F5" t="s">
        <v>27</v>
      </c>
      <c r="G5" s="8" t="s">
        <v>28</v>
      </c>
      <c r="I5" t="s">
        <v>43</v>
      </c>
      <c r="J5" s="7">
        <v>0</v>
      </c>
    </row>
    <row r="6" spans="1:12">
      <c r="A6" t="s">
        <v>1</v>
      </c>
      <c r="B6" t="s">
        <v>5</v>
      </c>
      <c r="C6" t="s">
        <v>79</v>
      </c>
      <c r="D6" t="s">
        <v>35</v>
      </c>
      <c r="E6" t="s">
        <v>81</v>
      </c>
      <c r="F6" t="s">
        <v>27</v>
      </c>
      <c r="G6" s="8" t="s">
        <v>28</v>
      </c>
      <c r="I6" t="s">
        <v>43</v>
      </c>
      <c r="J6" s="7">
        <v>0</v>
      </c>
    </row>
    <row r="7" spans="1:12">
      <c r="A7" t="s">
        <v>1</v>
      </c>
      <c r="B7" t="s">
        <v>5</v>
      </c>
      <c r="C7" t="s">
        <v>79</v>
      </c>
      <c r="D7" t="s">
        <v>36</v>
      </c>
      <c r="E7" t="s">
        <v>81</v>
      </c>
      <c r="F7" t="s">
        <v>27</v>
      </c>
      <c r="G7" s="8" t="s">
        <v>28</v>
      </c>
      <c r="I7" t="s">
        <v>43</v>
      </c>
      <c r="J7" s="7">
        <v>0</v>
      </c>
    </row>
    <row r="8" spans="1:12">
      <c r="A8" t="s">
        <v>1</v>
      </c>
      <c r="B8" t="s">
        <v>5</v>
      </c>
      <c r="C8" t="s">
        <v>79</v>
      </c>
      <c r="D8" t="s">
        <v>26</v>
      </c>
      <c r="E8" t="s">
        <v>84</v>
      </c>
      <c r="F8" t="s">
        <v>86</v>
      </c>
      <c r="G8" s="8" t="s">
        <v>87</v>
      </c>
      <c r="I8" t="s">
        <v>43</v>
      </c>
      <c r="J8" s="10">
        <v>0</v>
      </c>
    </row>
    <row r="9" spans="1:12">
      <c r="A9" t="s">
        <v>1</v>
      </c>
      <c r="B9" t="s">
        <v>5</v>
      </c>
      <c r="C9" t="s">
        <v>79</v>
      </c>
      <c r="D9" t="s">
        <v>31</v>
      </c>
      <c r="E9" t="s">
        <v>84</v>
      </c>
      <c r="F9" t="s">
        <v>86</v>
      </c>
      <c r="G9" s="8" t="s">
        <v>87</v>
      </c>
      <c r="I9" t="s">
        <v>43</v>
      </c>
      <c r="J9" s="10">
        <v>0</v>
      </c>
    </row>
    <row r="10" spans="1:12">
      <c r="A10" t="s">
        <v>1</v>
      </c>
      <c r="B10" t="s">
        <v>5</v>
      </c>
      <c r="C10" t="s">
        <v>79</v>
      </c>
      <c r="D10" t="s">
        <v>33</v>
      </c>
      <c r="E10" t="s">
        <v>84</v>
      </c>
      <c r="F10" t="s">
        <v>86</v>
      </c>
      <c r="G10" s="8" t="s">
        <v>87</v>
      </c>
      <c r="I10" t="s">
        <v>43</v>
      </c>
      <c r="J10" s="10">
        <v>0</v>
      </c>
    </row>
    <row r="11" spans="1:12">
      <c r="A11" t="s">
        <v>1</v>
      </c>
      <c r="B11" t="s">
        <v>5</v>
      </c>
      <c r="C11" t="s">
        <v>79</v>
      </c>
      <c r="D11" t="s">
        <v>34</v>
      </c>
      <c r="E11" t="s">
        <v>84</v>
      </c>
      <c r="F11" t="s">
        <v>86</v>
      </c>
      <c r="G11" s="8" t="s">
        <v>87</v>
      </c>
      <c r="I11" t="s">
        <v>43</v>
      </c>
      <c r="J11" s="10">
        <v>0</v>
      </c>
    </row>
    <row r="12" spans="1:12">
      <c r="A12" t="s">
        <v>1</v>
      </c>
      <c r="B12" t="s">
        <v>5</v>
      </c>
      <c r="C12" t="s">
        <v>79</v>
      </c>
      <c r="D12" t="s">
        <v>35</v>
      </c>
      <c r="E12" t="s">
        <v>84</v>
      </c>
      <c r="F12" t="s">
        <v>86</v>
      </c>
      <c r="G12" s="8" t="s">
        <v>87</v>
      </c>
      <c r="I12" t="s">
        <v>43</v>
      </c>
      <c r="J12" s="10">
        <v>0</v>
      </c>
    </row>
    <row r="13" spans="1:12">
      <c r="A13" t="s">
        <v>1</v>
      </c>
      <c r="B13" t="s">
        <v>5</v>
      </c>
      <c r="C13" t="s">
        <v>79</v>
      </c>
      <c r="D13" t="s">
        <v>36</v>
      </c>
      <c r="E13" t="s">
        <v>84</v>
      </c>
      <c r="F13" t="s">
        <v>86</v>
      </c>
      <c r="G13" s="8" t="s">
        <v>87</v>
      </c>
      <c r="I13" t="s">
        <v>43</v>
      </c>
      <c r="J13" s="10">
        <v>0</v>
      </c>
    </row>
    <row r="14" spans="1:12">
      <c r="A14" t="s">
        <v>2</v>
      </c>
      <c r="B14" t="s">
        <v>6</v>
      </c>
      <c r="C14" t="s">
        <v>80</v>
      </c>
      <c r="D14" t="s">
        <v>26</v>
      </c>
      <c r="E14" t="s">
        <v>81</v>
      </c>
      <c r="F14" t="s">
        <v>27</v>
      </c>
      <c r="G14" s="8" t="s">
        <v>28</v>
      </c>
      <c r="I14" t="s">
        <v>43</v>
      </c>
      <c r="J14" s="7">
        <v>0.61875637104994907</v>
      </c>
      <c r="L14" s="9" t="s">
        <v>88</v>
      </c>
    </row>
    <row r="15" spans="1:12">
      <c r="A15" t="s">
        <v>2</v>
      </c>
      <c r="B15" t="s">
        <v>6</v>
      </c>
      <c r="C15" t="s">
        <v>80</v>
      </c>
      <c r="D15" t="s">
        <v>31</v>
      </c>
      <c r="E15" t="s">
        <v>81</v>
      </c>
      <c r="F15" t="s">
        <v>27</v>
      </c>
      <c r="G15" s="8" t="s">
        <v>28</v>
      </c>
      <c r="I15" t="s">
        <v>43</v>
      </c>
      <c r="J15" s="7">
        <v>0.51921079958463134</v>
      </c>
      <c r="L15" s="9"/>
    </row>
    <row r="16" spans="1:12">
      <c r="A16" t="s">
        <v>2</v>
      </c>
      <c r="B16" t="s">
        <v>6</v>
      </c>
      <c r="C16" t="s">
        <v>80</v>
      </c>
      <c r="D16" t="s">
        <v>33</v>
      </c>
      <c r="E16" t="s">
        <v>81</v>
      </c>
      <c r="F16" t="s">
        <v>27</v>
      </c>
      <c r="G16" s="8" t="s">
        <v>28</v>
      </c>
      <c r="I16" t="s">
        <v>43</v>
      </c>
      <c r="J16" s="7">
        <v>0.58409785932721714</v>
      </c>
      <c r="L16" s="9"/>
    </row>
    <row r="17" spans="1:12">
      <c r="A17" t="s">
        <v>2</v>
      </c>
      <c r="B17" t="s">
        <v>6</v>
      </c>
      <c r="C17" t="s">
        <v>80</v>
      </c>
      <c r="D17" t="s">
        <v>34</v>
      </c>
      <c r="E17" t="s">
        <v>81</v>
      </c>
      <c r="F17" t="s">
        <v>27</v>
      </c>
      <c r="G17" s="8" t="s">
        <v>28</v>
      </c>
      <c r="I17" t="s">
        <v>43</v>
      </c>
      <c r="J17" s="7">
        <v>0.63810483870967738</v>
      </c>
      <c r="L17" s="9"/>
    </row>
    <row r="18" spans="1:12">
      <c r="A18" t="s">
        <v>2</v>
      </c>
      <c r="B18" t="s">
        <v>6</v>
      </c>
      <c r="C18" t="s">
        <v>80</v>
      </c>
      <c r="D18" t="s">
        <v>35</v>
      </c>
      <c r="E18" t="s">
        <v>81</v>
      </c>
      <c r="F18" t="s">
        <v>27</v>
      </c>
      <c r="G18" s="8" t="s">
        <v>28</v>
      </c>
      <c r="I18" t="s">
        <v>43</v>
      </c>
      <c r="J18" s="7">
        <v>0.66937119675456391</v>
      </c>
      <c r="L18" s="9"/>
    </row>
    <row r="19" spans="1:12">
      <c r="A19" t="s">
        <v>2</v>
      </c>
      <c r="B19" t="s">
        <v>6</v>
      </c>
      <c r="C19" t="s">
        <v>80</v>
      </c>
      <c r="D19" t="s">
        <v>36</v>
      </c>
      <c r="E19" t="s">
        <v>81</v>
      </c>
      <c r="F19" t="s">
        <v>27</v>
      </c>
      <c r="G19" s="8" t="s">
        <v>28</v>
      </c>
      <c r="I19" t="s">
        <v>43</v>
      </c>
      <c r="J19" s="7">
        <v>0.69979716024340777</v>
      </c>
      <c r="L19" s="9"/>
    </row>
    <row r="20" spans="1:12">
      <c r="A20" t="s">
        <v>2</v>
      </c>
      <c r="B20" t="s">
        <v>6</v>
      </c>
      <c r="C20" t="s">
        <v>80</v>
      </c>
      <c r="D20" t="s">
        <v>26</v>
      </c>
      <c r="E20" t="s">
        <v>84</v>
      </c>
      <c r="F20" t="s">
        <v>86</v>
      </c>
      <c r="G20" s="8" t="s">
        <v>87</v>
      </c>
      <c r="I20" t="s">
        <v>43</v>
      </c>
      <c r="J20" s="10">
        <v>525</v>
      </c>
      <c r="L20" s="9" t="s">
        <v>89</v>
      </c>
    </row>
    <row r="21" spans="1:12">
      <c r="A21" t="s">
        <v>2</v>
      </c>
      <c r="B21" t="s">
        <v>6</v>
      </c>
      <c r="C21" t="s">
        <v>80</v>
      </c>
      <c r="D21" t="s">
        <v>31</v>
      </c>
      <c r="E21" t="s">
        <v>84</v>
      </c>
      <c r="F21" t="s">
        <v>86</v>
      </c>
      <c r="G21" s="8" t="s">
        <v>87</v>
      </c>
      <c r="I21" t="s">
        <v>43</v>
      </c>
      <c r="J21" s="10">
        <v>525</v>
      </c>
      <c r="L21" s="9" t="s">
        <v>90</v>
      </c>
    </row>
    <row r="22" spans="1:12">
      <c r="A22" t="s">
        <v>2</v>
      </c>
      <c r="B22" t="s">
        <v>6</v>
      </c>
      <c r="C22" t="s">
        <v>80</v>
      </c>
      <c r="D22" t="s">
        <v>33</v>
      </c>
      <c r="E22" t="s">
        <v>84</v>
      </c>
      <c r="F22" t="s">
        <v>86</v>
      </c>
      <c r="G22" s="8" t="s">
        <v>87</v>
      </c>
      <c r="I22" t="s">
        <v>43</v>
      </c>
      <c r="J22" s="10">
        <v>525</v>
      </c>
      <c r="L22" s="9"/>
    </row>
    <row r="23" spans="1:12">
      <c r="A23" t="s">
        <v>2</v>
      </c>
      <c r="B23" t="s">
        <v>6</v>
      </c>
      <c r="C23" t="s">
        <v>80</v>
      </c>
      <c r="D23" t="s">
        <v>34</v>
      </c>
      <c r="E23" t="s">
        <v>84</v>
      </c>
      <c r="F23" t="s">
        <v>86</v>
      </c>
      <c r="G23" s="8" t="s">
        <v>87</v>
      </c>
      <c r="I23" t="s">
        <v>43</v>
      </c>
      <c r="J23" s="10">
        <v>525</v>
      </c>
      <c r="L23" s="9"/>
    </row>
    <row r="24" spans="1:12">
      <c r="A24" t="s">
        <v>2</v>
      </c>
      <c r="B24" t="s">
        <v>6</v>
      </c>
      <c r="C24" t="s">
        <v>80</v>
      </c>
      <c r="D24" t="s">
        <v>35</v>
      </c>
      <c r="E24" t="s">
        <v>84</v>
      </c>
      <c r="F24" t="s">
        <v>86</v>
      </c>
      <c r="G24" s="8" t="s">
        <v>87</v>
      </c>
      <c r="I24" t="s">
        <v>43</v>
      </c>
      <c r="J24" s="10">
        <v>525</v>
      </c>
      <c r="L24" s="9"/>
    </row>
    <row r="25" spans="1:12">
      <c r="A25" t="s">
        <v>2</v>
      </c>
      <c r="B25" t="s">
        <v>6</v>
      </c>
      <c r="C25" t="s">
        <v>80</v>
      </c>
      <c r="D25" t="s">
        <v>36</v>
      </c>
      <c r="E25" t="s">
        <v>84</v>
      </c>
      <c r="F25" t="s">
        <v>86</v>
      </c>
      <c r="G25" s="8" t="s">
        <v>87</v>
      </c>
      <c r="I25" t="s">
        <v>43</v>
      </c>
      <c r="J25" s="10">
        <v>525</v>
      </c>
      <c r="L25" s="9"/>
    </row>
    <row r="26" spans="1:12">
      <c r="A26" t="s">
        <v>2</v>
      </c>
      <c r="B26" t="s">
        <v>6</v>
      </c>
      <c r="C26" t="s">
        <v>79</v>
      </c>
      <c r="D26" t="s">
        <v>26</v>
      </c>
      <c r="E26" t="s">
        <v>81</v>
      </c>
      <c r="F26" t="s">
        <v>27</v>
      </c>
      <c r="G26" s="8" t="s">
        <v>28</v>
      </c>
      <c r="I26" t="s">
        <v>43</v>
      </c>
      <c r="J26" s="7">
        <v>0</v>
      </c>
      <c r="L26" s="9" t="s">
        <v>91</v>
      </c>
    </row>
    <row r="27" spans="1:12">
      <c r="A27" t="s">
        <v>2</v>
      </c>
      <c r="B27" t="s">
        <v>6</v>
      </c>
      <c r="C27" t="s">
        <v>79</v>
      </c>
      <c r="D27" t="s">
        <v>31</v>
      </c>
      <c r="E27" t="s">
        <v>81</v>
      </c>
      <c r="F27" t="s">
        <v>27</v>
      </c>
      <c r="G27" s="8" t="s">
        <v>28</v>
      </c>
      <c r="I27" t="s">
        <v>43</v>
      </c>
      <c r="J27" s="7">
        <v>0</v>
      </c>
      <c r="L27" s="9"/>
    </row>
    <row r="28" spans="1:12">
      <c r="A28" t="s">
        <v>2</v>
      </c>
      <c r="B28" t="s">
        <v>6</v>
      </c>
      <c r="C28" t="s">
        <v>79</v>
      </c>
      <c r="D28" t="s">
        <v>33</v>
      </c>
      <c r="E28" t="s">
        <v>81</v>
      </c>
      <c r="F28" t="s">
        <v>27</v>
      </c>
      <c r="G28" s="8" t="s">
        <v>28</v>
      </c>
      <c r="I28" t="s">
        <v>43</v>
      </c>
      <c r="J28" s="7">
        <v>0</v>
      </c>
      <c r="L28" s="9"/>
    </row>
    <row r="29" spans="1:12">
      <c r="A29" t="s">
        <v>2</v>
      </c>
      <c r="B29" t="s">
        <v>6</v>
      </c>
      <c r="C29" t="s">
        <v>79</v>
      </c>
      <c r="D29" t="s">
        <v>34</v>
      </c>
      <c r="E29" t="s">
        <v>81</v>
      </c>
      <c r="F29" t="s">
        <v>27</v>
      </c>
      <c r="G29" s="8" t="s">
        <v>28</v>
      </c>
      <c r="I29" t="s">
        <v>43</v>
      </c>
      <c r="J29" s="7">
        <v>0</v>
      </c>
      <c r="L29" s="9"/>
    </row>
    <row r="30" spans="1:12">
      <c r="A30" t="s">
        <v>2</v>
      </c>
      <c r="B30" t="s">
        <v>6</v>
      </c>
      <c r="C30" t="s">
        <v>79</v>
      </c>
      <c r="D30" t="s">
        <v>35</v>
      </c>
      <c r="E30" t="s">
        <v>81</v>
      </c>
      <c r="F30" t="s">
        <v>27</v>
      </c>
      <c r="G30" s="8" t="s">
        <v>28</v>
      </c>
      <c r="I30" t="s">
        <v>43</v>
      </c>
      <c r="J30" s="7">
        <v>0</v>
      </c>
      <c r="L30" s="9"/>
    </row>
    <row r="31" spans="1:12">
      <c r="A31" t="s">
        <v>2</v>
      </c>
      <c r="B31" t="s">
        <v>6</v>
      </c>
      <c r="C31" t="s">
        <v>79</v>
      </c>
      <c r="D31" t="s">
        <v>36</v>
      </c>
      <c r="E31" t="s">
        <v>81</v>
      </c>
      <c r="F31" t="s">
        <v>27</v>
      </c>
      <c r="G31" s="8" t="s">
        <v>28</v>
      </c>
      <c r="I31" t="s">
        <v>43</v>
      </c>
      <c r="J31" s="7">
        <v>0</v>
      </c>
      <c r="L31" s="9"/>
    </row>
    <row r="32" spans="1:12">
      <c r="A32" t="s">
        <v>2</v>
      </c>
      <c r="B32" t="s">
        <v>6</v>
      </c>
      <c r="C32" t="s">
        <v>79</v>
      </c>
      <c r="D32" t="s">
        <v>26</v>
      </c>
      <c r="E32" t="s">
        <v>84</v>
      </c>
      <c r="F32" t="s">
        <v>86</v>
      </c>
      <c r="G32" s="8" t="s">
        <v>87</v>
      </c>
      <c r="I32" t="s">
        <v>43</v>
      </c>
      <c r="J32" s="10">
        <v>0</v>
      </c>
      <c r="L32" s="9"/>
    </row>
    <row r="33" spans="1:12">
      <c r="A33" t="s">
        <v>2</v>
      </c>
      <c r="B33" t="s">
        <v>6</v>
      </c>
      <c r="C33" t="s">
        <v>79</v>
      </c>
      <c r="D33" t="s">
        <v>31</v>
      </c>
      <c r="E33" t="s">
        <v>84</v>
      </c>
      <c r="F33" t="s">
        <v>86</v>
      </c>
      <c r="G33" s="8" t="s">
        <v>87</v>
      </c>
      <c r="I33" t="s">
        <v>43</v>
      </c>
      <c r="J33" s="10">
        <v>0</v>
      </c>
      <c r="L33" s="9"/>
    </row>
    <row r="34" spans="1:12">
      <c r="A34" t="s">
        <v>2</v>
      </c>
      <c r="B34" t="s">
        <v>6</v>
      </c>
      <c r="C34" t="s">
        <v>79</v>
      </c>
      <c r="D34" t="s">
        <v>33</v>
      </c>
      <c r="E34" t="s">
        <v>84</v>
      </c>
      <c r="F34" t="s">
        <v>86</v>
      </c>
      <c r="G34" s="8" t="s">
        <v>87</v>
      </c>
      <c r="I34" t="s">
        <v>43</v>
      </c>
      <c r="J34" s="10">
        <v>0</v>
      </c>
      <c r="L34" s="9"/>
    </row>
    <row r="35" spans="1:12">
      <c r="A35" t="s">
        <v>2</v>
      </c>
      <c r="B35" t="s">
        <v>6</v>
      </c>
      <c r="C35" t="s">
        <v>79</v>
      </c>
      <c r="D35" t="s">
        <v>34</v>
      </c>
      <c r="E35" t="s">
        <v>84</v>
      </c>
      <c r="F35" t="s">
        <v>86</v>
      </c>
      <c r="G35" s="8" t="s">
        <v>87</v>
      </c>
      <c r="I35" t="s">
        <v>43</v>
      </c>
      <c r="J35" s="10">
        <v>0</v>
      </c>
      <c r="L35" s="9"/>
    </row>
    <row r="36" spans="1:12">
      <c r="A36" t="s">
        <v>2</v>
      </c>
      <c r="B36" t="s">
        <v>6</v>
      </c>
      <c r="C36" t="s">
        <v>79</v>
      </c>
      <c r="D36" t="s">
        <v>35</v>
      </c>
      <c r="E36" t="s">
        <v>84</v>
      </c>
      <c r="F36" t="s">
        <v>86</v>
      </c>
      <c r="G36" s="8" t="s">
        <v>87</v>
      </c>
      <c r="I36" t="s">
        <v>43</v>
      </c>
      <c r="J36" s="10">
        <v>0</v>
      </c>
      <c r="L36" s="9"/>
    </row>
    <row r="37" spans="1:12">
      <c r="A37" t="s">
        <v>2</v>
      </c>
      <c r="B37" t="s">
        <v>6</v>
      </c>
      <c r="C37" t="s">
        <v>79</v>
      </c>
      <c r="D37" t="s">
        <v>36</v>
      </c>
      <c r="E37" t="s">
        <v>84</v>
      </c>
      <c r="F37" t="s">
        <v>86</v>
      </c>
      <c r="G37" s="8" t="s">
        <v>87</v>
      </c>
      <c r="I37" t="s">
        <v>43</v>
      </c>
      <c r="J37" s="10">
        <v>0</v>
      </c>
      <c r="L37" s="9"/>
    </row>
    <row r="38" spans="1:12">
      <c r="A38" t="s">
        <v>3</v>
      </c>
      <c r="B38" t="s">
        <v>7</v>
      </c>
      <c r="C38" t="s">
        <v>80</v>
      </c>
      <c r="D38" t="s">
        <v>26</v>
      </c>
      <c r="E38" t="s">
        <v>84</v>
      </c>
      <c r="F38" t="s">
        <v>86</v>
      </c>
      <c r="G38" t="s">
        <v>87</v>
      </c>
      <c r="I38" t="s">
        <v>92</v>
      </c>
      <c r="J38">
        <v>42.5</v>
      </c>
      <c r="L38" t="s">
        <v>93</v>
      </c>
    </row>
    <row r="39" spans="1:12">
      <c r="A39" t="s">
        <v>3</v>
      </c>
      <c r="B39" t="s">
        <v>7</v>
      </c>
      <c r="C39" t="s">
        <v>80</v>
      </c>
      <c r="D39" t="s">
        <v>31</v>
      </c>
      <c r="E39" t="s">
        <v>84</v>
      </c>
      <c r="F39" t="s">
        <v>86</v>
      </c>
      <c r="G39" t="s">
        <v>87</v>
      </c>
      <c r="I39" s="5" t="s">
        <v>43</v>
      </c>
      <c r="J39">
        <v>42.5</v>
      </c>
      <c r="L39" s="9" t="s">
        <v>94</v>
      </c>
    </row>
    <row r="40" spans="1:12">
      <c r="A40" t="s">
        <v>3</v>
      </c>
      <c r="B40" t="s">
        <v>7</v>
      </c>
      <c r="C40" t="s">
        <v>80</v>
      </c>
      <c r="D40" t="s">
        <v>33</v>
      </c>
      <c r="E40" t="s">
        <v>84</v>
      </c>
      <c r="F40" t="s">
        <v>86</v>
      </c>
      <c r="G40" t="s">
        <v>87</v>
      </c>
      <c r="I40" s="5" t="s">
        <v>43</v>
      </c>
      <c r="J40">
        <v>42.5</v>
      </c>
      <c r="L40" s="9"/>
    </row>
    <row r="41" spans="1:12">
      <c r="A41" t="s">
        <v>3</v>
      </c>
      <c r="B41" t="s">
        <v>7</v>
      </c>
      <c r="C41" t="s">
        <v>80</v>
      </c>
      <c r="D41" t="s">
        <v>34</v>
      </c>
      <c r="E41" t="s">
        <v>84</v>
      </c>
      <c r="F41" t="s">
        <v>86</v>
      </c>
      <c r="G41" t="s">
        <v>87</v>
      </c>
      <c r="I41" s="5" t="s">
        <v>43</v>
      </c>
      <c r="J41">
        <v>42.5</v>
      </c>
      <c r="L41" s="9"/>
    </row>
    <row r="42" spans="1:12">
      <c r="A42" t="s">
        <v>3</v>
      </c>
      <c r="B42" t="s">
        <v>7</v>
      </c>
      <c r="C42" t="s">
        <v>80</v>
      </c>
      <c r="D42" t="s">
        <v>35</v>
      </c>
      <c r="E42" t="s">
        <v>84</v>
      </c>
      <c r="F42" t="s">
        <v>86</v>
      </c>
      <c r="G42" t="s">
        <v>87</v>
      </c>
      <c r="I42" s="5" t="s">
        <v>43</v>
      </c>
      <c r="J42">
        <v>42.5</v>
      </c>
      <c r="L42" s="9"/>
    </row>
    <row r="43" spans="1:12">
      <c r="A43" t="s">
        <v>3</v>
      </c>
      <c r="B43" t="s">
        <v>7</v>
      </c>
      <c r="C43" t="s">
        <v>80</v>
      </c>
      <c r="D43" t="s">
        <v>36</v>
      </c>
      <c r="E43" t="s">
        <v>84</v>
      </c>
      <c r="F43" t="s">
        <v>86</v>
      </c>
      <c r="G43" t="s">
        <v>87</v>
      </c>
      <c r="I43" s="5" t="s">
        <v>43</v>
      </c>
      <c r="J43">
        <v>42.5</v>
      </c>
      <c r="L43" s="9"/>
    </row>
    <row r="44" spans="1:12">
      <c r="A44" t="s">
        <v>3</v>
      </c>
      <c r="B44" t="s">
        <v>7</v>
      </c>
      <c r="C44" t="s">
        <v>79</v>
      </c>
      <c r="D44" t="s">
        <v>26</v>
      </c>
      <c r="E44" t="s">
        <v>84</v>
      </c>
      <c r="F44" t="s">
        <v>86</v>
      </c>
      <c r="G44" t="s">
        <v>87</v>
      </c>
      <c r="I44" t="s">
        <v>92</v>
      </c>
      <c r="J44">
        <v>0.125</v>
      </c>
      <c r="L44" s="9" t="s">
        <v>95</v>
      </c>
    </row>
    <row r="45" spans="1:12">
      <c r="A45" t="s">
        <v>3</v>
      </c>
      <c r="B45" t="s">
        <v>7</v>
      </c>
      <c r="C45" t="s">
        <v>79</v>
      </c>
      <c r="D45" t="s">
        <v>31</v>
      </c>
      <c r="E45" t="s">
        <v>84</v>
      </c>
      <c r="F45" t="s">
        <v>86</v>
      </c>
      <c r="G45" t="s">
        <v>87</v>
      </c>
      <c r="I45" s="5" t="s">
        <v>43</v>
      </c>
      <c r="J45">
        <v>0.125</v>
      </c>
      <c r="L45" s="9" t="s">
        <v>94</v>
      </c>
    </row>
    <row r="46" spans="1:12">
      <c r="A46" t="s">
        <v>3</v>
      </c>
      <c r="B46" t="s">
        <v>7</v>
      </c>
      <c r="C46" t="s">
        <v>79</v>
      </c>
      <c r="D46" t="s">
        <v>33</v>
      </c>
      <c r="E46" t="s">
        <v>84</v>
      </c>
      <c r="F46" t="s">
        <v>86</v>
      </c>
      <c r="G46" t="s">
        <v>87</v>
      </c>
      <c r="I46" s="5" t="s">
        <v>43</v>
      </c>
      <c r="J46">
        <v>0.125</v>
      </c>
      <c r="L46" s="9"/>
    </row>
    <row r="47" spans="1:12">
      <c r="A47" t="s">
        <v>3</v>
      </c>
      <c r="B47" t="s">
        <v>7</v>
      </c>
      <c r="C47" t="s">
        <v>79</v>
      </c>
      <c r="D47" t="s">
        <v>34</v>
      </c>
      <c r="E47" t="s">
        <v>84</v>
      </c>
      <c r="F47" t="s">
        <v>86</v>
      </c>
      <c r="G47" t="s">
        <v>87</v>
      </c>
      <c r="I47" s="5" t="s">
        <v>43</v>
      </c>
      <c r="J47">
        <v>0.125</v>
      </c>
      <c r="L47" s="9"/>
    </row>
    <row r="48" spans="1:12">
      <c r="A48" t="s">
        <v>3</v>
      </c>
      <c r="B48" t="s">
        <v>7</v>
      </c>
      <c r="C48" t="s">
        <v>79</v>
      </c>
      <c r="D48" t="s">
        <v>35</v>
      </c>
      <c r="E48" t="s">
        <v>84</v>
      </c>
      <c r="F48" t="s">
        <v>86</v>
      </c>
      <c r="G48" t="s">
        <v>87</v>
      </c>
      <c r="I48" s="5" t="s">
        <v>43</v>
      </c>
      <c r="J48">
        <v>0.125</v>
      </c>
      <c r="L48" s="9"/>
    </row>
    <row r="49" spans="1:12">
      <c r="A49" t="s">
        <v>3</v>
      </c>
      <c r="B49" t="s">
        <v>7</v>
      </c>
      <c r="C49" t="s">
        <v>79</v>
      </c>
      <c r="D49" t="s">
        <v>36</v>
      </c>
      <c r="E49" t="s">
        <v>84</v>
      </c>
      <c r="F49" t="s">
        <v>86</v>
      </c>
      <c r="G49" t="s">
        <v>87</v>
      </c>
      <c r="I49" s="5" t="s">
        <v>43</v>
      </c>
      <c r="J49">
        <v>0.125</v>
      </c>
      <c r="L49" s="9"/>
    </row>
  </sheetData>
  <dataValidations count="5">
    <dataValidation allowBlank="1" showInputMessage="1" showErrorMessage="1" sqref="A1:B1 D1" xr:uid="{9985B5D0-2CB3-40F4-BBCF-DD35FD2F4902}"/>
    <dataValidation type="list" allowBlank="1" showInputMessage="1" showErrorMessage="1" sqref="D2:D1048576" xr:uid="{D186C371-0E74-48C9-B141-A7799B8ADFB8}">
      <formula1>"All,Lowest,Second,Middle,Fourth,Highest"</formula1>
    </dataValidation>
    <dataValidation type="list" allowBlank="1" showInputMessage="1" showErrorMessage="1" sqref="B2:B1048576" xr:uid="{44CBE152-7074-417E-B67D-9B79208CCBB6}">
      <formula1>"Bouillon,Salt,Rice"</formula1>
    </dataValidation>
    <dataValidation type="list" allowBlank="1" showInputMessage="1" showErrorMessage="1" sqref="C2:C1048576" xr:uid="{50F02444-859D-4377-BA9B-3F8A672BD826}">
      <formula1>"Iron,Folate"</formula1>
    </dataValidation>
    <dataValidation type="list" allowBlank="1" showInputMessage="1" showErrorMessage="1" sqref="A2:A1048576" xr:uid="{ECE251AE-F610-4F87-83BC-7241E0D9DF39}">
      <formula1>"Nigeria,Ethiopia,India"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F5D8444-3335-4494-97CE-098BB90D52E6}">
          <x14:formula1>
            <xm:f>'Country-Vehicle-Fortif Progress'!$A$6:$A$99</xm:f>
          </x14:formula1>
          <xm:sqref>E1:E1048576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AA13D-2CC0-4240-A9BF-02BB80A27D5D}">
  <dimension ref="A1:H15"/>
  <sheetViews>
    <sheetView workbookViewId="0">
      <selection activeCell="E12" sqref="E12"/>
    </sheetView>
  </sheetViews>
  <sheetFormatPr defaultRowHeight="15"/>
  <cols>
    <col min="1" max="1" width="52.42578125" bestFit="1" customWidth="1"/>
    <col min="2" max="2" width="12.42578125" bestFit="1" customWidth="1"/>
    <col min="3" max="3" width="12.28515625" customWidth="1"/>
    <col min="4" max="4" width="9.7109375" bestFit="1" customWidth="1"/>
    <col min="8" max="8" width="29" customWidth="1"/>
  </cols>
  <sheetData>
    <row r="1" spans="1:8">
      <c r="A1" s="3" t="s">
        <v>0</v>
      </c>
      <c r="B1" s="32" t="s">
        <v>1</v>
      </c>
      <c r="C1" s="32"/>
      <c r="D1" s="32" t="s">
        <v>2</v>
      </c>
      <c r="E1" s="32"/>
      <c r="F1" s="33" t="s">
        <v>3</v>
      </c>
      <c r="G1" s="33"/>
      <c r="H1" s="1" t="s">
        <v>25</v>
      </c>
    </row>
    <row r="2" spans="1:8">
      <c r="A2" s="3" t="s">
        <v>8</v>
      </c>
      <c r="B2" s="2" t="s">
        <v>9</v>
      </c>
      <c r="C2" s="1" t="s">
        <v>10</v>
      </c>
      <c r="D2" s="2" t="s">
        <v>9</v>
      </c>
      <c r="E2" s="1" t="s">
        <v>10</v>
      </c>
      <c r="F2" s="2" t="s">
        <v>9</v>
      </c>
      <c r="G2" s="1" t="s">
        <v>10</v>
      </c>
    </row>
    <row r="3" spans="1:8">
      <c r="A3" s="1" t="s">
        <v>11</v>
      </c>
      <c r="B3" s="1"/>
      <c r="D3" s="1"/>
      <c r="E3" s="1"/>
    </row>
    <row r="4" spans="1:8">
      <c r="A4" s="4" t="s">
        <v>96</v>
      </c>
      <c r="B4" t="s">
        <v>83</v>
      </c>
      <c r="C4" t="s">
        <v>83</v>
      </c>
      <c r="D4" t="s">
        <v>97</v>
      </c>
      <c r="E4" t="s">
        <v>98</v>
      </c>
      <c r="F4" t="s">
        <v>97</v>
      </c>
      <c r="G4" t="s">
        <v>99</v>
      </c>
    </row>
    <row r="5" spans="1:8">
      <c r="A5" t="s">
        <v>100</v>
      </c>
      <c r="B5" t="str">
        <f>IF(COUNTIFS('Country Extraction'!$A$2:$A$980, B$1,  'Country Extraction'!$B$2:$B$980, "All",  'Country Extraction'!$C$2:$C$980, $A5) = 0, "Missing", "Complete")</f>
        <v>Missing</v>
      </c>
      <c r="C5" t="str">
        <f>IF(COUNTIFS('Country Extraction'!$A$1:$A$995, D$1, 'Country Extraction'!$B$1:$B$995, "&lt;&gt;All", 'Country Extraction'!$C$1:$C$995, $A5, 'Country Extraction'!$H$1:$H$995, "&lt;&gt;") &lt; 5, "Missing", "Complete")</f>
        <v>Missing</v>
      </c>
      <c r="D5" t="str">
        <f>IF(COUNTIFS('Country Extraction'!$A$2:$A$980, D$1,  'Country Extraction'!$B$2:$B$980, "All",  'Country Extraction'!$C$2:$C$980, $A5) = 0, "Missing", "Complete")</f>
        <v>Missing</v>
      </c>
      <c r="E5" t="str">
        <f>IF(COUNTIFS('Country Extraction'!$A$1:$A$995, F$1, 'Country Extraction'!$B$1:$B$995, "&lt;&gt;All", 'Country Extraction'!$C$1:$C$995, $A5, 'Country Extraction'!$H$1:$H$995, "&lt;&gt;") &lt; 5, "Missing", "Complete")</f>
        <v>Missing</v>
      </c>
      <c r="F5" t="str">
        <f>IF(COUNTIFS('Country Extraction'!$A$2:$A$980, F$1,  'Country Extraction'!$B$2:$B$980, "All",  'Country Extraction'!$C$2:$C$980, $A5) = 0, "Missing", "Complete")</f>
        <v>Missing</v>
      </c>
      <c r="G5" t="str">
        <f>IF(COUNTIFS('Country Extraction'!$A$1:$A$995, H$1, 'Country Extraction'!$B$1:$B$995, "&lt;&gt;All", 'Country Extraction'!$C$1:$C$995, $A5, 'Country Extraction'!$H$1:$H$995, "&lt;&gt;") &lt; 5, "Missing", "Complete")</f>
        <v>Missing</v>
      </c>
    </row>
    <row r="6" spans="1:8">
      <c r="A6" t="s">
        <v>101</v>
      </c>
      <c r="B6" t="str">
        <f>IF(COUNTIFS('Country Extraction'!$A$2:$A$980, B$1,  'Country Extraction'!$B$2:$B$980, "All",  'Country Extraction'!$C$2:$C$980, $A6) = 0, "Missing", "Complete")</f>
        <v>Missing</v>
      </c>
      <c r="C6" t="str">
        <f>IF(COUNTIFS('Country Extraction'!$A$1:$A$995, D$1, 'Country Extraction'!$B$1:$B$995, "&lt;&gt;All", 'Country Extraction'!$C$1:$C$995, $A6, 'Country Extraction'!$H$1:$H$995, "&lt;&gt;") &lt; 5, "Missing", "Complete")</f>
        <v>Missing</v>
      </c>
      <c r="D6" t="str">
        <f>IF(COUNTIFS('Country Extraction'!$A$2:$A$980, D$1,  'Country Extraction'!$B$2:$B$980, "All",  'Country Extraction'!$C$2:$C$980, $A6) = 0, "Missing", "Complete")</f>
        <v>Missing</v>
      </c>
      <c r="E6" t="str">
        <f>IF(COUNTIFS('Country Extraction'!$A$1:$A$995, F$1, 'Country Extraction'!$B$1:$B$995, "&lt;&gt;All", 'Country Extraction'!$C$1:$C$995, $A6, 'Country Extraction'!$H$1:$H$995, "&lt;&gt;") &lt; 5, "Missing", "Complete")</f>
        <v>Missing</v>
      </c>
      <c r="F6" t="str">
        <f>IF(COUNTIFS('Country Extraction'!$A$2:$A$980, F$1,  'Country Extraction'!$B$2:$B$980, "All",  'Country Extraction'!$C$2:$C$980, $A6) = 0, "Missing", "Complete")</f>
        <v>Missing</v>
      </c>
      <c r="G6" t="str">
        <f>IF(COUNTIFS('Country Extraction'!$A$1:$A$995, H$1, 'Country Extraction'!$B$1:$B$995, "&lt;&gt;All", 'Country Extraction'!$C$1:$C$995, $A6, 'Country Extraction'!$H$1:$H$995, "&lt;&gt;") &lt; 5, "Missing", "Complete")</f>
        <v>Missing</v>
      </c>
    </row>
    <row r="7" spans="1:8">
      <c r="A7" t="s">
        <v>102</v>
      </c>
      <c r="B7" t="s">
        <v>83</v>
      </c>
      <c r="C7" t="s">
        <v>83</v>
      </c>
      <c r="D7" t="s">
        <v>97</v>
      </c>
      <c r="E7" t="s">
        <v>98</v>
      </c>
      <c r="F7" t="s">
        <v>97</v>
      </c>
      <c r="G7" t="s">
        <v>99</v>
      </c>
    </row>
    <row r="8" spans="1:8">
      <c r="A8" t="s">
        <v>103</v>
      </c>
      <c r="B8" t="s">
        <v>83</v>
      </c>
      <c r="C8" t="s">
        <v>83</v>
      </c>
      <c r="D8" t="s">
        <v>97</v>
      </c>
      <c r="E8" t="s">
        <v>98</v>
      </c>
      <c r="F8" t="s">
        <v>97</v>
      </c>
      <c r="G8" t="s">
        <v>99</v>
      </c>
    </row>
    <row r="9" spans="1:8">
      <c r="A9" t="s">
        <v>104</v>
      </c>
      <c r="B9" t="s">
        <v>83</v>
      </c>
      <c r="C9" t="s">
        <v>83</v>
      </c>
      <c r="D9" t="s">
        <v>97</v>
      </c>
      <c r="E9" t="s">
        <v>98</v>
      </c>
      <c r="F9" t="s">
        <v>97</v>
      </c>
      <c r="G9" t="s">
        <v>99</v>
      </c>
      <c r="H9" t="s">
        <v>105</v>
      </c>
    </row>
    <row r="10" spans="1:8">
      <c r="A10" t="s">
        <v>106</v>
      </c>
      <c r="B10" t="s">
        <v>83</v>
      </c>
      <c r="C10" t="s">
        <v>83</v>
      </c>
      <c r="D10" t="s">
        <v>97</v>
      </c>
      <c r="E10" t="str">
        <f>IF(COUNTIFS('Country Extraction'!$A$1:$A$995, F$1, 'Country Extraction'!$B$1:$B$995, "&lt;&gt;All", 'Country Extraction'!$C$1:$C$995, $A10, 'Country Extraction'!$H$1:$H$995, "&lt;&gt;") &lt; 5, "Missing", "Complete")</f>
        <v>Missing</v>
      </c>
      <c r="F10" t="s">
        <v>97</v>
      </c>
      <c r="G10" t="str">
        <f>IF(COUNTIFS('Country Extraction'!$A$1:$A$995, H$1, 'Country Extraction'!$B$1:$B$995, "&lt;&gt;All", 'Country Extraction'!$C$1:$C$995, $A10, 'Country Extraction'!$H$1:$H$995, "&lt;&gt;") &lt; 5, "Missing", "Complete")</f>
        <v>Missing</v>
      </c>
      <c r="H10" s="4" t="s">
        <v>107</v>
      </c>
    </row>
    <row r="11" spans="1:8">
      <c r="A11" t="s">
        <v>108</v>
      </c>
      <c r="B11" t="s">
        <v>83</v>
      </c>
      <c r="C11" t="s">
        <v>83</v>
      </c>
      <c r="D11" t="s">
        <v>97</v>
      </c>
      <c r="E11" t="str">
        <f>IF(COUNTIFS('Country Extraction'!$A$1:$A$995, F$1, 'Country Extraction'!$B$1:$B$995, "&lt;&gt;All", 'Country Extraction'!$C$1:$C$995, $A11, 'Country Extraction'!$H$1:$H$995, "&lt;&gt;") &lt; 5, "Missing", "Complete")</f>
        <v>Missing</v>
      </c>
      <c r="F11" t="s">
        <v>97</v>
      </c>
      <c r="G11" t="s">
        <v>99</v>
      </c>
      <c r="H11" t="s">
        <v>109</v>
      </c>
    </row>
    <row r="12" spans="1:8">
      <c r="A12" t="s">
        <v>110</v>
      </c>
      <c r="B12" t="s">
        <v>83</v>
      </c>
      <c r="C12" t="s">
        <v>83</v>
      </c>
      <c r="D12" t="s">
        <v>97</v>
      </c>
      <c r="E12" t="s">
        <v>98</v>
      </c>
      <c r="F12" t="s">
        <v>97</v>
      </c>
      <c r="G12" t="s">
        <v>99</v>
      </c>
    </row>
    <row r="13" spans="1:8">
      <c r="A13" t="s">
        <v>111</v>
      </c>
      <c r="B13" t="s">
        <v>83</v>
      </c>
      <c r="C13" t="s">
        <v>83</v>
      </c>
      <c r="D13" t="s">
        <v>97</v>
      </c>
      <c r="E13" t="s">
        <v>98</v>
      </c>
      <c r="F13" t="s">
        <v>97</v>
      </c>
      <c r="G13" t="s">
        <v>99</v>
      </c>
      <c r="H13" t="s">
        <v>112</v>
      </c>
    </row>
    <row r="14" spans="1:8">
      <c r="A14" t="s">
        <v>113</v>
      </c>
      <c r="B14" t="s">
        <v>83</v>
      </c>
      <c r="C14" t="s">
        <v>83</v>
      </c>
      <c r="D14" t="s">
        <v>97</v>
      </c>
      <c r="E14" t="s">
        <v>98</v>
      </c>
      <c r="F14" t="s">
        <v>97</v>
      </c>
      <c r="G14" t="s">
        <v>99</v>
      </c>
      <c r="H14" t="s">
        <v>114</v>
      </c>
    </row>
    <row r="15" spans="1:8">
      <c r="A15" t="s">
        <v>115</v>
      </c>
      <c r="B15" t="s">
        <v>97</v>
      </c>
      <c r="C15" t="str">
        <f>IF(COUNTIFS('Country Extraction'!$A$1:$A$995, D$1, 'Country Extraction'!$B$1:$B$995, "&lt;&gt;All", 'Country Extraction'!$C$1:$C$995, $A15, 'Country Extraction'!$H$1:$H$995, "&lt;&gt;") &lt; 5, "Missing", "Complete")</f>
        <v>Missing</v>
      </c>
      <c r="D15" t="s">
        <v>97</v>
      </c>
      <c r="E15" t="str">
        <f>IF(COUNTIFS('Country Extraction'!$A$1:$A$995, F$1, 'Country Extraction'!$B$1:$B$995, "&lt;&gt;All", 'Country Extraction'!$C$1:$C$995, $A15, 'Country Extraction'!$H$1:$H$995, "&lt;&gt;") &lt; 5, "Missing", "Complete")</f>
        <v>Missing</v>
      </c>
      <c r="F15" t="s">
        <v>97</v>
      </c>
      <c r="G15" t="str">
        <f>IF(COUNTIFS('Country Extraction'!$A$1:$A$995, H$1, 'Country Extraction'!$B$1:$B$995, "&lt;&gt;All", 'Country Extraction'!$C$1:$C$995, $A15, 'Country Extraction'!$H$1:$H$995, "&lt;&gt;") &lt; 5, "Missing", "Complete")</f>
        <v>Missing</v>
      </c>
    </row>
  </sheetData>
  <mergeCells count="3">
    <mergeCell ref="B1:C1"/>
    <mergeCell ref="D1:E1"/>
    <mergeCell ref="F1:G1"/>
  </mergeCells>
  <conditionalFormatting sqref="B4:G15">
    <cfRule type="cellIs" dxfId="10" priority="1" operator="equal">
      <formula>"Missing"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7D668-6E74-4989-9A76-CA42E7F92A98}">
  <dimension ref="A1:J76"/>
  <sheetViews>
    <sheetView workbookViewId="0">
      <pane ySplit="1" topLeftCell="C64" activePane="bottomLeft" state="frozen"/>
      <selection pane="bottomLeft" activeCell="C64" sqref="C64"/>
    </sheetView>
  </sheetViews>
  <sheetFormatPr defaultRowHeight="15"/>
  <cols>
    <col min="1" max="1" width="8" bestFit="1" customWidth="1"/>
    <col min="3" max="3" width="40.42578125" customWidth="1"/>
    <col min="4" max="4" width="19" customWidth="1"/>
    <col min="7" max="7" width="34.140625" customWidth="1"/>
    <col min="10" max="10" width="50.42578125" customWidth="1"/>
  </cols>
  <sheetData>
    <row r="1" spans="1:10">
      <c r="A1" s="1" t="s">
        <v>0</v>
      </c>
      <c r="B1" s="1" t="s">
        <v>10</v>
      </c>
      <c r="C1" s="1" t="s">
        <v>11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25</v>
      </c>
    </row>
    <row r="2" spans="1:10" ht="15.75">
      <c r="A2" t="s">
        <v>1</v>
      </c>
      <c r="B2" t="s">
        <v>26</v>
      </c>
      <c r="C2" s="9" t="s">
        <v>116</v>
      </c>
      <c r="E2" t="s">
        <v>117</v>
      </c>
      <c r="G2" t="s">
        <v>117</v>
      </c>
      <c r="J2" s="11" t="s">
        <v>118</v>
      </c>
    </row>
    <row r="3" spans="1:10" ht="32.25" customHeight="1">
      <c r="A3" t="s">
        <v>1</v>
      </c>
      <c r="B3" t="s">
        <v>31</v>
      </c>
      <c r="C3" s="9" t="s">
        <v>116</v>
      </c>
      <c r="E3" t="s">
        <v>117</v>
      </c>
      <c r="G3" t="s">
        <v>117</v>
      </c>
      <c r="J3" s="13" t="s">
        <v>119</v>
      </c>
    </row>
    <row r="4" spans="1:10">
      <c r="A4" t="s">
        <v>1</v>
      </c>
      <c r="B4" t="s">
        <v>33</v>
      </c>
      <c r="C4" s="9" t="s">
        <v>116</v>
      </c>
      <c r="E4" t="s">
        <v>117</v>
      </c>
      <c r="G4" t="s">
        <v>117</v>
      </c>
    </row>
    <row r="5" spans="1:10">
      <c r="A5" t="s">
        <v>1</v>
      </c>
      <c r="B5" t="s">
        <v>34</v>
      </c>
      <c r="C5" s="9" t="s">
        <v>116</v>
      </c>
      <c r="E5" t="s">
        <v>117</v>
      </c>
      <c r="G5" t="s">
        <v>117</v>
      </c>
    </row>
    <row r="6" spans="1:10">
      <c r="A6" t="s">
        <v>1</v>
      </c>
      <c r="B6" t="s">
        <v>35</v>
      </c>
      <c r="C6" s="9" t="s">
        <v>116</v>
      </c>
      <c r="E6" t="s">
        <v>117</v>
      </c>
      <c r="G6" t="s">
        <v>117</v>
      </c>
    </row>
    <row r="7" spans="1:10">
      <c r="A7" t="s">
        <v>1</v>
      </c>
      <c r="B7" t="s">
        <v>36</v>
      </c>
      <c r="C7" s="9" t="s">
        <v>116</v>
      </c>
      <c r="E7" t="s">
        <v>117</v>
      </c>
      <c r="G7" t="s">
        <v>117</v>
      </c>
    </row>
    <row r="8" spans="1:10">
      <c r="A8" t="s">
        <v>120</v>
      </c>
      <c r="B8" t="s">
        <v>26</v>
      </c>
      <c r="C8" s="9" t="s">
        <v>116</v>
      </c>
      <c r="E8" t="s">
        <v>117</v>
      </c>
      <c r="G8" t="s">
        <v>117</v>
      </c>
    </row>
    <row r="9" spans="1:10">
      <c r="A9" t="s">
        <v>120</v>
      </c>
      <c r="B9" t="s">
        <v>31</v>
      </c>
      <c r="C9" s="9" t="s">
        <v>116</v>
      </c>
      <c r="E9" t="s">
        <v>117</v>
      </c>
      <c r="G9" t="s">
        <v>117</v>
      </c>
    </row>
    <row r="10" spans="1:10">
      <c r="A10" t="s">
        <v>120</v>
      </c>
      <c r="B10" t="s">
        <v>33</v>
      </c>
      <c r="C10" s="9" t="s">
        <v>116</v>
      </c>
      <c r="E10" t="s">
        <v>117</v>
      </c>
      <c r="G10" t="s">
        <v>117</v>
      </c>
    </row>
    <row r="11" spans="1:10">
      <c r="A11" t="s">
        <v>120</v>
      </c>
      <c r="B11" t="s">
        <v>34</v>
      </c>
      <c r="C11" s="9" t="s">
        <v>116</v>
      </c>
      <c r="E11" t="s">
        <v>117</v>
      </c>
      <c r="G11" t="s">
        <v>117</v>
      </c>
    </row>
    <row r="12" spans="1:10">
      <c r="A12" t="s">
        <v>120</v>
      </c>
      <c r="B12" t="s">
        <v>35</v>
      </c>
      <c r="C12" s="9" t="s">
        <v>116</v>
      </c>
      <c r="E12" t="s">
        <v>117</v>
      </c>
      <c r="G12" t="s">
        <v>117</v>
      </c>
    </row>
    <row r="13" spans="1:10">
      <c r="A13" t="s">
        <v>120</v>
      </c>
      <c r="B13" t="s">
        <v>36</v>
      </c>
      <c r="C13" s="9" t="s">
        <v>116</v>
      </c>
      <c r="E13" t="s">
        <v>117</v>
      </c>
      <c r="G13" t="s">
        <v>117</v>
      </c>
    </row>
    <row r="14" spans="1:10">
      <c r="A14" t="s">
        <v>3</v>
      </c>
      <c r="B14" t="s">
        <v>26</v>
      </c>
      <c r="C14" s="9" t="s">
        <v>116</v>
      </c>
      <c r="E14" t="s">
        <v>117</v>
      </c>
      <c r="G14" t="s">
        <v>117</v>
      </c>
    </row>
    <row r="15" spans="1:10">
      <c r="A15" t="s">
        <v>3</v>
      </c>
      <c r="B15" t="s">
        <v>31</v>
      </c>
      <c r="C15" s="9" t="s">
        <v>116</v>
      </c>
      <c r="E15" t="s">
        <v>117</v>
      </c>
      <c r="G15" t="s">
        <v>117</v>
      </c>
    </row>
    <row r="16" spans="1:10">
      <c r="A16" t="s">
        <v>3</v>
      </c>
      <c r="B16" t="s">
        <v>33</v>
      </c>
      <c r="C16" s="9" t="s">
        <v>116</v>
      </c>
      <c r="E16" t="s">
        <v>117</v>
      </c>
      <c r="G16" t="s">
        <v>117</v>
      </c>
    </row>
    <row r="17" spans="1:10">
      <c r="A17" t="s">
        <v>3</v>
      </c>
      <c r="B17" t="s">
        <v>34</v>
      </c>
      <c r="C17" s="9" t="s">
        <v>116</v>
      </c>
      <c r="E17" t="s">
        <v>117</v>
      </c>
      <c r="G17" t="s">
        <v>117</v>
      </c>
    </row>
    <row r="18" spans="1:10">
      <c r="A18" t="s">
        <v>3</v>
      </c>
      <c r="B18" t="s">
        <v>35</v>
      </c>
      <c r="C18" s="9" t="s">
        <v>116</v>
      </c>
      <c r="E18" t="s">
        <v>117</v>
      </c>
      <c r="G18" t="s">
        <v>117</v>
      </c>
    </row>
    <row r="19" spans="1:10">
      <c r="A19" t="s">
        <v>3</v>
      </c>
      <c r="B19" t="s">
        <v>36</v>
      </c>
      <c r="C19" s="9" t="s">
        <v>116</v>
      </c>
      <c r="E19" t="s">
        <v>117</v>
      </c>
      <c r="G19" t="s">
        <v>117</v>
      </c>
    </row>
    <row r="20" spans="1:10" ht="15.75">
      <c r="A20" t="s">
        <v>1</v>
      </c>
      <c r="B20" t="s">
        <v>26</v>
      </c>
      <c r="C20" s="9" t="s">
        <v>121</v>
      </c>
      <c r="E20" s="8" t="s">
        <v>122</v>
      </c>
      <c r="G20" t="s">
        <v>117</v>
      </c>
      <c r="J20" s="11" t="s">
        <v>123</v>
      </c>
    </row>
    <row r="21" spans="1:10">
      <c r="A21" t="s">
        <v>1</v>
      </c>
      <c r="B21" t="s">
        <v>31</v>
      </c>
      <c r="C21" s="9" t="s">
        <v>121</v>
      </c>
      <c r="E21" s="8" t="s">
        <v>122</v>
      </c>
      <c r="G21" t="s">
        <v>117</v>
      </c>
      <c r="J21" s="8" t="s">
        <v>119</v>
      </c>
    </row>
    <row r="22" spans="1:10">
      <c r="A22" t="s">
        <v>1</v>
      </c>
      <c r="B22" t="s">
        <v>33</v>
      </c>
      <c r="C22" s="9" t="s">
        <v>121</v>
      </c>
      <c r="E22" s="8" t="s">
        <v>122</v>
      </c>
      <c r="G22" t="s">
        <v>117</v>
      </c>
    </row>
    <row r="23" spans="1:10">
      <c r="A23" t="s">
        <v>1</v>
      </c>
      <c r="B23" t="s">
        <v>34</v>
      </c>
      <c r="C23" s="9" t="s">
        <v>121</v>
      </c>
      <c r="E23" s="8" t="s">
        <v>122</v>
      </c>
      <c r="G23" t="s">
        <v>117</v>
      </c>
    </row>
    <row r="24" spans="1:10">
      <c r="A24" t="s">
        <v>1</v>
      </c>
      <c r="B24" t="s">
        <v>35</v>
      </c>
      <c r="C24" s="9" t="s">
        <v>121</v>
      </c>
      <c r="E24" s="8" t="s">
        <v>122</v>
      </c>
      <c r="G24" t="s">
        <v>117</v>
      </c>
    </row>
    <row r="25" spans="1:10">
      <c r="A25" t="s">
        <v>1</v>
      </c>
      <c r="B25" t="s">
        <v>36</v>
      </c>
      <c r="C25" s="9" t="s">
        <v>121</v>
      </c>
      <c r="E25" s="8" t="s">
        <v>122</v>
      </c>
      <c r="G25" t="s">
        <v>117</v>
      </c>
    </row>
    <row r="26" spans="1:10">
      <c r="A26" t="s">
        <v>120</v>
      </c>
      <c r="B26" t="s">
        <v>26</v>
      </c>
      <c r="C26" s="9" t="s">
        <v>121</v>
      </c>
      <c r="E26" s="8" t="s">
        <v>122</v>
      </c>
      <c r="G26" t="s">
        <v>117</v>
      </c>
    </row>
    <row r="27" spans="1:10">
      <c r="A27" t="s">
        <v>120</v>
      </c>
      <c r="B27" t="s">
        <v>31</v>
      </c>
      <c r="C27" s="9" t="s">
        <v>121</v>
      </c>
      <c r="E27" s="8" t="s">
        <v>122</v>
      </c>
      <c r="G27" t="s">
        <v>117</v>
      </c>
    </row>
    <row r="28" spans="1:10">
      <c r="A28" t="s">
        <v>120</v>
      </c>
      <c r="B28" t="s">
        <v>33</v>
      </c>
      <c r="C28" s="9" t="s">
        <v>121</v>
      </c>
      <c r="E28" s="8" t="s">
        <v>122</v>
      </c>
      <c r="G28" t="s">
        <v>117</v>
      </c>
    </row>
    <row r="29" spans="1:10">
      <c r="A29" t="s">
        <v>120</v>
      </c>
      <c r="B29" t="s">
        <v>34</v>
      </c>
      <c r="C29" s="9" t="s">
        <v>121</v>
      </c>
      <c r="E29" s="8" t="s">
        <v>122</v>
      </c>
      <c r="G29" t="s">
        <v>117</v>
      </c>
    </row>
    <row r="30" spans="1:10">
      <c r="A30" t="s">
        <v>120</v>
      </c>
      <c r="B30" t="s">
        <v>35</v>
      </c>
      <c r="C30" s="9" t="s">
        <v>121</v>
      </c>
      <c r="E30" s="8" t="s">
        <v>122</v>
      </c>
      <c r="G30" t="s">
        <v>117</v>
      </c>
    </row>
    <row r="31" spans="1:10">
      <c r="A31" t="s">
        <v>120</v>
      </c>
      <c r="B31" t="s">
        <v>36</v>
      </c>
      <c r="C31" s="9" t="s">
        <v>121</v>
      </c>
      <c r="E31" s="8" t="s">
        <v>122</v>
      </c>
      <c r="G31" t="s">
        <v>117</v>
      </c>
    </row>
    <row r="32" spans="1:10">
      <c r="A32" t="s">
        <v>3</v>
      </c>
      <c r="B32" t="s">
        <v>26</v>
      </c>
      <c r="C32" s="9" t="s">
        <v>121</v>
      </c>
      <c r="E32" s="8" t="s">
        <v>122</v>
      </c>
      <c r="G32" t="s">
        <v>117</v>
      </c>
    </row>
    <row r="33" spans="1:7">
      <c r="A33" t="s">
        <v>3</v>
      </c>
      <c r="B33" t="s">
        <v>31</v>
      </c>
      <c r="C33" s="9" t="s">
        <v>121</v>
      </c>
      <c r="E33" s="8" t="s">
        <v>122</v>
      </c>
      <c r="G33" t="s">
        <v>117</v>
      </c>
    </row>
    <row r="34" spans="1:7">
      <c r="A34" t="s">
        <v>3</v>
      </c>
      <c r="B34" t="s">
        <v>33</v>
      </c>
      <c r="C34" s="9" t="s">
        <v>121</v>
      </c>
      <c r="E34" s="8" t="s">
        <v>122</v>
      </c>
      <c r="G34" t="s">
        <v>117</v>
      </c>
    </row>
    <row r="35" spans="1:7">
      <c r="A35" t="s">
        <v>3</v>
      </c>
      <c r="B35" t="s">
        <v>34</v>
      </c>
      <c r="C35" s="9" t="s">
        <v>121</v>
      </c>
      <c r="E35" s="8" t="s">
        <v>122</v>
      </c>
      <c r="G35" t="s">
        <v>117</v>
      </c>
    </row>
    <row r="36" spans="1:7">
      <c r="A36" t="s">
        <v>3</v>
      </c>
      <c r="B36" t="s">
        <v>35</v>
      </c>
      <c r="C36" s="9" t="s">
        <v>121</v>
      </c>
      <c r="E36" s="8" t="s">
        <v>122</v>
      </c>
      <c r="G36" t="s">
        <v>117</v>
      </c>
    </row>
    <row r="37" spans="1:7">
      <c r="A37" t="s">
        <v>3</v>
      </c>
      <c r="B37" t="s">
        <v>36</v>
      </c>
      <c r="C37" s="9" t="s">
        <v>121</v>
      </c>
      <c r="E37" s="8" t="s">
        <v>122</v>
      </c>
      <c r="G37" t="s">
        <v>117</v>
      </c>
    </row>
    <row r="38" spans="1:7">
      <c r="A38" t="s">
        <v>1</v>
      </c>
      <c r="B38" t="s">
        <v>26</v>
      </c>
      <c r="C38" s="9" t="s">
        <v>124</v>
      </c>
      <c r="G38" s="9" t="s">
        <v>125</v>
      </c>
    </row>
    <row r="39" spans="1:7">
      <c r="A39" t="s">
        <v>1</v>
      </c>
      <c r="B39" t="s">
        <v>31</v>
      </c>
      <c r="C39" s="9" t="s">
        <v>124</v>
      </c>
      <c r="G39" s="6" t="s">
        <v>126</v>
      </c>
    </row>
    <row r="40" spans="1:7">
      <c r="A40" t="s">
        <v>1</v>
      </c>
      <c r="B40" t="s">
        <v>33</v>
      </c>
      <c r="C40" s="9" t="s">
        <v>124</v>
      </c>
      <c r="G40" s="6" t="s">
        <v>126</v>
      </c>
    </row>
    <row r="41" spans="1:7">
      <c r="A41" t="s">
        <v>1</v>
      </c>
      <c r="B41" t="s">
        <v>34</v>
      </c>
      <c r="C41" s="9" t="s">
        <v>124</v>
      </c>
      <c r="G41" s="6" t="s">
        <v>126</v>
      </c>
    </row>
    <row r="42" spans="1:7">
      <c r="A42" t="s">
        <v>1</v>
      </c>
      <c r="B42" t="s">
        <v>35</v>
      </c>
      <c r="C42" s="9" t="s">
        <v>124</v>
      </c>
      <c r="G42" s="6" t="s">
        <v>126</v>
      </c>
    </row>
    <row r="43" spans="1:7">
      <c r="A43" t="s">
        <v>1</v>
      </c>
      <c r="B43" t="s">
        <v>36</v>
      </c>
      <c r="C43" s="9" t="s">
        <v>124</v>
      </c>
      <c r="G43" s="6" t="s">
        <v>126</v>
      </c>
    </row>
    <row r="44" spans="1:7">
      <c r="A44" t="s">
        <v>120</v>
      </c>
      <c r="B44" t="s">
        <v>26</v>
      </c>
      <c r="C44" s="9" t="s">
        <v>124</v>
      </c>
      <c r="G44" s="9" t="s">
        <v>127</v>
      </c>
    </row>
    <row r="45" spans="1:7">
      <c r="A45" t="s">
        <v>120</v>
      </c>
      <c r="B45" t="s">
        <v>31</v>
      </c>
      <c r="C45" s="9" t="s">
        <v>124</v>
      </c>
      <c r="G45" s="14" t="s">
        <v>128</v>
      </c>
    </row>
    <row r="46" spans="1:7">
      <c r="A46" t="s">
        <v>120</v>
      </c>
      <c r="B46" t="s">
        <v>33</v>
      </c>
      <c r="C46" s="9" t="s">
        <v>124</v>
      </c>
      <c r="G46" s="14" t="s">
        <v>129</v>
      </c>
    </row>
    <row r="47" spans="1:7">
      <c r="A47" t="s">
        <v>120</v>
      </c>
      <c r="B47" t="s">
        <v>34</v>
      </c>
      <c r="C47" s="9" t="s">
        <v>124</v>
      </c>
      <c r="G47" s="14" t="s">
        <v>129</v>
      </c>
    </row>
    <row r="48" spans="1:7">
      <c r="A48" t="s">
        <v>120</v>
      </c>
      <c r="B48" t="s">
        <v>35</v>
      </c>
      <c r="C48" s="9" t="s">
        <v>124</v>
      </c>
      <c r="G48" s="14" t="s">
        <v>129</v>
      </c>
    </row>
    <row r="49" spans="1:10">
      <c r="A49" t="s">
        <v>120</v>
      </c>
      <c r="B49" t="s">
        <v>36</v>
      </c>
      <c r="C49" s="9" t="s">
        <v>124</v>
      </c>
      <c r="G49" s="14" t="s">
        <v>128</v>
      </c>
    </row>
    <row r="50" spans="1:10">
      <c r="A50" t="s">
        <v>3</v>
      </c>
      <c r="B50" t="s">
        <v>26</v>
      </c>
      <c r="C50" s="9" t="s">
        <v>124</v>
      </c>
      <c r="G50" s="9" t="s">
        <v>130</v>
      </c>
    </row>
    <row r="51" spans="1:10">
      <c r="A51" t="s">
        <v>3</v>
      </c>
      <c r="B51" t="s">
        <v>31</v>
      </c>
      <c r="C51" s="9" t="s">
        <v>124</v>
      </c>
      <c r="G51" t="s">
        <v>117</v>
      </c>
    </row>
    <row r="52" spans="1:10">
      <c r="A52" t="s">
        <v>3</v>
      </c>
      <c r="B52" t="s">
        <v>33</v>
      </c>
      <c r="C52" s="9" t="s">
        <v>124</v>
      </c>
      <c r="G52" t="s">
        <v>117</v>
      </c>
    </row>
    <row r="53" spans="1:10">
      <c r="A53" t="s">
        <v>3</v>
      </c>
      <c r="B53" t="s">
        <v>34</v>
      </c>
      <c r="C53" s="9" t="s">
        <v>124</v>
      </c>
      <c r="G53" t="s">
        <v>117</v>
      </c>
    </row>
    <row r="54" spans="1:10">
      <c r="A54" t="s">
        <v>3</v>
      </c>
      <c r="B54" t="s">
        <v>35</v>
      </c>
      <c r="C54" s="9" t="s">
        <v>124</v>
      </c>
      <c r="G54" t="s">
        <v>117</v>
      </c>
    </row>
    <row r="55" spans="1:10">
      <c r="A55" t="s">
        <v>3</v>
      </c>
      <c r="B55" t="s">
        <v>36</v>
      </c>
      <c r="C55" s="9" t="s">
        <v>124</v>
      </c>
      <c r="G55" t="s">
        <v>117</v>
      </c>
    </row>
    <row r="56" spans="1:10">
      <c r="A56" t="s">
        <v>1</v>
      </c>
      <c r="B56" t="s">
        <v>26</v>
      </c>
      <c r="C56" t="s">
        <v>131</v>
      </c>
      <c r="G56" t="s">
        <v>97</v>
      </c>
    </row>
    <row r="57" spans="1:10" ht="45">
      <c r="A57" t="s">
        <v>1</v>
      </c>
      <c r="B57" t="s">
        <v>31</v>
      </c>
      <c r="C57" t="s">
        <v>131</v>
      </c>
      <c r="J57" s="13" t="s">
        <v>132</v>
      </c>
    </row>
    <row r="58" spans="1:10" ht="15.75">
      <c r="A58" t="s">
        <v>1</v>
      </c>
      <c r="B58" t="s">
        <v>33</v>
      </c>
      <c r="C58" t="s">
        <v>131</v>
      </c>
      <c r="J58" s="12" t="s">
        <v>133</v>
      </c>
    </row>
    <row r="59" spans="1:10" ht="15.75">
      <c r="A59" t="s">
        <v>1</v>
      </c>
      <c r="B59" t="s">
        <v>34</v>
      </c>
      <c r="C59" t="s">
        <v>131</v>
      </c>
      <c r="J59" s="12"/>
    </row>
    <row r="60" spans="1:10">
      <c r="A60" t="s">
        <v>1</v>
      </c>
      <c r="B60" t="s">
        <v>35</v>
      </c>
      <c r="C60" t="s">
        <v>131</v>
      </c>
    </row>
    <row r="61" spans="1:10">
      <c r="A61" t="s">
        <v>1</v>
      </c>
      <c r="B61" t="s">
        <v>36</v>
      </c>
      <c r="C61" t="s">
        <v>131</v>
      </c>
    </row>
    <row r="62" spans="1:10">
      <c r="A62" t="s">
        <v>120</v>
      </c>
      <c r="B62" t="s">
        <v>26</v>
      </c>
      <c r="C62" t="s">
        <v>131</v>
      </c>
      <c r="G62" t="s">
        <v>97</v>
      </c>
    </row>
    <row r="63" spans="1:10">
      <c r="A63" t="s">
        <v>120</v>
      </c>
      <c r="B63" t="s">
        <v>31</v>
      </c>
      <c r="C63" t="s">
        <v>131</v>
      </c>
    </row>
    <row r="64" spans="1:10">
      <c r="A64" t="s">
        <v>120</v>
      </c>
      <c r="B64" t="s">
        <v>33</v>
      </c>
      <c r="C64" t="s">
        <v>131</v>
      </c>
    </row>
    <row r="65" spans="1:10">
      <c r="A65" t="s">
        <v>120</v>
      </c>
      <c r="B65" t="s">
        <v>34</v>
      </c>
      <c r="C65" t="s">
        <v>131</v>
      </c>
    </row>
    <row r="66" spans="1:10">
      <c r="A66" t="s">
        <v>120</v>
      </c>
      <c r="B66" t="s">
        <v>35</v>
      </c>
      <c r="C66" t="s">
        <v>131</v>
      </c>
    </row>
    <row r="67" spans="1:10">
      <c r="A67" t="s">
        <v>120</v>
      </c>
      <c r="B67" t="s">
        <v>36</v>
      </c>
      <c r="C67" t="s">
        <v>131</v>
      </c>
    </row>
    <row r="68" spans="1:10">
      <c r="A68" t="s">
        <v>3</v>
      </c>
      <c r="B68" t="s">
        <v>26</v>
      </c>
      <c r="C68" t="s">
        <v>131</v>
      </c>
      <c r="G68" s="15" t="s">
        <v>97</v>
      </c>
    </row>
    <row r="69" spans="1:10">
      <c r="A69" t="s">
        <v>3</v>
      </c>
      <c r="B69" t="s">
        <v>31</v>
      </c>
      <c r="C69" t="s">
        <v>131</v>
      </c>
    </row>
    <row r="70" spans="1:10">
      <c r="A70" t="s">
        <v>3</v>
      </c>
      <c r="B70" t="s">
        <v>33</v>
      </c>
      <c r="C70" t="s">
        <v>131</v>
      </c>
    </row>
    <row r="71" spans="1:10">
      <c r="A71" t="s">
        <v>3</v>
      </c>
      <c r="B71" t="s">
        <v>34</v>
      </c>
      <c r="C71" t="s">
        <v>131</v>
      </c>
    </row>
    <row r="72" spans="1:10">
      <c r="A72" t="s">
        <v>3</v>
      </c>
      <c r="B72" t="s">
        <v>35</v>
      </c>
      <c r="C72" t="s">
        <v>131</v>
      </c>
    </row>
    <row r="73" spans="1:10">
      <c r="A73" t="s">
        <v>3</v>
      </c>
      <c r="B73" t="s">
        <v>36</v>
      </c>
      <c r="C73" t="s">
        <v>131</v>
      </c>
    </row>
    <row r="74" spans="1:10" ht="30">
      <c r="A74" t="s">
        <v>1</v>
      </c>
      <c r="B74" t="s">
        <v>26</v>
      </c>
      <c r="C74" t="s">
        <v>134</v>
      </c>
      <c r="D74" t="s">
        <v>135</v>
      </c>
      <c r="G74" s="12" t="s">
        <v>136</v>
      </c>
      <c r="J74" s="14" t="s">
        <v>137</v>
      </c>
    </row>
    <row r="75" spans="1:10">
      <c r="A75" t="s">
        <v>120</v>
      </c>
      <c r="B75" t="s">
        <v>26</v>
      </c>
      <c r="C75" t="s">
        <v>134</v>
      </c>
      <c r="D75" t="s">
        <v>135</v>
      </c>
      <c r="J75" t="s">
        <v>138</v>
      </c>
    </row>
    <row r="76" spans="1:10">
      <c r="A76" t="s">
        <v>3</v>
      </c>
      <c r="B76" t="s">
        <v>26</v>
      </c>
      <c r="C76" t="s">
        <v>134</v>
      </c>
      <c r="D76" t="s">
        <v>135</v>
      </c>
    </row>
  </sheetData>
  <dataValidations count="3">
    <dataValidation allowBlank="1" showInputMessage="1" showErrorMessage="1" sqref="A1:B1" xr:uid="{BFAED2E7-42FF-47EE-A350-515996667CA3}"/>
    <dataValidation type="list" allowBlank="1" showInputMessage="1" showErrorMessage="1" sqref="A2:A1048576" xr:uid="{765137EE-2B5F-4BF2-8796-3258E42F6754}">
      <formula1>"Nigeria,Ethiopia,India"</formula1>
    </dataValidation>
    <dataValidation type="list" allowBlank="1" showInputMessage="1" showErrorMessage="1" sqref="B2:B1048576" xr:uid="{AF50A314-33A5-4CDD-B699-9855AF398BFC}">
      <formula1>"All,Lowest,Second,Middle,Fourth,Highest"</formula1>
    </dataValidation>
  </dataValidations>
  <hyperlinks>
    <hyperlink ref="G45" r:id="rId1" display="Nigeria DHS survey report " xr:uid="{513CD398-8654-43A3-B0D3-EF6864C930AA}"/>
    <hyperlink ref="G46:G49" r:id="rId2" display="Nigeria DHS survey report " xr:uid="{34F9E535-3975-4C5C-8D77-E9722BFA6225}"/>
    <hyperlink ref="G39" r:id="rId3" xr:uid="{06B6C0C4-FC26-4F5C-B06E-122E4DE075EF}"/>
    <hyperlink ref="G40" r:id="rId4" xr:uid="{550C3172-6960-46C3-95C7-81E9B15D368B}"/>
    <hyperlink ref="G41" r:id="rId5" xr:uid="{C8B26D3E-8760-429F-A760-CB7F83FF9DF2}"/>
    <hyperlink ref="G42" r:id="rId6" xr:uid="{B5E8472C-AC3B-4B57-8F1C-A63E8E531E7F}"/>
    <hyperlink ref="G43" r:id="rId7" xr:uid="{0535A561-0F93-4779-8CA2-CDDC0C5FCE33}"/>
    <hyperlink ref="J74" r:id="rId8" display="There is also some data on stillbirth-to-livebirth ratio among NTDs in the literature, see Blencowe et al 2018. " xr:uid="{B23B7100-069B-49FD-803A-B38F0CF4DD68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9CB81F7-DA81-42CC-AC03-EF2C3CA65234}">
          <x14:formula1>
            <xm:f>'Country Progress'!$A$4:$A$15</xm:f>
          </x14:formula1>
          <xm:sqref>C56:C1048576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519DD-7070-48BB-9F21-242D1E473943}">
  <dimension ref="A1:E4"/>
  <sheetViews>
    <sheetView workbookViewId="0">
      <selection activeCell="A5" sqref="A5:XFD5"/>
    </sheetView>
  </sheetViews>
  <sheetFormatPr defaultRowHeight="15"/>
  <cols>
    <col min="1" max="1" width="52.42578125" bestFit="1" customWidth="1"/>
    <col min="2" max="2" width="12.42578125" bestFit="1" customWidth="1"/>
    <col min="3" max="3" width="9.7109375" bestFit="1" customWidth="1"/>
    <col min="5" max="5" width="29" customWidth="1"/>
  </cols>
  <sheetData>
    <row r="1" spans="1:5">
      <c r="A1" s="3" t="s">
        <v>4</v>
      </c>
      <c r="B1" s="28" t="s">
        <v>5</v>
      </c>
      <c r="C1" s="28" t="s">
        <v>6</v>
      </c>
      <c r="D1" s="29" t="s">
        <v>7</v>
      </c>
      <c r="E1" s="1" t="s">
        <v>25</v>
      </c>
    </row>
    <row r="2" spans="1:5">
      <c r="A2" s="1" t="s">
        <v>11</v>
      </c>
      <c r="B2" s="1"/>
      <c r="C2" s="1"/>
    </row>
    <row r="3" spans="1:5">
      <c r="A3" s="4" t="s">
        <v>139</v>
      </c>
      <c r="B3" t="s">
        <v>83</v>
      </c>
      <c r="C3" t="str">
        <f>IF(COUNTIFS('Vehicle Extraction'!$A$2:$A$904, C$1,  'Vehicle Extraction'!$B$2:$B$904, $A3) = 0, "Missing", "Complete")</f>
        <v>Complete</v>
      </c>
      <c r="D3" t="str">
        <f>IF(COUNTIFS('Vehicle Extraction'!$A$2:$A$904, D$1,  'Vehicle Extraction'!$B$2:$B$904, $A3) = 0, "Missing", "Complete")</f>
        <v>Complete</v>
      </c>
    </row>
    <row r="4" spans="1:5">
      <c r="A4" s="26" t="s">
        <v>140</v>
      </c>
      <c r="B4" t="s">
        <v>83</v>
      </c>
      <c r="C4" t="str">
        <f>IF(COUNTIFS('Vehicle Extraction'!$A$2:$A$904, C$1,  'Vehicle Extraction'!$B$2:$B$904, $A4) = 0, "Missing", "Complete")</f>
        <v>Complete</v>
      </c>
      <c r="D4" t="str">
        <f>IF(COUNTIFS('Vehicle Extraction'!$A$2:$A$904, D$1,  'Vehicle Extraction'!$B$2:$B$904, $A4) = 0, "Missing", "Complete")</f>
        <v>Complete</v>
      </c>
    </row>
  </sheetData>
  <conditionalFormatting sqref="B3:D4">
    <cfRule type="cellIs" dxfId="9" priority="2" operator="equal">
      <formula>"Missing"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8E890-3EB7-493D-B8C3-05E861B2DBA4}">
  <dimension ref="A1:I6"/>
  <sheetViews>
    <sheetView workbookViewId="0">
      <pane ySplit="1" topLeftCell="A2" activePane="bottomLeft" state="frozen"/>
      <selection pane="bottomLeft" activeCell="B9" sqref="B9"/>
    </sheetView>
  </sheetViews>
  <sheetFormatPr defaultRowHeight="15"/>
  <cols>
    <col min="1" max="1" width="8" bestFit="1" customWidth="1"/>
    <col min="2" max="2" width="46.42578125" bestFit="1" customWidth="1"/>
    <col min="3" max="3" width="19" customWidth="1"/>
    <col min="4" max="4" width="18.28515625" customWidth="1"/>
    <col min="6" max="6" width="34.140625" customWidth="1"/>
    <col min="9" max="9" width="50.42578125" customWidth="1"/>
  </cols>
  <sheetData>
    <row r="1" spans="1:9">
      <c r="A1" s="1" t="s">
        <v>4</v>
      </c>
      <c r="B1" s="1" t="s">
        <v>11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25</v>
      </c>
    </row>
    <row r="2" spans="1:9" ht="115.5">
      <c r="A2" t="s">
        <v>7</v>
      </c>
      <c r="B2" t="s">
        <v>139</v>
      </c>
      <c r="C2" t="s">
        <v>141</v>
      </c>
      <c r="D2" t="s">
        <v>142</v>
      </c>
      <c r="E2" t="s">
        <v>143</v>
      </c>
      <c r="F2" t="s">
        <v>144</v>
      </c>
      <c r="G2" s="26">
        <v>3.25</v>
      </c>
      <c r="H2" s="26" t="s">
        <v>145</v>
      </c>
      <c r="I2" s="5" t="s">
        <v>146</v>
      </c>
    </row>
    <row r="3" spans="1:9">
      <c r="A3" t="s">
        <v>5</v>
      </c>
      <c r="B3" t="s">
        <v>139</v>
      </c>
      <c r="C3" t="s">
        <v>141</v>
      </c>
      <c r="D3" t="s">
        <v>142</v>
      </c>
      <c r="E3">
        <v>2021</v>
      </c>
      <c r="F3" t="s">
        <v>147</v>
      </c>
      <c r="G3">
        <v>4.4000000000000004</v>
      </c>
      <c r="H3" t="s">
        <v>148</v>
      </c>
      <c r="I3" s="6" t="s">
        <v>149</v>
      </c>
    </row>
    <row r="4" spans="1:9">
      <c r="A4" t="s">
        <v>6</v>
      </c>
      <c r="B4" t="s">
        <v>139</v>
      </c>
      <c r="C4" t="s">
        <v>141</v>
      </c>
      <c r="D4" t="s">
        <v>142</v>
      </c>
      <c r="E4">
        <v>2012</v>
      </c>
      <c r="F4" t="s">
        <v>150</v>
      </c>
      <c r="G4">
        <v>4.2</v>
      </c>
      <c r="H4" t="s">
        <v>151</v>
      </c>
      <c r="I4" s="6" t="s">
        <v>152</v>
      </c>
    </row>
    <row r="5" spans="1:9">
      <c r="A5" t="s">
        <v>7</v>
      </c>
      <c r="B5" t="s">
        <v>140</v>
      </c>
      <c r="C5" t="s">
        <v>141</v>
      </c>
      <c r="D5" t="s">
        <v>153</v>
      </c>
      <c r="E5">
        <v>2013</v>
      </c>
      <c r="F5" t="s">
        <v>154</v>
      </c>
      <c r="G5">
        <v>16.7</v>
      </c>
      <c r="H5" t="s">
        <v>155</v>
      </c>
      <c r="I5" s="6" t="s">
        <v>156</v>
      </c>
    </row>
    <row r="6" spans="1:9">
      <c r="A6" t="s">
        <v>6</v>
      </c>
      <c r="B6" t="s">
        <v>140</v>
      </c>
      <c r="C6" t="s">
        <v>141</v>
      </c>
      <c r="D6" t="s">
        <v>153</v>
      </c>
      <c r="E6">
        <v>2013</v>
      </c>
      <c r="F6" t="s">
        <v>154</v>
      </c>
      <c r="G6">
        <v>16.7</v>
      </c>
      <c r="H6" t="s">
        <v>155</v>
      </c>
      <c r="I6" s="6" t="s">
        <v>156</v>
      </c>
    </row>
  </sheetData>
  <hyperlinks>
    <hyperlink ref="I3" r:id="rId1" xr:uid="{1A07DE7E-CEF8-4A45-8B80-2E6B6257D363}"/>
    <hyperlink ref="I5:I6" r:id="rId2" display="https://www.bmj.com/content/346/bmj.f3443; study of supplementation at higher doses than fortification; selected the effect among trials &lt;66mg/day as all fortification would fall in this range" xr:uid="{EEC2BE6F-45D0-4ACA-8D78-0FC2C236E376}"/>
    <hyperlink ref="I4" r:id="rId3" xr:uid="{5BDEE022-4637-47E8-BEA0-F92CD82AA408}"/>
    <hyperlink ref="I5" r:id="rId4" xr:uid="{03F0C439-7ABA-431D-AC48-1F28C84F22BC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9C56248-F0D2-4624-936F-5FFD96A34AC8}">
          <x14:formula1>
            <xm:f>'Vehicle Progress'!$B$1:$D$1</xm:f>
          </x14:formula1>
          <xm:sqref>A1:A1048576</xm:sqref>
        </x14:dataValidation>
        <x14:dataValidation type="list" allowBlank="1" showInputMessage="1" showErrorMessage="1" xr:uid="{737D7045-53F3-4045-B44C-FBD385707F8A}">
          <x14:formula1>
            <xm:f>'Vehicle Progress'!$A$3:$A$14</xm:f>
          </x14:formula1>
          <xm:sqref>B1:B1048576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F6A5D-CF80-41BD-979A-295E7564EADB}">
  <dimension ref="A1:I14"/>
  <sheetViews>
    <sheetView workbookViewId="0">
      <selection activeCell="A2" sqref="A2:XFD2"/>
    </sheetView>
  </sheetViews>
  <sheetFormatPr defaultRowHeight="15"/>
  <cols>
    <col min="1" max="1" width="56.42578125" bestFit="1" customWidth="1"/>
    <col min="2" max="2" width="32.28515625" bestFit="1" customWidth="1"/>
    <col min="4" max="4" width="12.42578125" bestFit="1" customWidth="1"/>
    <col min="5" max="5" width="150" bestFit="1" customWidth="1"/>
  </cols>
  <sheetData>
    <row r="1" spans="1:9">
      <c r="A1" s="2" t="s">
        <v>11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2" t="s">
        <v>25</v>
      </c>
      <c r="I1" s="23"/>
    </row>
    <row r="2" spans="1:9">
      <c r="A2" s="26" t="s">
        <v>157</v>
      </c>
      <c r="B2" s="26"/>
      <c r="C2" s="26"/>
      <c r="D2" s="26"/>
      <c r="E2" s="26"/>
      <c r="F2" s="26"/>
      <c r="G2" s="26"/>
      <c r="H2" s="23"/>
      <c r="I2" s="23"/>
    </row>
    <row r="3" spans="1:9">
      <c r="A3" s="26" t="s">
        <v>158</v>
      </c>
      <c r="B3" s="26" t="s">
        <v>159</v>
      </c>
      <c r="C3" s="26" t="s">
        <v>160</v>
      </c>
      <c r="D3" s="26">
        <v>2018</v>
      </c>
      <c r="E3" s="26" t="s">
        <v>161</v>
      </c>
      <c r="F3" s="26">
        <v>4.3</v>
      </c>
      <c r="G3" s="26" t="s">
        <v>162</v>
      </c>
      <c r="H3" s="24" t="s">
        <v>163</v>
      </c>
      <c r="I3" s="23"/>
    </row>
    <row r="4" spans="1:9">
      <c r="A4" s="26" t="s">
        <v>164</v>
      </c>
      <c r="B4" s="26" t="s">
        <v>165</v>
      </c>
      <c r="C4" s="26" t="s">
        <v>166</v>
      </c>
      <c r="D4" s="26">
        <v>2015</v>
      </c>
      <c r="E4" s="25" t="s">
        <v>167</v>
      </c>
      <c r="F4" s="26">
        <v>6</v>
      </c>
      <c r="G4" s="27" t="s">
        <v>168</v>
      </c>
      <c r="H4" s="23"/>
      <c r="I4" s="23"/>
    </row>
    <row r="5" spans="1:9">
      <c r="A5" s="26" t="s">
        <v>169</v>
      </c>
      <c r="B5" s="26"/>
      <c r="C5" s="26"/>
      <c r="D5" s="26"/>
      <c r="E5" s="26"/>
      <c r="F5" s="26"/>
      <c r="G5" s="26"/>
      <c r="H5" s="23"/>
      <c r="I5" s="23"/>
    </row>
    <row r="6" spans="1:9">
      <c r="A6" s="26" t="s">
        <v>170</v>
      </c>
      <c r="B6" s="26" t="s">
        <v>171</v>
      </c>
      <c r="C6" s="26"/>
      <c r="D6" s="26"/>
      <c r="E6" s="26" t="s">
        <v>172</v>
      </c>
      <c r="F6" s="26" t="s">
        <v>173</v>
      </c>
      <c r="G6" s="26"/>
      <c r="H6" s="23"/>
      <c r="I6" s="23"/>
    </row>
    <row r="7" spans="1:9">
      <c r="A7" s="26" t="s">
        <v>170</v>
      </c>
      <c r="B7" s="26" t="s">
        <v>171</v>
      </c>
      <c r="C7" s="26"/>
      <c r="D7" s="26"/>
      <c r="E7" s="26" t="s">
        <v>174</v>
      </c>
      <c r="F7" s="26" t="s">
        <v>175</v>
      </c>
      <c r="G7" s="26"/>
      <c r="H7" s="23"/>
      <c r="I7" s="23"/>
    </row>
    <row r="8" spans="1:9">
      <c r="A8" s="26" t="s">
        <v>176</v>
      </c>
      <c r="B8" s="26" t="s">
        <v>135</v>
      </c>
      <c r="C8" s="26"/>
      <c r="D8" s="26"/>
      <c r="E8" s="26" t="s">
        <v>177</v>
      </c>
      <c r="F8" s="26" t="s">
        <v>178</v>
      </c>
      <c r="G8" s="26"/>
      <c r="H8" s="23" t="s">
        <v>179</v>
      </c>
      <c r="I8" s="23"/>
    </row>
    <row r="9" spans="1:9">
      <c r="A9" s="23"/>
      <c r="B9" s="23"/>
      <c r="C9" s="23"/>
      <c r="D9" s="23"/>
      <c r="E9" s="23"/>
      <c r="F9" s="23"/>
      <c r="G9" s="23"/>
      <c r="H9" s="23"/>
      <c r="I9" s="23"/>
    </row>
    <row r="10" spans="1:9">
      <c r="A10" s="23"/>
      <c r="B10" s="23"/>
      <c r="C10" s="23"/>
      <c r="D10" s="23"/>
      <c r="E10" s="23"/>
      <c r="F10" s="23"/>
      <c r="G10" s="23"/>
      <c r="H10" s="23"/>
      <c r="I10" s="23"/>
    </row>
    <row r="11" spans="1:9">
      <c r="A11" s="23"/>
      <c r="B11" s="23"/>
      <c r="C11" s="23"/>
      <c r="D11" s="23"/>
      <c r="E11" s="23"/>
      <c r="F11" s="23"/>
      <c r="G11" s="23"/>
      <c r="H11" s="23"/>
      <c r="I11" s="23"/>
    </row>
    <row r="12" spans="1:9">
      <c r="A12" s="23"/>
      <c r="B12" s="23"/>
      <c r="C12" s="23"/>
      <c r="D12" s="23"/>
      <c r="E12" s="23"/>
      <c r="F12" s="23"/>
      <c r="G12" s="23"/>
      <c r="H12" s="23"/>
      <c r="I12" s="23"/>
    </row>
    <row r="13" spans="1:9">
      <c r="A13" s="23"/>
      <c r="B13" s="23"/>
      <c r="C13" s="23"/>
      <c r="D13" s="23"/>
      <c r="E13" s="23"/>
      <c r="F13" s="23"/>
      <c r="G13" s="23"/>
      <c r="H13" s="23"/>
      <c r="I13" s="23"/>
    </row>
    <row r="14" spans="1:9">
      <c r="A14" s="23"/>
      <c r="B14" s="23"/>
      <c r="C14" s="23"/>
      <c r="D14" s="23"/>
      <c r="E14" s="23"/>
      <c r="F14" s="23"/>
      <c r="G14" s="23"/>
      <c r="H14" s="23"/>
      <c r="I14" s="23"/>
    </row>
  </sheetData>
  <hyperlinks>
    <hyperlink ref="H3" r:id="rId1" xr:uid="{FDE72B2B-A146-4C1B-9009-576F84C9D016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86F86-0F1B-4E3A-8BF6-0236059233BB}">
  <dimension ref="A1:G8"/>
  <sheetViews>
    <sheetView workbookViewId="0">
      <selection activeCell="G6" sqref="G6"/>
    </sheetView>
  </sheetViews>
  <sheetFormatPr defaultRowHeight="15"/>
  <cols>
    <col min="1" max="1" width="52.42578125" bestFit="1" customWidth="1"/>
    <col min="2" max="2" width="21" bestFit="1" customWidth="1"/>
    <col min="3" max="3" width="22.28515625" bestFit="1" customWidth="1"/>
    <col min="4" max="7" width="11.42578125" bestFit="1" customWidth="1"/>
  </cols>
  <sheetData>
    <row r="1" spans="1:7">
      <c r="A1" s="3" t="s">
        <v>0</v>
      </c>
      <c r="B1" s="32" t="s">
        <v>1</v>
      </c>
      <c r="C1" s="32"/>
      <c r="D1" s="32" t="s">
        <v>2</v>
      </c>
      <c r="E1" s="32"/>
      <c r="F1" s="32" t="s">
        <v>3</v>
      </c>
      <c r="G1" s="32"/>
    </row>
    <row r="2" spans="1:7">
      <c r="A2" s="3" t="s">
        <v>4</v>
      </c>
      <c r="B2" s="32" t="s">
        <v>5</v>
      </c>
      <c r="C2" s="32"/>
      <c r="D2" s="32" t="s">
        <v>6</v>
      </c>
      <c r="E2" s="32"/>
      <c r="F2" s="32" t="s">
        <v>7</v>
      </c>
      <c r="G2" s="32"/>
    </row>
    <row r="3" spans="1:7">
      <c r="A3" s="3" t="s">
        <v>78</v>
      </c>
      <c r="B3" s="32" t="s">
        <v>79</v>
      </c>
      <c r="C3" s="32"/>
      <c r="D3" s="28" t="s">
        <v>79</v>
      </c>
      <c r="E3" s="28" t="s">
        <v>80</v>
      </c>
      <c r="F3" s="28" t="s">
        <v>79</v>
      </c>
      <c r="G3" s="28" t="s">
        <v>80</v>
      </c>
    </row>
    <row r="4" spans="1:7">
      <c r="A4" s="30" t="s">
        <v>180</v>
      </c>
      <c r="B4" s="31" t="s">
        <v>181</v>
      </c>
      <c r="C4" s="31" t="s">
        <v>182</v>
      </c>
      <c r="D4" s="31" t="s">
        <v>183</v>
      </c>
      <c r="E4" s="31" t="s">
        <v>183</v>
      </c>
      <c r="F4" s="31" t="s">
        <v>183</v>
      </c>
      <c r="G4" s="31" t="s">
        <v>183</v>
      </c>
    </row>
    <row r="5" spans="1:7">
      <c r="A5" s="1" t="s">
        <v>11</v>
      </c>
      <c r="B5" s="1"/>
      <c r="C5" s="1"/>
      <c r="D5" s="1"/>
      <c r="F5" s="1"/>
    </row>
    <row r="6" spans="1:7">
      <c r="A6" t="s">
        <v>184</v>
      </c>
      <c r="B6" t="str">
        <f>IF(COUNTIFS('Scenario Definition Extraction'!$A$2:$A$991, B$1,  'Scenario Definition Extraction'!$B$2:$B$991, B$2,  'Scenario Definition Extraction'!$C$2:$C$991, B$3, 'Scenario Definition Extraction'!$D$2:$D$991, B$4, 'Scenario Definition Extraction'!$E$2:$E$991, $A6) = 0, "Missing", "Complete")</f>
        <v>Complete</v>
      </c>
      <c r="C6" t="str">
        <f>IF(COUNTIFS('Scenario Definition Extraction'!$A$2:$A$991, B$1,  'Scenario Definition Extraction'!$B$2:$B$991, B$2,  'Scenario Definition Extraction'!$C$2:$C$991, B$3, 'Scenario Definition Extraction'!$D$2:$D$991, C$4, 'Scenario Definition Extraction'!$E$2:$E$991, $A6) = 0, "Missing", "Complete")</f>
        <v>Complete</v>
      </c>
      <c r="D6" t="str">
        <f>IF(COUNTIFS('Scenario Definition Extraction'!$A$2:$A$991, D$1,  'Scenario Definition Extraction'!$B$2:$B$991, D$2,  'Scenario Definition Extraction'!$C$2:$C$991, D$3, 'Scenario Definition Extraction'!$D$2:$D$991, D$4, 'Scenario Definition Extraction'!$E$2:$E$991, $A6) = 0, "Missing", "Complete")</f>
        <v>Complete</v>
      </c>
      <c r="E6" t="str">
        <f>IF(COUNTIFS('Scenario Definition Extraction'!$A$2:$A$991, D$1,  'Scenario Definition Extraction'!$B$2:$B$991, D$2,  'Scenario Definition Extraction'!$C$2:$C$991, E$3, 'Scenario Definition Extraction'!$D$2:$D$991, E$4, 'Scenario Definition Extraction'!$E$2:$E$991, $A6) = 0, "Missing", "Complete")</f>
        <v>Complete</v>
      </c>
      <c r="F6" t="str">
        <f>IF(COUNTIFS('Scenario Definition Extraction'!$A$2:$A$991, F$1,  'Scenario Definition Extraction'!$B$2:$B$991, F$2,  'Scenario Definition Extraction'!$C$2:$C$991, F$3, 'Scenario Definition Extraction'!$D$2:$D$991, F$4, 'Scenario Definition Extraction'!$E$2:$E$991, $A6) = 0, "Missing", "Complete")</f>
        <v>Complete</v>
      </c>
      <c r="G6" t="str">
        <f>IF(COUNTIFS('Scenario Definition Extraction'!$A$2:$A$991, F$1,  'Scenario Definition Extraction'!$B$2:$B$991, F$2,  'Scenario Definition Extraction'!$C$2:$C$991, G$3, 'Scenario Definition Extraction'!$D$2:$D$991, G$4, 'Scenario Definition Extraction'!$E$2:$E$991, $A6) = 0, "Missing", "Complete")</f>
        <v>Complete</v>
      </c>
    </row>
    <row r="7" spans="1:7">
      <c r="A7" t="s">
        <v>185</v>
      </c>
      <c r="B7" t="str">
        <f>IF(COUNTIFS('Scenario Definition Extraction'!$A$2:$A$991, B$1,  'Scenario Definition Extraction'!$B$2:$B$991, B$2,  'Scenario Definition Extraction'!$C$2:$C$991, B$3, 'Scenario Definition Extraction'!$D$2:$D$991, B$4, 'Scenario Definition Extraction'!$E$2:$E$991, $A7) = 0, "Missing", "Complete")</f>
        <v>Complete</v>
      </c>
      <c r="C7" t="str">
        <f>IF(COUNTIFS('Scenario Definition Extraction'!$A$2:$A$991, B$1,  'Scenario Definition Extraction'!$B$2:$B$991, B$2,  'Scenario Definition Extraction'!$C$2:$C$991, B$3, 'Scenario Definition Extraction'!$D$2:$D$991, C$4, 'Scenario Definition Extraction'!$E$2:$E$991, $A7) = 0, "Missing", "Complete")</f>
        <v>Complete</v>
      </c>
      <c r="D7" t="str">
        <f>IF(COUNTIFS('Scenario Definition Extraction'!$A$2:$A$991, D$1,  'Scenario Definition Extraction'!$B$2:$B$991, D$2,  'Scenario Definition Extraction'!$C$2:$C$991, D$3, 'Scenario Definition Extraction'!$D$2:$D$991, D$4, 'Scenario Definition Extraction'!$E$2:$E$991, $A7) = 0, "Missing", "Complete")</f>
        <v>Complete</v>
      </c>
      <c r="E7" t="str">
        <f>IF(COUNTIFS('Scenario Definition Extraction'!$A$2:$A$991, D$1,  'Scenario Definition Extraction'!$B$2:$B$991, D$2,  'Scenario Definition Extraction'!$C$2:$C$991, E$3, 'Scenario Definition Extraction'!$D$2:$D$991, E$4, 'Scenario Definition Extraction'!$E$2:$E$991, $A7) = 0, "Missing", "Complete")</f>
        <v>Complete</v>
      </c>
      <c r="F7" t="str">
        <f>IF(COUNTIFS('Scenario Definition Extraction'!$A$2:$A$991, F$1,  'Scenario Definition Extraction'!$B$2:$B$991, F$2,  'Scenario Definition Extraction'!$C$2:$C$991, F$3, 'Scenario Definition Extraction'!$D$2:$D$991, F$4, 'Scenario Definition Extraction'!$E$2:$E$991, $A7) = 0, "Missing", "Complete")</f>
        <v>Complete</v>
      </c>
      <c r="G7" t="str">
        <f>IF(COUNTIFS('Scenario Definition Extraction'!$A$2:$A$991, F$1,  'Scenario Definition Extraction'!$B$2:$B$991, F$2,  'Scenario Definition Extraction'!$C$2:$C$991, G$3, 'Scenario Definition Extraction'!$D$2:$D$991, G$4, 'Scenario Definition Extraction'!$E$2:$E$991, $A7) = 0, "Missing", "Complete")</f>
        <v>Complete</v>
      </c>
    </row>
    <row r="8" spans="1:7">
      <c r="A8" t="s">
        <v>186</v>
      </c>
      <c r="B8" t="str">
        <f>IF(COUNTIFS('Scenario Definition Extraction'!$A$2:$A$991, B$1,  'Scenario Definition Extraction'!$B$2:$B$991, B$2,  'Scenario Definition Extraction'!$C$2:$C$991, B$3, 'Scenario Definition Extraction'!$D$2:$D$991, B$4, 'Scenario Definition Extraction'!$E$2:$E$991, $A8) = 0, "Missing", "Complete")</f>
        <v>Complete</v>
      </c>
      <c r="C8" t="str">
        <f>IF(COUNTIFS('Scenario Definition Extraction'!$A$2:$A$991, B$1,  'Scenario Definition Extraction'!$B$2:$B$991, B$2,  'Scenario Definition Extraction'!$C$2:$C$991, B$3, 'Scenario Definition Extraction'!$D$2:$D$991, C$4, 'Scenario Definition Extraction'!$E$2:$E$991, $A8) = 0, "Missing", "Complete")</f>
        <v>Complete</v>
      </c>
      <c r="D8" t="str">
        <f>IF(COUNTIFS('Scenario Definition Extraction'!$A$2:$A$991, D$1,  'Scenario Definition Extraction'!$B$2:$B$991, D$2,  'Scenario Definition Extraction'!$C$2:$C$991, D$3, 'Scenario Definition Extraction'!$D$2:$D$991, D$4, 'Scenario Definition Extraction'!$E$2:$E$991, $A8) = 0, "Missing", "Complete")</f>
        <v>Complete</v>
      </c>
      <c r="E8" t="str">
        <f>IF(COUNTIFS('Scenario Definition Extraction'!$A$2:$A$991, D$1,  'Scenario Definition Extraction'!$B$2:$B$991, D$2,  'Scenario Definition Extraction'!$C$2:$C$991, E$3, 'Scenario Definition Extraction'!$D$2:$D$991, E$4, 'Scenario Definition Extraction'!$E$2:$E$991, $A8) = 0, "Missing", "Complete")</f>
        <v>Complete</v>
      </c>
      <c r="F8" t="str">
        <f>IF(COUNTIFS('Scenario Definition Extraction'!$A$2:$A$991, F$1,  'Scenario Definition Extraction'!$B$2:$B$991, F$2,  'Scenario Definition Extraction'!$C$2:$C$991, F$3, 'Scenario Definition Extraction'!$D$2:$D$991, F$4, 'Scenario Definition Extraction'!$E$2:$E$991, $A8) = 0, "Missing", "Complete")</f>
        <v>Complete</v>
      </c>
      <c r="G8" t="str">
        <f>IF(COUNTIFS('Scenario Definition Extraction'!$A$2:$A$991, F$1,  'Scenario Definition Extraction'!$B$2:$B$991, F$2,  'Scenario Definition Extraction'!$C$2:$C$991, G$3, 'Scenario Definition Extraction'!$D$2:$D$991, G$4, 'Scenario Definition Extraction'!$E$2:$E$991, $A8) = 0, "Missing", "Complete")</f>
        <v>Complete</v>
      </c>
    </row>
  </sheetData>
  <mergeCells count="7">
    <mergeCell ref="F1:G1"/>
    <mergeCell ref="F2:G2"/>
    <mergeCell ref="B3:C3"/>
    <mergeCell ref="B1:C1"/>
    <mergeCell ref="D1:E1"/>
    <mergeCell ref="B2:C2"/>
    <mergeCell ref="D2:E2"/>
  </mergeCells>
  <conditionalFormatting sqref="F6:F8">
    <cfRule type="cellIs" dxfId="8" priority="10" operator="equal">
      <formula>"Missing"</formula>
    </cfRule>
  </conditionalFormatting>
  <conditionalFormatting sqref="F8">
    <cfRule type="cellIs" dxfId="7" priority="9" operator="equal">
      <formula>"Missing"</formula>
    </cfRule>
  </conditionalFormatting>
  <conditionalFormatting sqref="G6:G8">
    <cfRule type="cellIs" dxfId="6" priority="7" operator="equal">
      <formula>"Missing"</formula>
    </cfRule>
  </conditionalFormatting>
  <conditionalFormatting sqref="B6:B8">
    <cfRule type="cellIs" dxfId="5" priority="6" operator="equal">
      <formula>"Missing"</formula>
    </cfRule>
  </conditionalFormatting>
  <conditionalFormatting sqref="B8">
    <cfRule type="cellIs" dxfId="4" priority="5" operator="equal">
      <formula>"Missing"</formula>
    </cfRule>
  </conditionalFormatting>
  <conditionalFormatting sqref="C6:C8">
    <cfRule type="cellIs" dxfId="3" priority="4" operator="equal">
      <formula>"Missing"</formula>
    </cfRule>
  </conditionalFormatting>
  <conditionalFormatting sqref="D6:D8">
    <cfRule type="cellIs" dxfId="2" priority="3" operator="equal">
      <formula>"Missing"</formula>
    </cfRule>
  </conditionalFormatting>
  <conditionalFormatting sqref="D8">
    <cfRule type="cellIs" dxfId="1" priority="2" operator="equal">
      <formula>"Missing"</formula>
    </cfRule>
  </conditionalFormatting>
  <conditionalFormatting sqref="E6:E8">
    <cfRule type="cellIs" dxfId="0" priority="1" operator="equal">
      <formula>"Missing"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B3B46-8F2E-4C67-A115-D7583B1B84DB}">
  <dimension ref="A1:J19"/>
  <sheetViews>
    <sheetView workbookViewId="0">
      <pane ySplit="1" topLeftCell="A2" activePane="bottomLeft" state="frozen"/>
      <selection pane="bottomLeft" activeCell="F15" sqref="F15:F19"/>
    </sheetView>
  </sheetViews>
  <sheetFormatPr defaultRowHeight="15"/>
  <cols>
    <col min="1" max="1" width="8" bestFit="1" customWidth="1"/>
    <col min="3" max="3" width="10.28515625" bestFit="1" customWidth="1"/>
    <col min="4" max="4" width="26.7109375" customWidth="1"/>
    <col min="5" max="5" width="52.7109375" bestFit="1" customWidth="1"/>
    <col min="6" max="6" width="19" customWidth="1"/>
    <col min="8" max="8" width="21.140625" bestFit="1" customWidth="1"/>
    <col min="10" max="10" width="50.42578125" customWidth="1"/>
  </cols>
  <sheetData>
    <row r="1" spans="1:10">
      <c r="A1" s="1" t="s">
        <v>0</v>
      </c>
      <c r="B1" s="1" t="s">
        <v>4</v>
      </c>
      <c r="C1" s="1" t="s">
        <v>78</v>
      </c>
      <c r="D1" s="1" t="s">
        <v>180</v>
      </c>
      <c r="E1" s="1" t="s">
        <v>11</v>
      </c>
      <c r="F1" s="1" t="s">
        <v>18</v>
      </c>
      <c r="G1" s="1" t="s">
        <v>19</v>
      </c>
      <c r="H1" s="1" t="s">
        <v>21</v>
      </c>
      <c r="I1" s="1" t="s">
        <v>22</v>
      </c>
      <c r="J1" s="1" t="s">
        <v>25</v>
      </c>
    </row>
    <row r="2" spans="1:10">
      <c r="A2" t="s">
        <v>2</v>
      </c>
      <c r="B2" t="s">
        <v>6</v>
      </c>
      <c r="C2" t="s">
        <v>80</v>
      </c>
      <c r="D2" t="s">
        <v>183</v>
      </c>
      <c r="E2" t="s">
        <v>185</v>
      </c>
      <c r="F2" t="s">
        <v>27</v>
      </c>
      <c r="G2" t="s">
        <v>28</v>
      </c>
      <c r="H2" t="s">
        <v>187</v>
      </c>
      <c r="I2" s="7">
        <v>0.8</v>
      </c>
      <c r="J2" t="s">
        <v>188</v>
      </c>
    </row>
    <row r="3" spans="1:10">
      <c r="A3" t="s">
        <v>2</v>
      </c>
      <c r="B3" t="s">
        <v>6</v>
      </c>
      <c r="C3" t="s">
        <v>79</v>
      </c>
      <c r="D3" t="s">
        <v>183</v>
      </c>
      <c r="E3" t="s">
        <v>185</v>
      </c>
      <c r="F3" t="s">
        <v>27</v>
      </c>
      <c r="G3" t="s">
        <v>28</v>
      </c>
      <c r="H3" t="s">
        <v>187</v>
      </c>
      <c r="I3" s="7">
        <v>0.8</v>
      </c>
      <c r="J3" t="s">
        <v>188</v>
      </c>
    </row>
    <row r="4" spans="1:10">
      <c r="A4" t="s">
        <v>1</v>
      </c>
      <c r="B4" t="s">
        <v>5</v>
      </c>
      <c r="C4" t="s">
        <v>79</v>
      </c>
      <c r="D4" t="s">
        <v>181</v>
      </c>
      <c r="E4" t="s">
        <v>185</v>
      </c>
      <c r="F4" t="s">
        <v>27</v>
      </c>
      <c r="G4" t="s">
        <v>28</v>
      </c>
      <c r="H4" t="s">
        <v>187</v>
      </c>
      <c r="I4" s="7">
        <v>0.8</v>
      </c>
      <c r="J4" t="s">
        <v>188</v>
      </c>
    </row>
    <row r="5" spans="1:10">
      <c r="A5" t="s">
        <v>1</v>
      </c>
      <c r="B5" t="s">
        <v>5</v>
      </c>
      <c r="C5" t="s">
        <v>79</v>
      </c>
      <c r="D5" t="s">
        <v>182</v>
      </c>
      <c r="E5" t="s">
        <v>185</v>
      </c>
      <c r="F5" t="s">
        <v>27</v>
      </c>
      <c r="G5" t="s">
        <v>28</v>
      </c>
      <c r="H5" t="s">
        <v>187</v>
      </c>
      <c r="I5" s="7">
        <v>0.8</v>
      </c>
      <c r="J5" t="s">
        <v>188</v>
      </c>
    </row>
    <row r="6" spans="1:10">
      <c r="A6" t="s">
        <v>3</v>
      </c>
      <c r="B6" t="s">
        <v>7</v>
      </c>
      <c r="C6" t="s">
        <v>80</v>
      </c>
      <c r="D6" t="s">
        <v>183</v>
      </c>
      <c r="E6" t="s">
        <v>185</v>
      </c>
      <c r="F6" t="s">
        <v>27</v>
      </c>
      <c r="G6" t="s">
        <v>28</v>
      </c>
      <c r="H6" t="s">
        <v>187</v>
      </c>
      <c r="I6" s="7">
        <v>0.8</v>
      </c>
      <c r="J6" t="s">
        <v>188</v>
      </c>
    </row>
    <row r="7" spans="1:10">
      <c r="A7" t="s">
        <v>3</v>
      </c>
      <c r="B7" t="s">
        <v>7</v>
      </c>
      <c r="C7" t="s">
        <v>79</v>
      </c>
      <c r="D7" t="s">
        <v>183</v>
      </c>
      <c r="E7" t="s">
        <v>185</v>
      </c>
      <c r="F7" t="s">
        <v>27</v>
      </c>
      <c r="G7" t="s">
        <v>28</v>
      </c>
      <c r="H7" t="s">
        <v>187</v>
      </c>
      <c r="I7" s="7">
        <v>0.8</v>
      </c>
      <c r="J7" t="s">
        <v>188</v>
      </c>
    </row>
    <row r="8" spans="1:10">
      <c r="A8" t="s">
        <v>2</v>
      </c>
      <c r="B8" t="s">
        <v>6</v>
      </c>
      <c r="C8" t="s">
        <v>80</v>
      </c>
      <c r="D8" t="s">
        <v>183</v>
      </c>
      <c r="E8" t="s">
        <v>186</v>
      </c>
      <c r="F8" t="s">
        <v>27</v>
      </c>
      <c r="G8" t="s">
        <v>28</v>
      </c>
      <c r="H8" t="s">
        <v>187</v>
      </c>
      <c r="I8" s="7">
        <v>0.8</v>
      </c>
      <c r="J8" t="s">
        <v>188</v>
      </c>
    </row>
    <row r="9" spans="1:10">
      <c r="A9" t="s">
        <v>2</v>
      </c>
      <c r="B9" t="s">
        <v>6</v>
      </c>
      <c r="C9" t="s">
        <v>79</v>
      </c>
      <c r="D9" t="s">
        <v>183</v>
      </c>
      <c r="E9" t="s">
        <v>186</v>
      </c>
      <c r="F9" t="s">
        <v>27</v>
      </c>
      <c r="G9" t="s">
        <v>28</v>
      </c>
      <c r="H9" t="s">
        <v>187</v>
      </c>
      <c r="I9" s="7">
        <v>0.8</v>
      </c>
      <c r="J9" t="s">
        <v>188</v>
      </c>
    </row>
    <row r="10" spans="1:10">
      <c r="A10" t="s">
        <v>1</v>
      </c>
      <c r="B10" t="s">
        <v>5</v>
      </c>
      <c r="C10" t="s">
        <v>79</v>
      </c>
      <c r="D10" t="s">
        <v>181</v>
      </c>
      <c r="E10" t="s">
        <v>186</v>
      </c>
      <c r="F10" t="s">
        <v>27</v>
      </c>
      <c r="G10" t="s">
        <v>28</v>
      </c>
      <c r="H10" t="s">
        <v>187</v>
      </c>
      <c r="I10" s="7">
        <v>0.8</v>
      </c>
      <c r="J10" t="s">
        <v>188</v>
      </c>
    </row>
    <row r="11" spans="1:10">
      <c r="A11" t="s">
        <v>1</v>
      </c>
      <c r="B11" t="s">
        <v>5</v>
      </c>
      <c r="C11" t="s">
        <v>79</v>
      </c>
      <c r="D11" t="s">
        <v>182</v>
      </c>
      <c r="E11" t="s">
        <v>186</v>
      </c>
      <c r="F11" t="s">
        <v>27</v>
      </c>
      <c r="G11" t="s">
        <v>28</v>
      </c>
      <c r="H11" t="s">
        <v>187</v>
      </c>
      <c r="I11" s="7">
        <v>0.8</v>
      </c>
      <c r="J11" t="s">
        <v>188</v>
      </c>
    </row>
    <row r="12" spans="1:10">
      <c r="A12" t="s">
        <v>3</v>
      </c>
      <c r="B12" t="s">
        <v>7</v>
      </c>
      <c r="C12" t="s">
        <v>80</v>
      </c>
      <c r="D12" t="s">
        <v>183</v>
      </c>
      <c r="E12" t="s">
        <v>186</v>
      </c>
      <c r="F12" t="s">
        <v>27</v>
      </c>
      <c r="G12" t="s">
        <v>28</v>
      </c>
      <c r="H12" t="s">
        <v>187</v>
      </c>
      <c r="I12" s="7">
        <v>0.8</v>
      </c>
      <c r="J12" t="s">
        <v>188</v>
      </c>
    </row>
    <row r="13" spans="1:10">
      <c r="A13" t="s">
        <v>3</v>
      </c>
      <c r="B13" t="s">
        <v>7</v>
      </c>
      <c r="C13" t="s">
        <v>79</v>
      </c>
      <c r="D13" t="s">
        <v>183</v>
      </c>
      <c r="E13" t="s">
        <v>186</v>
      </c>
      <c r="F13" t="s">
        <v>27</v>
      </c>
      <c r="G13" t="s">
        <v>28</v>
      </c>
      <c r="H13" t="s">
        <v>187</v>
      </c>
      <c r="I13" s="7">
        <v>0.8</v>
      </c>
      <c r="J13" t="s">
        <v>188</v>
      </c>
    </row>
    <row r="14" spans="1:10">
      <c r="A14" t="s">
        <v>2</v>
      </c>
      <c r="B14" t="s">
        <v>6</v>
      </c>
      <c r="C14" t="s">
        <v>80</v>
      </c>
      <c r="D14" t="s">
        <v>183</v>
      </c>
      <c r="E14" t="s">
        <v>184</v>
      </c>
      <c r="F14" t="s">
        <v>86</v>
      </c>
      <c r="G14" t="s">
        <v>87</v>
      </c>
      <c r="H14" t="s">
        <v>187</v>
      </c>
      <c r="I14">
        <v>840</v>
      </c>
      <c r="J14" t="s">
        <v>189</v>
      </c>
    </row>
    <row r="15" spans="1:10">
      <c r="A15" t="s">
        <v>2</v>
      </c>
      <c r="B15" t="s">
        <v>6</v>
      </c>
      <c r="C15" t="s">
        <v>79</v>
      </c>
      <c r="D15" t="s">
        <v>183</v>
      </c>
      <c r="E15" t="s">
        <v>184</v>
      </c>
      <c r="F15" t="s">
        <v>86</v>
      </c>
      <c r="G15" t="s">
        <v>87</v>
      </c>
      <c r="H15" t="s">
        <v>187</v>
      </c>
      <c r="I15">
        <v>24</v>
      </c>
      <c r="J15" t="s">
        <v>190</v>
      </c>
    </row>
    <row r="16" spans="1:10">
      <c r="A16" t="s">
        <v>1</v>
      </c>
      <c r="B16" t="s">
        <v>5</v>
      </c>
      <c r="C16" t="s">
        <v>79</v>
      </c>
      <c r="D16" t="s">
        <v>181</v>
      </c>
      <c r="E16" t="s">
        <v>184</v>
      </c>
      <c r="F16" t="s">
        <v>86</v>
      </c>
      <c r="G16" t="s">
        <v>87</v>
      </c>
      <c r="H16" t="s">
        <v>187</v>
      </c>
      <c r="I16">
        <v>14.084507042253522</v>
      </c>
      <c r="J16" t="s">
        <v>191</v>
      </c>
    </row>
    <row r="17" spans="1:10">
      <c r="A17" t="s">
        <v>1</v>
      </c>
      <c r="B17" t="s">
        <v>5</v>
      </c>
      <c r="C17" t="s">
        <v>79</v>
      </c>
      <c r="D17" t="s">
        <v>182</v>
      </c>
      <c r="E17" t="s">
        <v>184</v>
      </c>
      <c r="F17" t="s">
        <v>86</v>
      </c>
      <c r="G17" t="s">
        <v>87</v>
      </c>
      <c r="H17" t="s">
        <v>187</v>
      </c>
      <c r="I17">
        <v>56.338028169014088</v>
      </c>
      <c r="J17" t="s">
        <v>192</v>
      </c>
    </row>
    <row r="18" spans="1:10">
      <c r="A18" t="s">
        <v>3</v>
      </c>
      <c r="B18" t="s">
        <v>7</v>
      </c>
      <c r="C18" t="s">
        <v>80</v>
      </c>
      <c r="D18" t="s">
        <v>183</v>
      </c>
      <c r="E18" t="s">
        <v>184</v>
      </c>
      <c r="F18" t="s">
        <v>86</v>
      </c>
      <c r="G18" t="s">
        <v>87</v>
      </c>
      <c r="H18" t="s">
        <v>193</v>
      </c>
      <c r="I18">
        <v>42.5</v>
      </c>
      <c r="J18" t="s">
        <v>194</v>
      </c>
    </row>
    <row r="19" spans="1:10">
      <c r="A19" t="s">
        <v>3</v>
      </c>
      <c r="B19" t="s">
        <v>7</v>
      </c>
      <c r="C19" t="s">
        <v>79</v>
      </c>
      <c r="D19" t="s">
        <v>183</v>
      </c>
      <c r="E19" t="s">
        <v>184</v>
      </c>
      <c r="F19" t="s">
        <v>86</v>
      </c>
      <c r="G19" t="s">
        <v>87</v>
      </c>
      <c r="H19" t="s">
        <v>193</v>
      </c>
      <c r="I19">
        <v>0.125</v>
      </c>
      <c r="J19" t="s">
        <v>194</v>
      </c>
    </row>
  </sheetData>
  <dataValidations count="4">
    <dataValidation allowBlank="1" showInputMessage="1" showErrorMessage="1" sqref="A1:B1" xr:uid="{998163E2-1EA2-4797-843A-F967F70AD818}"/>
    <dataValidation type="list" allowBlank="1" showInputMessage="1" showErrorMessage="1" sqref="A2:A1048576" xr:uid="{FB33DD5A-6B57-46A5-BB2A-AA6288CEC89B}">
      <formula1>"Nigeria,Ethiopia,India"</formula1>
    </dataValidation>
    <dataValidation type="list" allowBlank="1" showInputMessage="1" showErrorMessage="1" sqref="C2:C1048576" xr:uid="{F3C46A3E-480B-414E-9BED-789067E5B989}">
      <formula1>"Iron,Folate"</formula1>
    </dataValidation>
    <dataValidation type="list" allowBlank="1" showInputMessage="1" showErrorMessage="1" sqref="B2:B1048576" xr:uid="{00A36EFF-AF0D-4A67-8515-69D79E1937B6}">
      <formula1>"Bouillon,Salt,Rice"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123CD3D-CC9F-4D7A-A7DB-D0A62C390907}">
          <x14:formula1>
            <xm:f>'Scenario Definition Progress'!$A$6:$A$29</xm:f>
          </x14:formula1>
          <xm:sqref>E1:E1048576</xm:sqref>
        </x14:dataValidation>
        <x14:dataValidation type="list" allowBlank="1" showInputMessage="1" showErrorMessage="1" xr:uid="{1237FDC8-82EB-4B1F-9280-B2359248B6FE}">
          <x14:formula1>
            <xm:f>'Scenario Definition Progress'!$B$4:$G$4</xm:f>
          </x14:formula1>
          <xm:sqref>D1:D1048576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B00F0-B806-4CE9-A08D-6C78F3C15B86}">
  <dimension ref="A1:F4"/>
  <sheetViews>
    <sheetView workbookViewId="0">
      <selection activeCell="D3" sqref="D3"/>
    </sheetView>
  </sheetViews>
  <sheetFormatPr defaultRowHeight="15"/>
  <cols>
    <col min="2" max="2" width="40.5703125" bestFit="1" customWidth="1"/>
    <col min="5" max="5" width="10.42578125" bestFit="1" customWidth="1"/>
    <col min="6" max="6" width="14.140625" bestFit="1" customWidth="1"/>
  </cols>
  <sheetData>
    <row r="1" spans="1:6">
      <c r="A1" s="1" t="s">
        <v>195</v>
      </c>
      <c r="B1" s="1" t="s">
        <v>196</v>
      </c>
      <c r="C1" s="1" t="s">
        <v>197</v>
      </c>
      <c r="D1" s="1" t="s">
        <v>198</v>
      </c>
      <c r="E1" s="1" t="s">
        <v>20</v>
      </c>
      <c r="F1" s="1" t="s">
        <v>199</v>
      </c>
    </row>
    <row r="2" spans="1:6" ht="45">
      <c r="A2" t="s">
        <v>48</v>
      </c>
      <c r="B2" s="5" t="s">
        <v>200</v>
      </c>
      <c r="C2" s="6" t="s">
        <v>50</v>
      </c>
      <c r="D2" t="s">
        <v>201</v>
      </c>
      <c r="E2">
        <v>2021</v>
      </c>
    </row>
    <row r="3" spans="1:6">
      <c r="A3" t="s">
        <v>202</v>
      </c>
      <c r="B3" t="s">
        <v>203</v>
      </c>
    </row>
    <row r="4" spans="1:6">
      <c r="A4" t="s">
        <v>204</v>
      </c>
      <c r="B4" t="s">
        <v>205</v>
      </c>
      <c r="C4" s="6" t="s">
        <v>206</v>
      </c>
      <c r="D4" t="s">
        <v>207</v>
      </c>
      <c r="E4" s="16" t="s">
        <v>208</v>
      </c>
      <c r="F4" t="s">
        <v>209</v>
      </c>
    </row>
  </sheetData>
  <hyperlinks>
    <hyperlink ref="C2" r:id="rId1" xr:uid="{9C89C35B-C050-453F-B98A-FC7EC57E552B}"/>
    <hyperlink ref="C4" r:id="rId2" xr:uid="{4659AB6C-5E58-4A02-BDB9-02145A9BDB87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7C4EFE3BCDC24F9D43FB479AF7E97A" ma:contentTypeVersion="17" ma:contentTypeDescription="Create a new document." ma:contentTypeScope="" ma:versionID="710ccc9eba0c031f4d3c8297a7da4be2">
  <xsd:schema xmlns:xsd="http://www.w3.org/2001/XMLSchema" xmlns:xs="http://www.w3.org/2001/XMLSchema" xmlns:p="http://schemas.microsoft.com/office/2006/metadata/properties" xmlns:ns2="19a3940c-c740-4699-845a-46837f99845a" xmlns:ns3="539a68f6-d0ac-4a73-9041-e1fa437c4cee" xmlns:ns4="ab06a5aa-8e31-4bdb-9b13-38c58a92ec8a" targetNamespace="http://schemas.microsoft.com/office/2006/metadata/properties" ma:root="true" ma:fieldsID="a67399e28ae6312d8947be2cafff42c1" ns2:_="" ns3:_="" ns4:_="">
    <xsd:import namespace="19a3940c-c740-4699-845a-46837f99845a"/>
    <xsd:import namespace="539a68f6-d0ac-4a73-9041-e1fa437c4cee"/>
    <xsd:import namespace="ab06a5aa-8e31-4bdb-9b13-38c58a92ec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a3940c-c740-4699-845a-46837f9984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20148b9-20a4-48a0-acba-ba52d68a37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a68f6-d0ac-4a73-9041-e1fa437c4ce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06a5aa-8e31-4bdb-9b13-38c58a92ec8a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c9111928-6144-480e-b796-ec79b7d3c2f4}" ma:internalName="TaxCatchAll" ma:showField="CatchAllData" ma:web="539a68f6-d0ac-4a73-9041-e1fa437c4c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b06a5aa-8e31-4bdb-9b13-38c58a92ec8a" xsi:nil="true"/>
    <lcf76f155ced4ddcb4097134ff3c332f xmlns="19a3940c-c740-4699-845a-46837f99845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02FEEF7-88D6-41D4-B999-EFF8511D95B1}"/>
</file>

<file path=customXml/itemProps2.xml><?xml version="1.0" encoding="utf-8"?>
<ds:datastoreItem xmlns:ds="http://schemas.openxmlformats.org/officeDocument/2006/customXml" ds:itemID="{4173999B-2FEB-4E5B-A6C7-6E33DD5EA2F7}"/>
</file>

<file path=customXml/itemProps3.xml><?xml version="1.0" encoding="utf-8"?>
<ds:datastoreItem xmlns:ds="http://schemas.openxmlformats.org/officeDocument/2006/customXml" ds:itemID="{44149C33-81B0-4C8D-A8B9-4C0F99EB68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2024-07-16T18:29:07Z</dcterms:created>
  <dcterms:modified xsi:type="dcterms:W3CDTF">2024-07-27T04:03:24Z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0x010100447C4EFE3BCDC24F9D43FB479AF7E97A</vt:lpwstr>
  </property>
  <property fmtid="{D5CDD505-2E9C-101B-9397-08002B2CF9AE}" pid="3" name="MediaServiceImageTags">
    <vt:lpwstr/>
  </property>
</Properties>
</file>