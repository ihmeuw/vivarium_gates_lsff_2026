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el Results" sheetId="1" r:id="rId1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J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K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W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X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J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K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W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X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</commentList>
</comments>
</file>

<file path=xl/sharedStrings.xml><?xml version="1.0" encoding="utf-8"?>
<sst xmlns="http://schemas.openxmlformats.org/spreadsheetml/2006/main" count="75" uniqueCount="40">
  <si>
    <t>DALYs Averted by Fortification (1000s)</t>
  </si>
  <si>
    <t>DALYs Averted by Folate Fortification (1000s)</t>
  </si>
  <si>
    <t>DALYs Averted by Iron Fortification (1000s)</t>
  </si>
  <si>
    <t>Baseline NTD DALYs (1000s)</t>
  </si>
  <si>
    <t>NTD DALYs Averted by Folate Fortification (1000s)</t>
  </si>
  <si>
    <t>NTD DALYs Averted by Folate Fortification (%)</t>
  </si>
  <si>
    <t>Baseline Anemia DALYs (1000s)</t>
  </si>
  <si>
    <t>Anemia DALYs Averted (1000s)</t>
  </si>
  <si>
    <t>Anemia DALYs Averted (%)</t>
  </si>
  <si>
    <t>Baseline Child YLLs (1000s)</t>
  </si>
  <si>
    <t>Child YLLs Averted by Iron Fortification (1000s)</t>
  </si>
  <si>
    <t>Child YLLs Averted by Iron Fortification (%)</t>
  </si>
  <si>
    <t>Baseline Maternal Disorders DALYs (1000s)</t>
  </si>
  <si>
    <t>Maternal Disorders DALYs Averted by Iron Fortification (1000s)</t>
  </si>
  <si>
    <t>Maternal Disorders DALYs Averted by Iron Fortification (%)</t>
  </si>
  <si>
    <t>Baseline Annual NTD Cases</t>
  </si>
  <si>
    <t>Annual NTD Cases Averted</t>
  </si>
  <si>
    <t>Annual NTD Cases Averted (%)</t>
  </si>
  <si>
    <t>Baseline Prevalent Anemia Cases</t>
  </si>
  <si>
    <t>Prevalent Anemia Cases Averted</t>
  </si>
  <si>
    <t>Prevalent Anemia Cases Averted (%)</t>
  </si>
  <si>
    <t>Baseline Annual Maternal Disorders Cases</t>
  </si>
  <si>
    <t>Annual Maternal Disorders Cases Averted</t>
  </si>
  <si>
    <t>Annual Maternal Disorders Cases Averted (%)</t>
  </si>
  <si>
    <t>Baseline Annual Child Deaths</t>
  </si>
  <si>
    <t>Annual Child Deaths Averted</t>
  </si>
  <si>
    <t>Annual Child Deaths Averted (%)</t>
  </si>
  <si>
    <t>India -- Rice-- 80% PDS vs none</t>
  </si>
  <si>
    <t>National</t>
  </si>
  <si>
    <t>Wealth quintile</t>
  </si>
  <si>
    <t>Poorest</t>
  </si>
  <si>
    <t>Second</t>
  </si>
  <si>
    <t>Third</t>
  </si>
  <si>
    <t>Fourth</t>
  </si>
  <si>
    <t>Wealthiest</t>
  </si>
  <si>
    <t>India -- Rice-- 80% PDS with increased folate vs none</t>
  </si>
  <si>
    <t>Nigeria -- Bouillon</t>
  </si>
  <si>
    <t>Nigeria -- Rice</t>
  </si>
  <si>
    <t>Ethiopia -- Salt-- 25% NRV per average intake</t>
  </si>
  <si>
    <t>Ethiopia -- Salt-- 100% NRV per average intake</t>
  </si>
</sst>
</file>

<file path=xl/styles.xml><?xml version="1.0" encoding="utf-8"?>
<styleSheet xmlns="http://schemas.openxmlformats.org/spreadsheetml/2006/main">
  <numFmts count="2">
    <numFmt numFmtId="164" formatCode="_(* #,##0_);_(* (#,##0);_(* &quot;-&quot;??_);_(@_)"/>
    <numFmt numFmtId="165" formatCode="0.0%;-0.0%;&quot;-&quot;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/>
    <xf numFmtId="164" fontId="0" fillId="0" borderId="0" xfId="0" applyNumberFormat="1"/>
    <xf numFmtId="165" fontId="0" fillId="0" borderId="0" xfId="0" applyNumberFormat="1"/>
    <xf numFmtId="0" fontId="1" fillId="0" borderId="0" xfId="0" applyFont="1"/>
    <xf numFmtId="164" fontId="3" fillId="2" borderId="0" xfId="0" applyNumberFormat="1" applyFont="1" applyFill="1"/>
    <xf numFmtId="165" fontId="3" fillId="2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D5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.7109375" customWidth="1"/>
    <col min="2" max="2" width="10.7109375" customWidth="1"/>
    <col min="3" max="17" width="15.7109375" customWidth="1"/>
    <col min="18" max="18" width="1.7109375" customWidth="1"/>
    <col min="19" max="30" width="15.7109375" customWidth="1"/>
  </cols>
  <sheetData>
    <row r="1" spans="1:30"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/>
      <c r="S1" s="1" t="s">
        <v>15</v>
      </c>
      <c r="T1" s="1" t="s">
        <v>16</v>
      </c>
      <c r="U1" s="1" t="s">
        <v>17</v>
      </c>
      <c r="V1" s="1" t="s">
        <v>18</v>
      </c>
      <c r="W1" s="1" t="s">
        <v>19</v>
      </c>
      <c r="X1" s="1" t="s">
        <v>20</v>
      </c>
      <c r="Y1" s="1" t="s">
        <v>21</v>
      </c>
      <c r="Z1" s="1" t="s">
        <v>22</v>
      </c>
      <c r="AA1" s="1" t="s">
        <v>23</v>
      </c>
      <c r="AB1" s="1" t="s">
        <v>24</v>
      </c>
      <c r="AC1" s="1" t="s">
        <v>25</v>
      </c>
      <c r="AD1" s="1" t="s">
        <v>26</v>
      </c>
    </row>
    <row r="2" spans="1:30">
      <c r="A2" s="2" t="s">
        <v>27</v>
      </c>
    </row>
    <row r="3" spans="1:30">
      <c r="B3" t="s">
        <v>28</v>
      </c>
      <c r="C3" s="3">
        <f>C5+C6+C7+C8+C9</f>
        <v>0</v>
      </c>
      <c r="D3" s="3">
        <f>D5+D6+D7+D8+D9</f>
        <v>0</v>
      </c>
      <c r="E3" s="3">
        <f>E5+E6+E7+E8+E9</f>
        <v>0</v>
      </c>
      <c r="F3" s="3">
        <f>F5+F6+F7+F8+F9</f>
        <v>0</v>
      </c>
      <c r="G3" s="3">
        <f>G5+G6+G7+G8+G9</f>
        <v>0</v>
      </c>
      <c r="H3" s="4">
        <f>IF(F3=0,0,G3/F3)</f>
        <v>0</v>
      </c>
      <c r="I3" s="3">
        <f>I5+I6+I7+I8+I9</f>
        <v>0</v>
      </c>
      <c r="J3" s="3">
        <f>J5+J6+J7+J8+J9</f>
        <v>0</v>
      </c>
      <c r="K3" s="4">
        <f>IF(I3=0,0,J3/I3)</f>
        <v>0</v>
      </c>
      <c r="L3" s="3">
        <f>L5+L6+L7+L8+L9</f>
        <v>0</v>
      </c>
      <c r="M3" s="3">
        <f>M5+M6+M7+M8+M9</f>
        <v>0</v>
      </c>
      <c r="N3" s="4">
        <f>IF(L3=0,0,M3/L3)</f>
        <v>0</v>
      </c>
      <c r="O3" s="3">
        <f>O5+O6+O7+O8+O9</f>
        <v>0</v>
      </c>
      <c r="P3" s="3">
        <f>P5+P6+P7+P8+P9</f>
        <v>0</v>
      </c>
      <c r="Q3" s="4">
        <f>IF(O3=0,0,P3/O3)</f>
        <v>0</v>
      </c>
      <c r="S3" s="3">
        <f>S5+S6+S7+S8+S9</f>
        <v>0</v>
      </c>
      <c r="T3" s="3">
        <f>T5+T6+T7+T8+T9</f>
        <v>0</v>
      </c>
      <c r="U3" s="4">
        <f>IF(S3=0,0,T3/S3)</f>
        <v>0</v>
      </c>
      <c r="V3" s="3">
        <f>V5+V6+V7+V8+V9</f>
        <v>0</v>
      </c>
      <c r="W3" s="3">
        <f>W5+W6+W7+W8+W9</f>
        <v>0</v>
      </c>
      <c r="X3" s="4">
        <f>IF(V3=0,0,W3/V3)</f>
        <v>0</v>
      </c>
      <c r="Y3" s="3">
        <f>Y5+Y6+Y7+Y8+Y9</f>
        <v>0</v>
      </c>
      <c r="Z3" s="3">
        <f>Z5+Z6+Z7+Z8+Z9</f>
        <v>0</v>
      </c>
      <c r="AA3" s="4">
        <f>IF(Y3=0,0,Z3/Y3)</f>
        <v>0</v>
      </c>
      <c r="AB3" s="3">
        <f>AB5+AB6+AB7+AB8+AB9</f>
        <v>0</v>
      </c>
      <c r="AC3" s="3">
        <f>AC5+AC6+AC7+AC8+AC9</f>
        <v>0</v>
      </c>
      <c r="AD3" s="4">
        <f>IF(AB3=0,0,AC3/AB3)</f>
        <v>0</v>
      </c>
    </row>
    <row r="4" spans="1:30">
      <c r="A4" s="5" t="s">
        <v>29</v>
      </c>
    </row>
    <row r="5" spans="1:30">
      <c r="B5" t="s">
        <v>30</v>
      </c>
      <c r="C5" s="3">
        <f>J5+M5+G5+P5</f>
        <v>0</v>
      </c>
      <c r="D5" s="3">
        <f>G5</f>
        <v>0</v>
      </c>
      <c r="E5" s="3">
        <f>J5+M5+P5</f>
        <v>0</v>
      </c>
      <c r="F5" s="3">
        <v>363.2527888669509</v>
      </c>
      <c r="G5" s="3">
        <v>25.61310791992815</v>
      </c>
      <c r="H5" s="4">
        <f>IF(F5=0,0,G5/F5)</f>
        <v>0</v>
      </c>
      <c r="I5" s="3">
        <v>4696.75253329159</v>
      </c>
      <c r="J5" s="3">
        <v>308.8367897111615</v>
      </c>
      <c r="K5" s="4">
        <f>IF(I5=0,0,J5/I5)</f>
        <v>0</v>
      </c>
      <c r="L5" s="3">
        <v>17149.74236158763</v>
      </c>
      <c r="M5" s="3">
        <v>43.31725056460872</v>
      </c>
      <c r="N5" s="4">
        <f>IF(L5=0,0,M5/L5)</f>
        <v>0</v>
      </c>
      <c r="O5" s="3">
        <v>422.618887365441</v>
      </c>
      <c r="P5" s="3">
        <v>9.181329847155197</v>
      </c>
      <c r="Q5" s="4">
        <f>IF(O5=0,0,P5/O5)</f>
        <v>0</v>
      </c>
      <c r="S5" s="3">
        <v>5246.953936438476</v>
      </c>
      <c r="T5" s="3">
        <v>369.9649432674123</v>
      </c>
      <c r="U5" s="4">
        <f>IF(S5=0,0,T5/S5)</f>
        <v>0</v>
      </c>
      <c r="V5" s="3">
        <v>129715335.2891872</v>
      </c>
      <c r="W5" s="3">
        <v>6741067.098559976</v>
      </c>
      <c r="X5" s="4">
        <f>IF(V5=0,0,W5/V5)</f>
        <v>0</v>
      </c>
      <c r="Y5" s="3">
        <v>3017209.138211729</v>
      </c>
      <c r="Z5" s="3">
        <v>79401.50608393084</v>
      </c>
      <c r="AA5" s="4">
        <f>IF(Y5=0,0,Z5/Y5)</f>
        <v>0</v>
      </c>
      <c r="AB5" s="3">
        <v>191324.1617071823</v>
      </c>
      <c r="AC5" s="3">
        <v>481.4397627256985</v>
      </c>
      <c r="AD5" s="4">
        <f>IF(AB5=0,0,AC5/AB5)</f>
        <v>0</v>
      </c>
    </row>
    <row r="6" spans="1:30">
      <c r="B6" t="s">
        <v>31</v>
      </c>
      <c r="C6" s="3">
        <f>J6+M6+G6+P6</f>
        <v>0</v>
      </c>
      <c r="D6" s="3">
        <f>G6</f>
        <v>0</v>
      </c>
      <c r="E6" s="3">
        <f>J6+M6+P6</f>
        <v>0</v>
      </c>
      <c r="F6" s="3">
        <v>320.8959288091749</v>
      </c>
      <c r="G6" s="3">
        <v>19.30223219520511</v>
      </c>
      <c r="H6" s="4">
        <f>IF(F6=0,0,G6/F6)</f>
        <v>0</v>
      </c>
      <c r="I6" s="3">
        <v>4237.11396849146</v>
      </c>
      <c r="J6" s="3">
        <v>274.6201343981107</v>
      </c>
      <c r="K6" s="4">
        <f>IF(I6=0,0,J6/I6)</f>
        <v>0</v>
      </c>
      <c r="L6" s="3">
        <v>14282.44480906486</v>
      </c>
      <c r="M6" s="3">
        <v>-0.001600985677912831</v>
      </c>
      <c r="N6" s="4">
        <f>IF(L6=0,0,M6/L6)</f>
        <v>0</v>
      </c>
      <c r="O6" s="3">
        <v>250.7127871641806</v>
      </c>
      <c r="P6" s="3">
        <v>5.289893505631073</v>
      </c>
      <c r="Q6" s="4">
        <f>IF(O6=0,0,P6/O6)</f>
        <v>0</v>
      </c>
      <c r="S6" s="3">
        <v>4635.136214932357</v>
      </c>
      <c r="T6" s="3">
        <v>278.8083844162202</v>
      </c>
      <c r="U6" s="4">
        <f>IF(S6=0,0,T6/S6)</f>
        <v>0</v>
      </c>
      <c r="V6" s="3">
        <v>121193659.6151606</v>
      </c>
      <c r="W6" s="3">
        <v>6324800.906607285</v>
      </c>
      <c r="X6" s="4">
        <f>IF(V6=0,0,W6/V6)</f>
        <v>0</v>
      </c>
      <c r="Y6" s="3">
        <v>1790068.720744995</v>
      </c>
      <c r="Z6" s="3">
        <v>46409.72342276992</v>
      </c>
      <c r="AA6" s="4">
        <f>IF(Y6=0,0,Z6/Y6)</f>
        <v>0</v>
      </c>
      <c r="AB6" s="3">
        <v>159404.7054384702</v>
      </c>
      <c r="AC6" s="3">
        <v>0</v>
      </c>
      <c r="AD6" s="4">
        <f>IF(AB6=0,0,AC6/AB6)</f>
        <v>0</v>
      </c>
    </row>
    <row r="7" spans="1:30">
      <c r="B7" t="s">
        <v>32</v>
      </c>
      <c r="C7" s="3">
        <f>J7+M7+G7+P7</f>
        <v>0</v>
      </c>
      <c r="D7" s="3">
        <f>G7</f>
        <v>0</v>
      </c>
      <c r="E7" s="3">
        <f>J7+M7+P7</f>
        <v>0</v>
      </c>
      <c r="F7" s="3">
        <v>288.0891253989829</v>
      </c>
      <c r="G7" s="3">
        <v>14.64995546944888</v>
      </c>
      <c r="H7" s="4">
        <f>IF(F7=0,0,G7/F7)</f>
        <v>0</v>
      </c>
      <c r="I7" s="3">
        <v>4136.060848493457</v>
      </c>
      <c r="J7" s="3">
        <v>238.3348830829528</v>
      </c>
      <c r="K7" s="4">
        <f>IF(I7=0,0,J7/I7)</f>
        <v>0</v>
      </c>
      <c r="L7" s="3">
        <v>12947.56214154672</v>
      </c>
      <c r="M7" s="3">
        <v>51.97910640976765</v>
      </c>
      <c r="N7" s="4">
        <f>IF(L7=0,0,M7/L7)</f>
        <v>0</v>
      </c>
      <c r="O7" s="3">
        <v>319.3114946363287</v>
      </c>
      <c r="P7" s="3">
        <v>6.277070487439225</v>
      </c>
      <c r="Q7" s="4">
        <f>IF(O7=0,0,P7/O7)</f>
        <v>0</v>
      </c>
      <c r="S7" s="3">
        <v>4161.262946589416</v>
      </c>
      <c r="T7" s="3">
        <v>211.609226067711</v>
      </c>
      <c r="U7" s="4">
        <f>IF(S7=0,0,T7/S7)</f>
        <v>0</v>
      </c>
      <c r="V7" s="3">
        <v>118707434.9358999</v>
      </c>
      <c r="W7" s="3">
        <v>5528190.844559968</v>
      </c>
      <c r="X7" s="4">
        <f>IF(V7=0,0,W7/V7)</f>
        <v>0</v>
      </c>
      <c r="Y7" s="3">
        <v>2254598.791771456</v>
      </c>
      <c r="Z7" s="3">
        <v>49247.20910354005</v>
      </c>
      <c r="AA7" s="4">
        <f>IF(Y7=0,0,Z7/Y7)</f>
        <v>0</v>
      </c>
      <c r="AB7" s="3">
        <v>144480.0727939743</v>
      </c>
      <c r="AC7" s="3">
        <v>577.7277152707975</v>
      </c>
      <c r="AD7" s="4">
        <f>IF(AB7=0,0,AC7/AB7)</f>
        <v>0</v>
      </c>
    </row>
    <row r="8" spans="1:30">
      <c r="B8" t="s">
        <v>33</v>
      </c>
      <c r="C8" s="3">
        <f>J8+M8+G8+P8</f>
        <v>0</v>
      </c>
      <c r="D8" s="3">
        <f>G8</f>
        <v>0</v>
      </c>
      <c r="E8" s="3">
        <f>J8+M8+P8</f>
        <v>0</v>
      </c>
      <c r="F8" s="3">
        <v>271.6538476703636</v>
      </c>
      <c r="G8" s="3">
        <v>12.01171715158402</v>
      </c>
      <c r="H8" s="4">
        <f>IF(F8=0,0,G8/F8)</f>
        <v>0</v>
      </c>
      <c r="I8" s="3">
        <v>3783.135075071727</v>
      </c>
      <c r="J8" s="3">
        <v>194.7161588536995</v>
      </c>
      <c r="K8" s="4">
        <f>IF(I8=0,0,J8/I8)</f>
        <v>0</v>
      </c>
      <c r="L8" s="3">
        <v>11725.45888147103</v>
      </c>
      <c r="M8" s="3">
        <v>0.00196340936422348</v>
      </c>
      <c r="N8" s="4">
        <f>IF(L8=0,0,M8/L8)</f>
        <v>0</v>
      </c>
      <c r="O8" s="3">
        <v>255.2722093275565</v>
      </c>
      <c r="P8" s="3">
        <v>6.028111707371194</v>
      </c>
      <c r="Q8" s="4">
        <f>IF(O8=0,0,P8/O8)</f>
        <v>0</v>
      </c>
      <c r="S8" s="3">
        <v>3923.86588366907</v>
      </c>
      <c r="T8" s="3">
        <v>173.5015628881338</v>
      </c>
      <c r="U8" s="4">
        <f>IF(S8=0,0,T8/S8)</f>
        <v>0</v>
      </c>
      <c r="V8" s="3">
        <v>112495719.1634136</v>
      </c>
      <c r="W8" s="3">
        <v>4763589.916187599</v>
      </c>
      <c r="X8" s="4">
        <f>IF(V8=0,0,W8/V8)</f>
        <v>0</v>
      </c>
      <c r="Y8" s="3">
        <v>2008987.954963077</v>
      </c>
      <c r="Z8" s="3">
        <v>37127.77873821603</v>
      </c>
      <c r="AA8" s="4">
        <f>IF(Y8=0,0,Z8/Y8)</f>
        <v>0</v>
      </c>
      <c r="AB8" s="3">
        <v>130807.1835325652</v>
      </c>
      <c r="AC8" s="3">
        <v>0</v>
      </c>
      <c r="AD8" s="4">
        <f>IF(AB8=0,0,AC8/AB8)</f>
        <v>0</v>
      </c>
    </row>
    <row r="9" spans="1:30">
      <c r="B9" t="s">
        <v>34</v>
      </c>
      <c r="C9" s="3">
        <f>J9+M9+G9+P9</f>
        <v>0</v>
      </c>
      <c r="D9" s="3">
        <f>G9</f>
        <v>0</v>
      </c>
      <c r="E9" s="3">
        <f>J9+M9+P9</f>
        <v>0</v>
      </c>
      <c r="F9" s="3">
        <v>231.3561787321935</v>
      </c>
      <c r="G9" s="3">
        <v>4.585401678760419</v>
      </c>
      <c r="H9" s="4">
        <f>IF(F9=0,0,G9/F9)</f>
        <v>0</v>
      </c>
      <c r="I9" s="3">
        <v>3283.865109392673</v>
      </c>
      <c r="J9" s="3">
        <v>98.62837958013452</v>
      </c>
      <c r="K9" s="4">
        <f>IF(I9=0,0,J9/I9)</f>
        <v>0</v>
      </c>
      <c r="L9" s="3">
        <v>11643.22668281579</v>
      </c>
      <c r="M9" s="3">
        <v>8.662714833144099</v>
      </c>
      <c r="N9" s="4">
        <f>IF(L9=0,0,M9/L9)</f>
        <v>0</v>
      </c>
      <c r="O9" s="3">
        <v>175.1115957679361</v>
      </c>
      <c r="P9" s="3">
        <v>0.001510296575113898</v>
      </c>
      <c r="Q9" s="4">
        <f>IF(O9=0,0,P9/O9)</f>
        <v>0</v>
      </c>
      <c r="S9" s="3">
        <v>3341.791859340324</v>
      </c>
      <c r="T9" s="3">
        <v>66.2331911162164</v>
      </c>
      <c r="U9" s="4">
        <f>IF(S9=0,0,T9/S9)</f>
        <v>0</v>
      </c>
      <c r="V9" s="3">
        <v>104453537.4780618</v>
      </c>
      <c r="W9" s="3">
        <v>2623914.142659664</v>
      </c>
      <c r="X9" s="4">
        <f>IF(V9=0,0,W9/V9)</f>
        <v>0</v>
      </c>
      <c r="Y9" s="3">
        <v>1264989.590869552</v>
      </c>
      <c r="Z9" s="3">
        <v>16063.05453181895</v>
      </c>
      <c r="AA9" s="4">
        <f>IF(Y9=0,0,Z9/Y9)</f>
        <v>0</v>
      </c>
      <c r="AB9" s="3">
        <v>129892.4479833864</v>
      </c>
      <c r="AC9" s="3">
        <v>96.28795254514262</v>
      </c>
      <c r="AD9" s="4">
        <f>IF(AB9=0,0,AC9/AB9)</f>
        <v>0</v>
      </c>
    </row>
    <row r="11" spans="1:30">
      <c r="A11" s="2" t="s">
        <v>35</v>
      </c>
    </row>
    <row r="12" spans="1:30">
      <c r="B12" t="s">
        <v>28</v>
      </c>
      <c r="C12" s="3">
        <f>C14+C15+C16+C17+C18</f>
        <v>0</v>
      </c>
      <c r="D12" s="3">
        <f>D14+D15+D16+D17+D18</f>
        <v>0</v>
      </c>
      <c r="E12" s="3">
        <f>E14+E15+E16+E17+E18</f>
        <v>0</v>
      </c>
      <c r="F12" s="3">
        <f>F14+F15+F16+F17+F18</f>
        <v>0</v>
      </c>
      <c r="G12" s="3">
        <f>G14+G15+G16+G17+G18</f>
        <v>0</v>
      </c>
      <c r="H12" s="4">
        <f>IF(F12=0,0,G12/F12)</f>
        <v>0</v>
      </c>
      <c r="I12" s="3">
        <f>I14+I15+I16+I17+I18</f>
        <v>0</v>
      </c>
      <c r="J12" s="3">
        <f>J14+J15+J16+J17+J18</f>
        <v>0</v>
      </c>
      <c r="K12" s="4">
        <f>IF(I12=0,0,J12/I12)</f>
        <v>0</v>
      </c>
      <c r="L12" s="3">
        <f>L14+L15+L16+L17+L18</f>
        <v>0</v>
      </c>
      <c r="M12" s="3">
        <f>M14+M15+M16+M17+M18</f>
        <v>0</v>
      </c>
      <c r="N12" s="4">
        <f>IF(L12=0,0,M12/L12)</f>
        <v>0</v>
      </c>
      <c r="O12" s="3">
        <f>O14+O15+O16+O17+O18</f>
        <v>0</v>
      </c>
      <c r="P12" s="3">
        <f>P14+P15+P16+P17+P18</f>
        <v>0</v>
      </c>
      <c r="Q12" s="4">
        <f>IF(O12=0,0,P12/O12)</f>
        <v>0</v>
      </c>
      <c r="S12" s="3">
        <f>S14+S15+S16+S17+S18</f>
        <v>0</v>
      </c>
      <c r="T12" s="3">
        <f>T14+T15+T16+T17+T18</f>
        <v>0</v>
      </c>
      <c r="U12" s="4">
        <f>IF(S12=0,0,T12/S12)</f>
        <v>0</v>
      </c>
      <c r="V12" s="3">
        <f>V14+V15+V16+V17+V18</f>
        <v>0</v>
      </c>
      <c r="W12" s="3">
        <f>W14+W15+W16+W17+W18</f>
        <v>0</v>
      </c>
      <c r="X12" s="4">
        <f>IF(V12=0,0,W12/V12)</f>
        <v>0</v>
      </c>
      <c r="Y12" s="3">
        <f>Y14+Y15+Y16+Y17+Y18</f>
        <v>0</v>
      </c>
      <c r="Z12" s="3">
        <f>Z14+Z15+Z16+Z17+Z18</f>
        <v>0</v>
      </c>
      <c r="AA12" s="4">
        <f>IF(Y12=0,0,Z12/Y12)</f>
        <v>0</v>
      </c>
      <c r="AB12" s="3">
        <f>AB14+AB15+AB16+AB17+AB18</f>
        <v>0</v>
      </c>
      <c r="AC12" s="3">
        <f>AC14+AC15+AC16+AC17+AC18</f>
        <v>0</v>
      </c>
      <c r="AD12" s="4">
        <f>IF(AB12=0,0,AC12/AB12)</f>
        <v>0</v>
      </c>
    </row>
    <row r="13" spans="1:30">
      <c r="A13" s="5" t="s">
        <v>29</v>
      </c>
    </row>
    <row r="14" spans="1:30">
      <c r="B14" t="s">
        <v>30</v>
      </c>
      <c r="C14" s="3">
        <f>J14+M14+G14+P14</f>
        <v>0</v>
      </c>
      <c r="D14" s="3">
        <f>G14</f>
        <v>0</v>
      </c>
      <c r="E14" s="3">
        <f>J14+M14+P14</f>
        <v>0</v>
      </c>
      <c r="F14" s="3">
        <v>363.2527888669509</v>
      </c>
      <c r="G14" s="3">
        <v>171.7005339918157</v>
      </c>
      <c r="H14" s="4">
        <f>IF(F14=0,0,G14/F14)</f>
        <v>0</v>
      </c>
      <c r="I14" s="3">
        <v>4696.75253329159</v>
      </c>
      <c r="J14" s="3">
        <v>308.8367897111615</v>
      </c>
      <c r="K14" s="4">
        <f>IF(I14=0,0,J14/I14)</f>
        <v>0</v>
      </c>
      <c r="L14" s="3">
        <v>17149.74236158763</v>
      </c>
      <c r="M14" s="3">
        <v>43.31725056460872</v>
      </c>
      <c r="N14" s="4">
        <f>IF(L14=0,0,M14/L14)</f>
        <v>0</v>
      </c>
      <c r="O14" s="3">
        <v>422.618887365441</v>
      </c>
      <c r="P14" s="3">
        <v>9.181329847155197</v>
      </c>
      <c r="Q14" s="4">
        <f>IF(O14=0,0,P14/O14)</f>
        <v>0</v>
      </c>
      <c r="S14" s="3">
        <v>5246.953936438476</v>
      </c>
      <c r="T14" s="3">
        <v>2480.104269886063</v>
      </c>
      <c r="U14" s="4">
        <f>IF(S14=0,0,T14/S14)</f>
        <v>0</v>
      </c>
      <c r="V14" s="3">
        <v>129715335.2891872</v>
      </c>
      <c r="W14" s="3">
        <v>6741067.09856002</v>
      </c>
      <c r="X14" s="4">
        <f>IF(V14=0,0,W14/V14)</f>
        <v>0</v>
      </c>
      <c r="Y14" s="3">
        <v>3017209.138211729</v>
      </c>
      <c r="Z14" s="3">
        <v>79401.50608393084</v>
      </c>
      <c r="AA14" s="4">
        <f>IF(Y14=0,0,Z14/Y14)</f>
        <v>0</v>
      </c>
      <c r="AB14" s="3">
        <v>191324.1617071823</v>
      </c>
      <c r="AC14" s="3">
        <v>481.4397627256985</v>
      </c>
      <c r="AD14" s="4">
        <f>IF(AB14=0,0,AC14/AB14)</f>
        <v>0</v>
      </c>
    </row>
    <row r="15" spans="1:30">
      <c r="B15" t="s">
        <v>31</v>
      </c>
      <c r="C15" s="3">
        <f>J15+M15+G15+P15</f>
        <v>0</v>
      </c>
      <c r="D15" s="3">
        <f>G15</f>
        <v>0</v>
      </c>
      <c r="E15" s="3">
        <f>J15+M15+P15</f>
        <v>0</v>
      </c>
      <c r="F15" s="3">
        <v>320.8959288091749</v>
      </c>
      <c r="G15" s="3">
        <v>136.7817413267469</v>
      </c>
      <c r="H15" s="4">
        <f>IF(F15=0,0,G15/F15)</f>
        <v>0</v>
      </c>
      <c r="I15" s="3">
        <v>4237.11396849146</v>
      </c>
      <c r="J15" s="3">
        <v>274.6201343981107</v>
      </c>
      <c r="K15" s="4">
        <f>IF(I15=0,0,J15/I15)</f>
        <v>0</v>
      </c>
      <c r="L15" s="3">
        <v>14282.44480906486</v>
      </c>
      <c r="M15" s="3">
        <v>-0.001600985677912831</v>
      </c>
      <c r="N15" s="4">
        <f>IF(L15=0,0,M15/L15)</f>
        <v>0</v>
      </c>
      <c r="O15" s="3">
        <v>250.7127871641806</v>
      </c>
      <c r="P15" s="3">
        <v>5.289893505631073</v>
      </c>
      <c r="Q15" s="4">
        <f>IF(O15=0,0,P15/O15)</f>
        <v>0</v>
      </c>
      <c r="S15" s="3">
        <v>4635.136214932357</v>
      </c>
      <c r="T15" s="3">
        <v>1975.724669109567</v>
      </c>
      <c r="U15" s="4">
        <f>IF(S15=0,0,T15/S15)</f>
        <v>0</v>
      </c>
      <c r="V15" s="3">
        <v>121193659.6151606</v>
      </c>
      <c r="W15" s="3">
        <v>6324800.906607285</v>
      </c>
      <c r="X15" s="4">
        <f>IF(V15=0,0,W15/V15)</f>
        <v>0</v>
      </c>
      <c r="Y15" s="3">
        <v>1790068.720744995</v>
      </c>
      <c r="Z15" s="3">
        <v>46409.72342276992</v>
      </c>
      <c r="AA15" s="4">
        <f>IF(Y15=0,0,Z15/Y15)</f>
        <v>0</v>
      </c>
      <c r="AB15" s="3">
        <v>159404.7054384702</v>
      </c>
      <c r="AC15" s="3">
        <v>0</v>
      </c>
      <c r="AD15" s="4">
        <f>IF(AB15=0,0,AC15/AB15)</f>
        <v>0</v>
      </c>
    </row>
    <row r="16" spans="1:30">
      <c r="B16" t="s">
        <v>32</v>
      </c>
      <c r="C16" s="3">
        <f>J16+M16+G16+P16</f>
        <v>0</v>
      </c>
      <c r="D16" s="3">
        <f>G16</f>
        <v>0</v>
      </c>
      <c r="E16" s="3">
        <f>J16+M16+P16</f>
        <v>0</v>
      </c>
      <c r="F16" s="3">
        <v>288.0891253989829</v>
      </c>
      <c r="G16" s="3">
        <v>109.3639574469849</v>
      </c>
      <c r="H16" s="4">
        <f>IF(F16=0,0,G16/F16)</f>
        <v>0</v>
      </c>
      <c r="I16" s="3">
        <v>4136.060848493457</v>
      </c>
      <c r="J16" s="3">
        <v>238.3348830829528</v>
      </c>
      <c r="K16" s="4">
        <f>IF(I16=0,0,J16/I16)</f>
        <v>0</v>
      </c>
      <c r="L16" s="3">
        <v>12947.56214154672</v>
      </c>
      <c r="M16" s="3">
        <v>51.97910640976765</v>
      </c>
      <c r="N16" s="4">
        <f>IF(L16=0,0,M16/L16)</f>
        <v>0</v>
      </c>
      <c r="O16" s="3">
        <v>319.3114946363287</v>
      </c>
      <c r="P16" s="3">
        <v>6.277070487439283</v>
      </c>
      <c r="Q16" s="4">
        <f>IF(O16=0,0,P16/O16)</f>
        <v>0</v>
      </c>
      <c r="S16" s="3">
        <v>4161.262946589416</v>
      </c>
      <c r="T16" s="3">
        <v>1579.692337176038</v>
      </c>
      <c r="U16" s="4">
        <f>IF(S16=0,0,T16/S16)</f>
        <v>0</v>
      </c>
      <c r="V16" s="3">
        <v>118707434.9358999</v>
      </c>
      <c r="W16" s="3">
        <v>5528190.844559968</v>
      </c>
      <c r="X16" s="4">
        <f>IF(V16=0,0,W16/V16)</f>
        <v>0</v>
      </c>
      <c r="Y16" s="3">
        <v>2254598.791771456</v>
      </c>
      <c r="Z16" s="3">
        <v>49247.20910354005</v>
      </c>
      <c r="AA16" s="4">
        <f>IF(Y16=0,0,Z16/Y16)</f>
        <v>0</v>
      </c>
      <c r="AB16" s="3">
        <v>144480.0727939743</v>
      </c>
      <c r="AC16" s="3">
        <v>577.7277152707975</v>
      </c>
      <c r="AD16" s="4">
        <f>IF(AB16=0,0,AC16/AB16)</f>
        <v>0</v>
      </c>
    </row>
    <row r="17" spans="1:30">
      <c r="B17" t="s">
        <v>33</v>
      </c>
      <c r="C17" s="3">
        <f>J17+M17+G17+P17</f>
        <v>0</v>
      </c>
      <c r="D17" s="3">
        <f>G17</f>
        <v>0</v>
      </c>
      <c r="E17" s="3">
        <f>J17+M17+P17</f>
        <v>0</v>
      </c>
      <c r="F17" s="3">
        <v>271.6538476703636</v>
      </c>
      <c r="G17" s="3">
        <v>93.19422555617429</v>
      </c>
      <c r="H17" s="4">
        <f>IF(F17=0,0,G17/F17)</f>
        <v>0</v>
      </c>
      <c r="I17" s="3">
        <v>3783.135075071727</v>
      </c>
      <c r="J17" s="3">
        <v>194.7161588536995</v>
      </c>
      <c r="K17" s="4">
        <f>IF(I17=0,0,J17/I17)</f>
        <v>0</v>
      </c>
      <c r="L17" s="3">
        <v>11725.45888147103</v>
      </c>
      <c r="M17" s="3">
        <v>0.00196340936422348</v>
      </c>
      <c r="N17" s="4">
        <f>IF(L17=0,0,M17/L17)</f>
        <v>0</v>
      </c>
      <c r="O17" s="3">
        <v>255.2722093275565</v>
      </c>
      <c r="P17" s="3">
        <v>6.028111707371194</v>
      </c>
      <c r="Q17" s="4">
        <f>IF(O17=0,0,P17/O17)</f>
        <v>0</v>
      </c>
      <c r="S17" s="3">
        <v>3923.86588366907</v>
      </c>
      <c r="T17" s="3">
        <v>1346.130913848001</v>
      </c>
      <c r="U17" s="4">
        <f>IF(S17=0,0,T17/S17)</f>
        <v>0</v>
      </c>
      <c r="V17" s="3">
        <v>112495719.1634136</v>
      </c>
      <c r="W17" s="3">
        <v>4763589.916187599</v>
      </c>
      <c r="X17" s="4">
        <f>IF(V17=0,0,W17/V17)</f>
        <v>0</v>
      </c>
      <c r="Y17" s="3">
        <v>2008987.954963077</v>
      </c>
      <c r="Z17" s="3">
        <v>37127.77873821603</v>
      </c>
      <c r="AA17" s="4">
        <f>IF(Y17=0,0,Z17/Y17)</f>
        <v>0</v>
      </c>
      <c r="AB17" s="3">
        <v>130807.1835325652</v>
      </c>
      <c r="AC17" s="3">
        <v>0</v>
      </c>
      <c r="AD17" s="4">
        <f>IF(AB17=0,0,AC17/AB17)</f>
        <v>0</v>
      </c>
    </row>
    <row r="18" spans="1:30">
      <c r="B18" t="s">
        <v>34</v>
      </c>
      <c r="C18" s="3">
        <f>J18+M18+G18+P18</f>
        <v>0</v>
      </c>
      <c r="D18" s="3">
        <f>G18</f>
        <v>0</v>
      </c>
      <c r="E18" s="3">
        <f>J18+M18+P18</f>
        <v>0</v>
      </c>
      <c r="F18" s="3">
        <v>231.3561787321935</v>
      </c>
      <c r="G18" s="3">
        <v>41.46282624707057</v>
      </c>
      <c r="H18" s="4">
        <f>IF(F18=0,0,G18/F18)</f>
        <v>0</v>
      </c>
      <c r="I18" s="3">
        <v>3283.865109392673</v>
      </c>
      <c r="J18" s="3">
        <v>98.62837958013452</v>
      </c>
      <c r="K18" s="4">
        <f>IF(I18=0,0,J18/I18)</f>
        <v>0</v>
      </c>
      <c r="L18" s="3">
        <v>11643.22668281579</v>
      </c>
      <c r="M18" s="3">
        <v>8.662714833144099</v>
      </c>
      <c r="N18" s="4">
        <f>IF(L18=0,0,M18/L18)</f>
        <v>0</v>
      </c>
      <c r="O18" s="3">
        <v>175.1115957679361</v>
      </c>
      <c r="P18" s="3">
        <v>0.001510296575113898</v>
      </c>
      <c r="Q18" s="4">
        <f>IF(O18=0,0,P18/O18)</f>
        <v>0</v>
      </c>
      <c r="S18" s="3">
        <v>3341.791859340324</v>
      </c>
      <c r="T18" s="3">
        <v>598.9039755799786</v>
      </c>
      <c r="U18" s="4">
        <f>IF(S18=0,0,T18/S18)</f>
        <v>0</v>
      </c>
      <c r="V18" s="3">
        <v>104453537.4780618</v>
      </c>
      <c r="W18" s="3">
        <v>2623914.142659664</v>
      </c>
      <c r="X18" s="4">
        <f>IF(V18=0,0,W18/V18)</f>
        <v>0</v>
      </c>
      <c r="Y18" s="3">
        <v>1264989.590869552</v>
      </c>
      <c r="Z18" s="3">
        <v>16063.05453181895</v>
      </c>
      <c r="AA18" s="4">
        <f>IF(Y18=0,0,Z18/Y18)</f>
        <v>0</v>
      </c>
      <c r="AB18" s="3">
        <v>129892.4479833864</v>
      </c>
      <c r="AC18" s="3">
        <v>96.28795254514262</v>
      </c>
      <c r="AD18" s="4">
        <f>IF(AB18=0,0,AC18/AB18)</f>
        <v>0</v>
      </c>
    </row>
    <row r="20" spans="1:30">
      <c r="A20" s="2" t="s">
        <v>36</v>
      </c>
    </row>
    <row r="21" spans="1:30">
      <c r="B21" t="s">
        <v>28</v>
      </c>
      <c r="C21" s="3">
        <f>C23+C24+C25+C26+C27</f>
        <v>0</v>
      </c>
      <c r="D21" s="3">
        <f>D23+D24+D25+D26+D27</f>
        <v>0</v>
      </c>
      <c r="E21" s="3">
        <f>E23+E24+E25+E26+E27</f>
        <v>0</v>
      </c>
      <c r="F21" s="3">
        <f>F23+F24+F25+F26+F27</f>
        <v>0</v>
      </c>
      <c r="G21" s="3">
        <f>G23+G24+G25+G26+G27</f>
        <v>0</v>
      </c>
      <c r="H21" s="4">
        <f>IF(F21=0,0,G21/F21)</f>
        <v>0</v>
      </c>
      <c r="I21" s="3">
        <f>I23+I24+I25+I26+I27</f>
        <v>0</v>
      </c>
      <c r="J21" s="3">
        <f>J23+J24+J25+J26+J27</f>
        <v>0</v>
      </c>
      <c r="K21" s="4">
        <f>IF(I21=0,0,J21/I21)</f>
        <v>0</v>
      </c>
      <c r="L21" s="3">
        <f>L23+L24+L25+L26+L27</f>
        <v>0</v>
      </c>
      <c r="M21" s="3">
        <f>M23+M24+M25+M26+M27</f>
        <v>0</v>
      </c>
      <c r="N21" s="4">
        <f>IF(L21=0,0,M21/L21)</f>
        <v>0</v>
      </c>
      <c r="O21" s="3">
        <f>O23+O24+O25+O26+O27</f>
        <v>0</v>
      </c>
      <c r="P21" s="3">
        <f>P23+P24+P25+P26+P27</f>
        <v>0</v>
      </c>
      <c r="Q21" s="4">
        <f>IF(O21=0,0,P21/O21)</f>
        <v>0</v>
      </c>
      <c r="S21" s="3">
        <f>S23+S24+S25+S26+S27</f>
        <v>0</v>
      </c>
      <c r="T21" s="3">
        <f>T23+T24+T25+T26+T27</f>
        <v>0</v>
      </c>
      <c r="U21" s="4">
        <f>IF(S21=0,0,T21/S21)</f>
        <v>0</v>
      </c>
      <c r="V21" s="3">
        <f>V23+V24+V25+V26+V27</f>
        <v>0</v>
      </c>
      <c r="W21" s="3">
        <f>W23+W24+W25+W26+W27</f>
        <v>0</v>
      </c>
      <c r="X21" s="4">
        <f>IF(V21=0,0,W21/V21)</f>
        <v>0</v>
      </c>
      <c r="Y21" s="3">
        <f>Y23+Y24+Y25+Y26+Y27</f>
        <v>0</v>
      </c>
      <c r="Z21" s="3">
        <f>Z23+Z24+Z25+Z26+Z27</f>
        <v>0</v>
      </c>
      <c r="AA21" s="4">
        <f>IF(Y21=0,0,Z21/Y21)</f>
        <v>0</v>
      </c>
      <c r="AB21" s="3">
        <f>AB23+AB24+AB25+AB26+AB27</f>
        <v>0</v>
      </c>
      <c r="AC21" s="3">
        <f>AC23+AC24+AC25+AC26+AC27</f>
        <v>0</v>
      </c>
      <c r="AD21" s="4">
        <f>IF(AB21=0,0,AC21/AB21)</f>
        <v>0</v>
      </c>
    </row>
    <row r="22" spans="1:30">
      <c r="A22" s="5" t="s">
        <v>29</v>
      </c>
    </row>
    <row r="23" spans="1:30">
      <c r="B23" t="s">
        <v>30</v>
      </c>
      <c r="C23" s="3">
        <f>J23+M23+G23+P23</f>
        <v>0</v>
      </c>
      <c r="D23" s="3">
        <f>G23</f>
        <v>0</v>
      </c>
      <c r="E23" s="3">
        <f>J23+M23+P23</f>
        <v>0</v>
      </c>
      <c r="F23" s="3">
        <v>414.1174655591563</v>
      </c>
      <c r="G23" s="3">
        <v>268.7388335606863</v>
      </c>
      <c r="H23" s="4">
        <f>IF(F23=0,0,G23/F23)</f>
        <v>0</v>
      </c>
      <c r="I23" s="3">
        <v>991.8205054212256</v>
      </c>
      <c r="J23" s="3">
        <v>137.3802562461348</v>
      </c>
      <c r="K23" s="4">
        <f>IF(I23=0,0,J23/I23)</f>
        <v>0</v>
      </c>
      <c r="L23" s="3">
        <v>18248.15090069409</v>
      </c>
      <c r="M23" s="3">
        <v>92.70682216655835</v>
      </c>
      <c r="N23" s="4">
        <f>IF(L23=0,0,M23/L23)</f>
        <v>0</v>
      </c>
      <c r="O23" s="3">
        <v>476.0481880235133</v>
      </c>
      <c r="P23" s="3">
        <v>17.78380361743271</v>
      </c>
      <c r="Q23" s="4">
        <f>IF(O23=0,0,P23/O23)</f>
        <v>0</v>
      </c>
      <c r="S23" s="3">
        <v>7595.550633139525</v>
      </c>
      <c r="T23" s="3">
        <v>4929.083139840336</v>
      </c>
      <c r="U23" s="4">
        <f>IF(S23=0,0,T23/S23)</f>
        <v>0</v>
      </c>
      <c r="V23" s="3">
        <v>25699987.56061059</v>
      </c>
      <c r="W23" s="3">
        <v>2724438.198759455</v>
      </c>
      <c r="X23" s="4">
        <f>IF(V23=0,0,W23/V23)</f>
        <v>0</v>
      </c>
      <c r="Y23" s="3">
        <v>1959206.361225823</v>
      </c>
      <c r="Z23" s="3">
        <v>81685.4768248722</v>
      </c>
      <c r="AA23" s="4">
        <f>IF(Y23=0,0,Z23/Y23)</f>
        <v>0</v>
      </c>
      <c r="AB23" s="3">
        <v>205054.6892807224</v>
      </c>
      <c r="AC23" s="3">
        <v>1029.360143988684</v>
      </c>
      <c r="AD23" s="4">
        <f>IF(AB23=0,0,AC23/AB23)</f>
        <v>0</v>
      </c>
    </row>
    <row r="24" spans="1:30">
      <c r="B24" t="s">
        <v>31</v>
      </c>
      <c r="C24" s="3">
        <f>J24+M24+G24+P24</f>
        <v>0</v>
      </c>
      <c r="D24" s="3">
        <f>G24</f>
        <v>0</v>
      </c>
      <c r="E24" s="3">
        <f>J24+M24+P24</f>
        <v>0</v>
      </c>
      <c r="F24" s="3">
        <v>423.4608834802265</v>
      </c>
      <c r="G24" s="3">
        <v>265.1770602919006</v>
      </c>
      <c r="H24" s="4">
        <f>IF(F24=0,0,G24/F24)</f>
        <v>0</v>
      </c>
      <c r="I24" s="3">
        <v>847.5293917044748</v>
      </c>
      <c r="J24" s="3">
        <v>129.6386109174587</v>
      </c>
      <c r="K24" s="4">
        <f>IF(I24=0,0,J24/I24)</f>
        <v>0</v>
      </c>
      <c r="L24" s="3">
        <v>18442.648959675</v>
      </c>
      <c r="M24" s="3">
        <v>78.36081872005761</v>
      </c>
      <c r="N24" s="4">
        <f>IF(L24=0,0,M24/L24)</f>
        <v>0</v>
      </c>
      <c r="O24" s="3">
        <v>476.5639382629005</v>
      </c>
      <c r="P24" s="3">
        <v>20.33018603529909</v>
      </c>
      <c r="Q24" s="4">
        <f>IF(O24=0,0,P24/O24)</f>
        <v>0</v>
      </c>
      <c r="S24" s="3">
        <v>7766.92327449926</v>
      </c>
      <c r="T24" s="3">
        <v>4863.754745225788</v>
      </c>
      <c r="U24" s="4">
        <f>IF(S24=0,0,T24/S24)</f>
        <v>0</v>
      </c>
      <c r="V24" s="3">
        <v>23322467.60095111</v>
      </c>
      <c r="W24" s="3">
        <v>2821008.141738795</v>
      </c>
      <c r="X24" s="4">
        <f>IF(V24=0,0,W24/V24)</f>
        <v>0</v>
      </c>
      <c r="Y24" s="3">
        <v>2033978.129974804</v>
      </c>
      <c r="Z24" s="3">
        <v>83922.17115407297</v>
      </c>
      <c r="AA24" s="4">
        <f>IF(Y24=0,0,Z24/Y24)</f>
        <v>0</v>
      </c>
      <c r="AB24" s="3">
        <v>207305.2882361168</v>
      </c>
      <c r="AC24" s="3">
        <v>870.3446737535996</v>
      </c>
      <c r="AD24" s="4">
        <f>IF(AB24=0,0,AC24/AB24)</f>
        <v>0</v>
      </c>
    </row>
    <row r="25" spans="1:30">
      <c r="B25" t="s">
        <v>32</v>
      </c>
      <c r="C25" s="3">
        <f>J25+M25+G25+P25</f>
        <v>0</v>
      </c>
      <c r="D25" s="3">
        <f>G25</f>
        <v>0</v>
      </c>
      <c r="E25" s="3">
        <f>J25+M25+P25</f>
        <v>0</v>
      </c>
      <c r="F25" s="3">
        <v>383.3486237845976</v>
      </c>
      <c r="G25" s="3">
        <v>207.6706006016967</v>
      </c>
      <c r="H25" s="4">
        <f>IF(F25=0,0,G25/F25)</f>
        <v>0</v>
      </c>
      <c r="I25" s="3">
        <v>721.6208038129823</v>
      </c>
      <c r="J25" s="3">
        <v>117.9993820939182</v>
      </c>
      <c r="K25" s="4">
        <f>IF(I25=0,0,J25/I25)</f>
        <v>0</v>
      </c>
      <c r="L25" s="3">
        <v>15355.96197556525</v>
      </c>
      <c r="M25" s="3">
        <v>48.61628105269372</v>
      </c>
      <c r="N25" s="4">
        <f>IF(L25=0,0,M25/L25)</f>
        <v>0</v>
      </c>
      <c r="O25" s="3">
        <v>391.5266582641886</v>
      </c>
      <c r="P25" s="3">
        <v>16.77983298771235</v>
      </c>
      <c r="Q25" s="4">
        <f>IF(O25=0,0,P25/O25)</f>
        <v>0</v>
      </c>
      <c r="S25" s="3">
        <v>7031.20279693764</v>
      </c>
      <c r="T25" s="3">
        <v>3808.997912596752</v>
      </c>
      <c r="U25" s="4">
        <f>IF(S25=0,0,T25/S25)</f>
        <v>0</v>
      </c>
      <c r="V25" s="3">
        <v>21162807.84637517</v>
      </c>
      <c r="W25" s="3">
        <v>2800683.860446602</v>
      </c>
      <c r="X25" s="4">
        <f>IF(V25=0,0,W25/V25)</f>
        <v>0</v>
      </c>
      <c r="Y25" s="3">
        <v>1664123.912966297</v>
      </c>
      <c r="Z25" s="3">
        <v>70162.63003171934</v>
      </c>
      <c r="AA25" s="4">
        <f>IF(Y25=0,0,Z25/Y25)</f>
        <v>0</v>
      </c>
      <c r="AB25" s="3">
        <v>172634.6152091868</v>
      </c>
      <c r="AC25" s="3">
        <v>539.5924956644885</v>
      </c>
      <c r="AD25" s="4">
        <f>IF(AB25=0,0,AC25/AB25)</f>
        <v>0</v>
      </c>
    </row>
    <row r="26" spans="1:30">
      <c r="B26" t="s">
        <v>33</v>
      </c>
      <c r="C26" s="3">
        <f>J26+M26+G26+P26</f>
        <v>0</v>
      </c>
      <c r="D26" s="3">
        <f>G26</f>
        <v>0</v>
      </c>
      <c r="E26" s="3">
        <f>J26+M26+P26</f>
        <v>0</v>
      </c>
      <c r="F26" s="3">
        <v>339.7997046237476</v>
      </c>
      <c r="G26" s="3">
        <v>163.9528075835068</v>
      </c>
      <c r="H26" s="4">
        <f>IF(F26=0,0,G26/F26)</f>
        <v>0</v>
      </c>
      <c r="I26" s="3">
        <v>656.2360029629352</v>
      </c>
      <c r="J26" s="3">
        <v>111.9114792464019</v>
      </c>
      <c r="K26" s="4">
        <f>IF(I26=0,0,J26/I26)</f>
        <v>0</v>
      </c>
      <c r="L26" s="3">
        <v>12320.89391034633</v>
      </c>
      <c r="M26" s="3">
        <v>30.92236050494015</v>
      </c>
      <c r="N26" s="4">
        <f>IF(L26=0,0,M26/L26)</f>
        <v>0</v>
      </c>
      <c r="O26" s="3">
        <v>305.8977151284149</v>
      </c>
      <c r="P26" s="3">
        <v>13.55691215160029</v>
      </c>
      <c r="Q26" s="4">
        <f>IF(O26=0,0,P26/O26)</f>
        <v>0</v>
      </c>
      <c r="S26" s="3">
        <v>6232.448704163242</v>
      </c>
      <c r="T26" s="3">
        <v>3007.146413794556</v>
      </c>
      <c r="U26" s="4">
        <f>IF(S26=0,0,T26/S26)</f>
        <v>0</v>
      </c>
      <c r="V26" s="3">
        <v>20232379.41165718</v>
      </c>
      <c r="W26" s="3">
        <v>2815905.181914039</v>
      </c>
      <c r="X26" s="4">
        <f>IF(V26=0,0,W26/V26)</f>
        <v>0</v>
      </c>
      <c r="Y26" s="3">
        <v>1291512.272887179</v>
      </c>
      <c r="Z26" s="3">
        <v>51650.77630189992</v>
      </c>
      <c r="AA26" s="4">
        <f>IF(Y26=0,0,Z26/Y26)</f>
        <v>0</v>
      </c>
      <c r="AB26" s="3">
        <v>138538.5180813732</v>
      </c>
      <c r="AC26" s="3">
        <v>343.4734157078783</v>
      </c>
      <c r="AD26" s="4">
        <f>IF(AB26=0,0,AC26/AB26)</f>
        <v>0</v>
      </c>
    </row>
    <row r="27" spans="1:30">
      <c r="B27" t="s">
        <v>34</v>
      </c>
      <c r="C27" s="3">
        <f>J27+M27+G27+P27</f>
        <v>0</v>
      </c>
      <c r="D27" s="3">
        <f>G27</f>
        <v>0</v>
      </c>
      <c r="E27" s="3">
        <f>J27+M27+P27</f>
        <v>0</v>
      </c>
      <c r="F27" s="3">
        <v>298.4523954328049</v>
      </c>
      <c r="G27" s="3">
        <v>136.242078071581</v>
      </c>
      <c r="H27" s="4">
        <f>IF(F27=0,0,G27/F27)</f>
        <v>0</v>
      </c>
      <c r="I27" s="3">
        <v>465.2285123766713</v>
      </c>
      <c r="J27" s="3">
        <v>88.96980408031312</v>
      </c>
      <c r="K27" s="4">
        <f>IF(I27=0,0,J27/I27)</f>
        <v>0</v>
      </c>
      <c r="L27" s="3">
        <v>10752.45040482439</v>
      </c>
      <c r="M27" s="3">
        <v>19.48994554955885</v>
      </c>
      <c r="N27" s="4">
        <f>IF(L27=0,0,M27/L27)</f>
        <v>0</v>
      </c>
      <c r="O27" s="3">
        <v>286.1372571560934</v>
      </c>
      <c r="P27" s="3">
        <v>11.8147481515659</v>
      </c>
      <c r="Q27" s="4">
        <f>IF(O27=0,0,P27/O27)</f>
        <v>0</v>
      </c>
      <c r="S27" s="3">
        <v>5474.075521134529</v>
      </c>
      <c r="T27" s="3">
        <v>2498.889055450901</v>
      </c>
      <c r="U27" s="4">
        <f>IF(S27=0,0,T27/S27)</f>
        <v>0</v>
      </c>
      <c r="V27" s="3">
        <v>16252582.50407936</v>
      </c>
      <c r="W27" s="3">
        <v>2620057.91268337</v>
      </c>
      <c r="X27" s="4">
        <f>IF(V27=0,0,W27/V27)</f>
        <v>0</v>
      </c>
      <c r="Y27" s="3">
        <v>1133183.161267315</v>
      </c>
      <c r="Z27" s="3">
        <v>46663.02218609699</v>
      </c>
      <c r="AA27" s="4">
        <f>IF(Y27=0,0,Z27/Y27)</f>
        <v>0</v>
      </c>
      <c r="AB27" s="3">
        <v>120916.4236699175</v>
      </c>
      <c r="AC27" s="3">
        <v>216.2610395197698</v>
      </c>
      <c r="AD27" s="4">
        <f>IF(AB27=0,0,AC27/AB27)</f>
        <v>0</v>
      </c>
    </row>
    <row r="29" spans="1:30">
      <c r="A29" s="2" t="s">
        <v>37</v>
      </c>
    </row>
    <row r="30" spans="1:30">
      <c r="B30" t="s">
        <v>28</v>
      </c>
      <c r="C30" s="3">
        <f>C32+C33+C34+C35+C36</f>
        <v>0</v>
      </c>
      <c r="D30" s="3">
        <f>D32+D33+D34+D35+D36</f>
        <v>0</v>
      </c>
      <c r="E30" s="3">
        <f>E32+E33+E34+E35+E36</f>
        <v>0</v>
      </c>
      <c r="F30" s="3">
        <f>F32+F33+F34+F35+F36</f>
        <v>0</v>
      </c>
      <c r="G30" s="3">
        <f>G32+G33+G34+G35+G36</f>
        <v>0</v>
      </c>
      <c r="H30" s="4">
        <f>IF(F30=0,0,G30/F30)</f>
        <v>0</v>
      </c>
      <c r="I30" s="3">
        <f>I32+I33+I34+I35+I36</f>
        <v>0</v>
      </c>
      <c r="J30" s="3">
        <f>J32+J33+J34+J35+J36</f>
        <v>0</v>
      </c>
      <c r="K30" s="4">
        <f>IF(I30=0,0,J30/I30)</f>
        <v>0</v>
      </c>
      <c r="L30" s="3">
        <f>L32+L33+L34+L35+L36</f>
        <v>0</v>
      </c>
      <c r="M30" s="3">
        <f>M32+M33+M34+M35+M36</f>
        <v>0</v>
      </c>
      <c r="N30" s="4">
        <f>IF(L30=0,0,M30/L30)</f>
        <v>0</v>
      </c>
      <c r="O30" s="3">
        <f>O32+O33+O34+O35+O36</f>
        <v>0</v>
      </c>
      <c r="P30" s="3">
        <f>P32+P33+P34+P35+P36</f>
        <v>0</v>
      </c>
      <c r="Q30" s="4">
        <f>IF(O30=0,0,P30/O30)</f>
        <v>0</v>
      </c>
      <c r="S30" s="3">
        <f>S32+S33+S34+S35+S36</f>
        <v>0</v>
      </c>
      <c r="T30" s="3">
        <f>T32+T33+T34+T35+T36</f>
        <v>0</v>
      </c>
      <c r="U30" s="4">
        <f>IF(S30=0,0,T30/S30)</f>
        <v>0</v>
      </c>
      <c r="V30" s="3">
        <f>V32+V33+V34+V35+V36</f>
        <v>0</v>
      </c>
      <c r="W30" s="3">
        <f>W32+W33+W34+W35+W36</f>
        <v>0</v>
      </c>
      <c r="X30" s="4">
        <f>IF(V30=0,0,W30/V30)</f>
        <v>0</v>
      </c>
      <c r="Y30" s="3">
        <f>Y32+Y33+Y34+Y35+Y36</f>
        <v>0</v>
      </c>
      <c r="Z30" s="3">
        <f>Z32+Z33+Z34+Z35+Z36</f>
        <v>0</v>
      </c>
      <c r="AA30" s="4">
        <f>IF(Y30=0,0,Z30/Y30)</f>
        <v>0</v>
      </c>
      <c r="AB30" s="3">
        <f>AB32+AB33+AB34+AB35+AB36</f>
        <v>0</v>
      </c>
      <c r="AC30" s="3">
        <f>AC32+AC33+AC34+AC35+AC36</f>
        <v>0</v>
      </c>
      <c r="AD30" s="4">
        <f>IF(AB30=0,0,AC30/AB30)</f>
        <v>0</v>
      </c>
    </row>
    <row r="31" spans="1:30">
      <c r="A31" s="5" t="s">
        <v>29</v>
      </c>
    </row>
    <row r="32" spans="1:30">
      <c r="B32" t="s">
        <v>30</v>
      </c>
      <c r="C32" s="3">
        <f>J32+M32+G32+P32</f>
        <v>0</v>
      </c>
      <c r="D32" s="3">
        <f>G32</f>
        <v>0</v>
      </c>
      <c r="E32" s="3">
        <f>J32+M32+P32</f>
        <v>0</v>
      </c>
      <c r="F32" s="3">
        <v>414.1174655591563</v>
      </c>
      <c r="G32" s="3">
        <v>17.33188958193897</v>
      </c>
      <c r="H32" s="4">
        <f>IF(F32=0,0,G32/F32)</f>
        <v>0</v>
      </c>
      <c r="I32" s="3">
        <v>991.8205054212256</v>
      </c>
      <c r="J32" s="3">
        <v>11.67126541163598</v>
      </c>
      <c r="K32" s="4">
        <f>IF(I32=0,0,J32/I32)</f>
        <v>0</v>
      </c>
      <c r="L32" s="3">
        <v>18248.15090069409</v>
      </c>
      <c r="M32" s="3">
        <v>1.053563024971634</v>
      </c>
      <c r="N32" s="4">
        <f>IF(L32=0,0,M32/L32)</f>
        <v>0</v>
      </c>
      <c r="O32" s="3">
        <v>476.0481880235133</v>
      </c>
      <c r="P32" s="3">
        <v>1.403611563553917</v>
      </c>
      <c r="Q32" s="4">
        <f>IF(O32=0,0,P32/O32)</f>
        <v>0</v>
      </c>
      <c r="S32" s="3">
        <v>7595.550633139525</v>
      </c>
      <c r="T32" s="3">
        <v>317.8934863562181</v>
      </c>
      <c r="U32" s="4">
        <f>IF(S32=0,0,T32/S32)</f>
        <v>0</v>
      </c>
      <c r="V32" s="3">
        <v>25699987.56061059</v>
      </c>
      <c r="W32" s="3">
        <v>227272.752685409</v>
      </c>
      <c r="X32" s="4">
        <f>IF(V32=0,0,W32/V32)</f>
        <v>0</v>
      </c>
      <c r="Y32" s="3">
        <v>1959206.361225823</v>
      </c>
      <c r="Z32" s="3">
        <v>6013.303388603264</v>
      </c>
      <c r="AA32" s="4">
        <f>IF(Y32=0,0,Z32/Y32)</f>
        <v>0</v>
      </c>
      <c r="AB32" s="3">
        <v>205054.6892807224</v>
      </c>
      <c r="AC32" s="3">
        <v>11.66113448393298</v>
      </c>
      <c r="AD32" s="4">
        <f>IF(AB32=0,0,AC32/AB32)</f>
        <v>0</v>
      </c>
    </row>
    <row r="33" spans="1:30">
      <c r="B33" t="s">
        <v>31</v>
      </c>
      <c r="C33" s="3">
        <f>J33+M33+G33+P33</f>
        <v>0</v>
      </c>
      <c r="D33" s="3">
        <f>G33</f>
        <v>0</v>
      </c>
      <c r="E33" s="3">
        <f>J33+M33+P33</f>
        <v>0</v>
      </c>
      <c r="F33" s="3">
        <v>423.4608834802265</v>
      </c>
      <c r="G33" s="3">
        <v>33.49362841180107</v>
      </c>
      <c r="H33" s="4">
        <f>IF(F33=0,0,G33/F33)</f>
        <v>0</v>
      </c>
      <c r="I33" s="3">
        <v>847.5293917044748</v>
      </c>
      <c r="J33" s="3">
        <v>14.3231196181163</v>
      </c>
      <c r="K33" s="4">
        <f>IF(I33=0,0,J33/I33)</f>
        <v>0</v>
      </c>
      <c r="L33" s="3">
        <v>18442.648959675</v>
      </c>
      <c r="M33" s="3">
        <v>1.708336847607046</v>
      </c>
      <c r="N33" s="4">
        <f>IF(L33=0,0,M33/L33)</f>
        <v>0</v>
      </c>
      <c r="O33" s="3">
        <v>476.5639382629005</v>
      </c>
      <c r="P33" s="3">
        <v>1.674784317461948</v>
      </c>
      <c r="Q33" s="4">
        <f>IF(O33=0,0,P33/O33)</f>
        <v>0</v>
      </c>
      <c r="S33" s="3">
        <v>7766.92327449926</v>
      </c>
      <c r="T33" s="3">
        <v>614.3246099168791</v>
      </c>
      <c r="U33" s="4">
        <f>IF(S33=0,0,T33/S33)</f>
        <v>0</v>
      </c>
      <c r="V33" s="3">
        <v>23322467.60095111</v>
      </c>
      <c r="W33" s="3">
        <v>307442.101903148</v>
      </c>
      <c r="X33" s="4">
        <f>IF(V33=0,0,W33/V33)</f>
        <v>0</v>
      </c>
      <c r="Y33" s="3">
        <v>2033978.129974804</v>
      </c>
      <c r="Z33" s="3">
        <v>8632.855305685196</v>
      </c>
      <c r="AA33" s="4">
        <f>IF(Y33=0,0,Z33/Y33)</f>
        <v>0</v>
      </c>
      <c r="AB33" s="3">
        <v>207305.2882361168</v>
      </c>
      <c r="AC33" s="3">
        <v>19.08185642829631</v>
      </c>
      <c r="AD33" s="4">
        <f>IF(AB33=0,0,AC33/AB33)</f>
        <v>0</v>
      </c>
    </row>
    <row r="34" spans="1:30">
      <c r="B34" t="s">
        <v>32</v>
      </c>
      <c r="C34" s="3">
        <f>J34+M34+G34+P34</f>
        <v>0</v>
      </c>
      <c r="D34" s="3">
        <f>G34</f>
        <v>0</v>
      </c>
      <c r="E34" s="3">
        <f>J34+M34+P34</f>
        <v>0</v>
      </c>
      <c r="F34" s="3">
        <v>383.3486237845976</v>
      </c>
      <c r="G34" s="3">
        <v>41.90672628932121</v>
      </c>
      <c r="H34" s="4">
        <f>IF(F34=0,0,G34/F34)</f>
        <v>0</v>
      </c>
      <c r="I34" s="3">
        <v>721.6208038129823</v>
      </c>
      <c r="J34" s="3">
        <v>15.78004529479356</v>
      </c>
      <c r="K34" s="4">
        <f>IF(I34=0,0,J34/I34)</f>
        <v>0</v>
      </c>
      <c r="L34" s="3">
        <v>15355.96197556525</v>
      </c>
      <c r="M34" s="3">
        <v>1.813587757010013</v>
      </c>
      <c r="N34" s="4">
        <f>IF(L34=0,0,M34/L34)</f>
        <v>0</v>
      </c>
      <c r="O34" s="3">
        <v>391.5266582641886</v>
      </c>
      <c r="P34" s="3">
        <v>2.194292167443666</v>
      </c>
      <c r="Q34" s="4">
        <f>IF(O34=0,0,P34/O34)</f>
        <v>0</v>
      </c>
      <c r="S34" s="3">
        <v>7031.20279693764</v>
      </c>
      <c r="T34" s="3">
        <v>768.6337521888199</v>
      </c>
      <c r="U34" s="4">
        <f>IF(S34=0,0,T34/S34)</f>
        <v>0</v>
      </c>
      <c r="V34" s="3">
        <v>21162807.84637517</v>
      </c>
      <c r="W34" s="3">
        <v>369371.3976432048</v>
      </c>
      <c r="X34" s="4">
        <f>IF(V34=0,0,W34/V34)</f>
        <v>0</v>
      </c>
      <c r="Y34" s="3">
        <v>1664123.912966297</v>
      </c>
      <c r="Z34" s="3">
        <v>9278.728632609127</v>
      </c>
      <c r="AA34" s="4">
        <f>IF(Y34=0,0,Z34/Y34)</f>
        <v>0</v>
      </c>
      <c r="AB34" s="3">
        <v>172634.6152091868</v>
      </c>
      <c r="AC34" s="3">
        <v>20.14195956310141</v>
      </c>
      <c r="AD34" s="4">
        <f>IF(AB34=0,0,AC34/AB34)</f>
        <v>0</v>
      </c>
    </row>
    <row r="35" spans="1:30">
      <c r="B35" t="s">
        <v>33</v>
      </c>
      <c r="C35" s="3">
        <f>J35+M35+G35+P35</f>
        <v>0</v>
      </c>
      <c r="D35" s="3">
        <f>G35</f>
        <v>0</v>
      </c>
      <c r="E35" s="3">
        <f>J35+M35+P35</f>
        <v>0</v>
      </c>
      <c r="F35" s="3">
        <v>339.7997046237476</v>
      </c>
      <c r="G35" s="3">
        <v>49.15221262038295</v>
      </c>
      <c r="H35" s="4">
        <f>IF(F35=0,0,G35/F35)</f>
        <v>0</v>
      </c>
      <c r="I35" s="3">
        <v>656.2360029629352</v>
      </c>
      <c r="J35" s="3">
        <v>17.33737326095032</v>
      </c>
      <c r="K35" s="4">
        <f>IF(I35=0,0,J35/I35)</f>
        <v>0</v>
      </c>
      <c r="L35" s="3">
        <v>12320.89391034633</v>
      </c>
      <c r="M35" s="3">
        <v>0.7611593206617981</v>
      </c>
      <c r="N35" s="4">
        <f>IF(L35=0,0,M35/L35)</f>
        <v>0</v>
      </c>
      <c r="O35" s="3">
        <v>305.8977151284149</v>
      </c>
      <c r="P35" s="3">
        <v>2.158408031413972</v>
      </c>
      <c r="Q35" s="4">
        <f>IF(O35=0,0,P35/O35)</f>
        <v>0</v>
      </c>
      <c r="S35" s="3">
        <v>6232.448704163242</v>
      </c>
      <c r="T35" s="3">
        <v>901.527104597878</v>
      </c>
      <c r="U35" s="4">
        <f>IF(S35=0,0,T35/S35)</f>
        <v>0</v>
      </c>
      <c r="V35" s="3">
        <v>20232379.41165718</v>
      </c>
      <c r="W35" s="3">
        <v>430534.0067023523</v>
      </c>
      <c r="X35" s="4">
        <f>IF(V35=0,0,W35/V35)</f>
        <v>0</v>
      </c>
      <c r="Y35" s="3">
        <v>1291512.272887179</v>
      </c>
      <c r="Z35" s="3">
        <v>8071.82576554874</v>
      </c>
      <c r="AA35" s="4">
        <f>IF(Y35=0,0,Z35/Y35)</f>
        <v>0</v>
      </c>
      <c r="AB35" s="3">
        <v>138538.5180813732</v>
      </c>
      <c r="AC35" s="3">
        <v>8.480825079226634</v>
      </c>
      <c r="AD35" s="4">
        <f>IF(AB35=0,0,AC35/AB35)</f>
        <v>0</v>
      </c>
    </row>
    <row r="36" spans="1:30">
      <c r="B36" t="s">
        <v>34</v>
      </c>
      <c r="C36" s="3">
        <f>J36+M36+G36+P36</f>
        <v>0</v>
      </c>
      <c r="D36" s="3">
        <f>G36</f>
        <v>0</v>
      </c>
      <c r="E36" s="3">
        <f>J36+M36+P36</f>
        <v>0</v>
      </c>
      <c r="F36" s="3">
        <v>298.4523954328049</v>
      </c>
      <c r="G36" s="3">
        <v>47.83864135924927</v>
      </c>
      <c r="H36" s="4">
        <f>IF(F36=0,0,G36/F36)</f>
        <v>0</v>
      </c>
      <c r="I36" s="3">
        <v>465.2285123766713</v>
      </c>
      <c r="J36" s="3">
        <v>14.87518745130871</v>
      </c>
      <c r="K36" s="4">
        <f>IF(I36=0,0,J36/I36)</f>
        <v>0</v>
      </c>
      <c r="L36" s="3">
        <v>10752.45040482439</v>
      </c>
      <c r="M36" s="3">
        <v>2.380907366001979</v>
      </c>
      <c r="N36" s="4">
        <f>IF(L36=0,0,M36/L36)</f>
        <v>0</v>
      </c>
      <c r="O36" s="3">
        <v>286.1372571560934</v>
      </c>
      <c r="P36" s="3">
        <v>1.81975696763437</v>
      </c>
      <c r="Q36" s="4">
        <f>IF(O36=0,0,P36/O36)</f>
        <v>0</v>
      </c>
      <c r="S36" s="3">
        <v>5474.075521134529</v>
      </c>
      <c r="T36" s="3">
        <v>877.4341892925413</v>
      </c>
      <c r="U36" s="4">
        <f>IF(S36=0,0,T36/S36)</f>
        <v>0</v>
      </c>
      <c r="V36" s="3">
        <v>16252582.50407936</v>
      </c>
      <c r="W36" s="3">
        <v>432632.1491682045</v>
      </c>
      <c r="X36" s="4">
        <f>IF(V36=0,0,W36/V36)</f>
        <v>0</v>
      </c>
      <c r="Y36" s="3">
        <v>1133183.161267315</v>
      </c>
      <c r="Z36" s="3">
        <v>7758.964301767992</v>
      </c>
      <c r="AA36" s="4">
        <f>IF(Y36=0,0,Z36/Y36)</f>
        <v>0</v>
      </c>
      <c r="AB36" s="3">
        <v>120916.4236699175</v>
      </c>
      <c r="AC36" s="3">
        <v>26.50257837252866</v>
      </c>
      <c r="AD36" s="4">
        <f>IF(AB36=0,0,AC36/AB36)</f>
        <v>0</v>
      </c>
    </row>
    <row r="38" spans="1:30">
      <c r="A38" s="2" t="s">
        <v>38</v>
      </c>
    </row>
    <row r="39" spans="1:30">
      <c r="B39" t="s">
        <v>28</v>
      </c>
      <c r="C39" s="3">
        <f>C41+C42+C43+C44+C45</f>
        <v>0</v>
      </c>
      <c r="D39" s="3">
        <f>D41+D42+D43+D44+D45</f>
        <v>0</v>
      </c>
      <c r="E39" s="3">
        <f>E41+E42+E43+E44+E45</f>
        <v>0</v>
      </c>
      <c r="F39" s="3">
        <f>F41+F42+F43+F44+F45</f>
        <v>0</v>
      </c>
      <c r="G39" s="3">
        <f>G41+G42+G43+G44+G45</f>
        <v>0</v>
      </c>
      <c r="H39" s="4">
        <f>IF(F39=0,0,G39/F39)</f>
        <v>0</v>
      </c>
      <c r="I39" s="3">
        <f>I41+I42+I43+I44+I45</f>
        <v>0</v>
      </c>
      <c r="J39" s="6">
        <f>J41+J42+J43+J44+J45</f>
        <v>0</v>
      </c>
      <c r="K39" s="7">
        <f>IF(I39=0,0,J39/I39)</f>
        <v>0</v>
      </c>
      <c r="L39" s="3">
        <f>L41+L42+L43+L44+L45</f>
        <v>0</v>
      </c>
      <c r="M39" s="3">
        <f>M41+M42+M43+M44+M45</f>
        <v>0</v>
      </c>
      <c r="N39" s="4">
        <f>IF(L39=0,0,M39/L39)</f>
        <v>0</v>
      </c>
      <c r="O39" s="3">
        <f>O41+O42+O43+O44+O45</f>
        <v>0</v>
      </c>
      <c r="P39" s="3">
        <f>P41+P42+P43+P44+P45</f>
        <v>0</v>
      </c>
      <c r="Q39" s="4">
        <f>IF(O39=0,0,P39/O39)</f>
        <v>0</v>
      </c>
      <c r="S39" s="3">
        <f>S41+S42+S43+S44+S45</f>
        <v>0</v>
      </c>
      <c r="T39" s="3">
        <f>T41+T42+T43+T44+T45</f>
        <v>0</v>
      </c>
      <c r="U39" s="4">
        <f>IF(S39=0,0,T39/S39)</f>
        <v>0</v>
      </c>
      <c r="V39" s="3">
        <f>V41+V42+V43+V44+V45</f>
        <v>0</v>
      </c>
      <c r="W39" s="6">
        <f>W41+W42+W43+W44+W45</f>
        <v>0</v>
      </c>
      <c r="X39" s="7">
        <f>IF(V39=0,0,W39/V39)</f>
        <v>0</v>
      </c>
      <c r="Y39" s="3">
        <f>Y41+Y42+Y43+Y44+Y45</f>
        <v>0</v>
      </c>
      <c r="Z39" s="3">
        <f>Z41+Z42+Z43+Z44+Z45</f>
        <v>0</v>
      </c>
      <c r="AA39" s="4">
        <f>IF(Y39=0,0,Z39/Y39)</f>
        <v>0</v>
      </c>
      <c r="AB39" s="3">
        <f>AB41+AB42+AB43+AB44+AB45</f>
        <v>0</v>
      </c>
      <c r="AC39" s="3">
        <f>AC41+AC42+AC43+AC44+AC45</f>
        <v>0</v>
      </c>
      <c r="AD39" s="4">
        <f>IF(AB39=0,0,AC39/AB39)</f>
        <v>0</v>
      </c>
    </row>
    <row r="40" spans="1:30">
      <c r="A40" s="5" t="s">
        <v>29</v>
      </c>
    </row>
    <row r="41" spans="1:30">
      <c r="B41" t="s">
        <v>30</v>
      </c>
      <c r="C41" s="3">
        <f>J41+M41+G41+P41</f>
        <v>0</v>
      </c>
      <c r="D41" s="3">
        <f>G41+J41</f>
        <v>0</v>
      </c>
      <c r="E41" s="3">
        <f>P41+M41</f>
        <v>0</v>
      </c>
      <c r="F41" s="3">
        <v>155.693183623828</v>
      </c>
      <c r="G41" s="3">
        <v>72.16770895741165</v>
      </c>
      <c r="H41" s="4">
        <f>IF(F41=0,0,G41/F41)</f>
        <v>0</v>
      </c>
      <c r="I41" s="3">
        <v>289.9009013946363</v>
      </c>
      <c r="J41" s="6">
        <v>2.57749961572641</v>
      </c>
      <c r="K41" s="7">
        <f>IF(I41=0,0,J41/I41)</f>
        <v>0</v>
      </c>
      <c r="L41" s="3">
        <v>0</v>
      </c>
      <c r="M41" s="3">
        <v>0</v>
      </c>
      <c r="N41" s="4">
        <f>IF(L41=0,0,M41/L41)</f>
        <v>0</v>
      </c>
      <c r="O41" s="3">
        <v>0</v>
      </c>
      <c r="P41" s="3">
        <v>0</v>
      </c>
      <c r="Q41" s="4">
        <f>IF(O41=0,0,P41/O41)</f>
        <v>0</v>
      </c>
      <c r="S41" s="3">
        <v>2076.424364219953</v>
      </c>
      <c r="T41" s="3">
        <v>962.4749504201816</v>
      </c>
      <c r="U41" s="4">
        <f>IF(S41=0,0,T41/S41)</f>
        <v>0</v>
      </c>
      <c r="V41" s="3">
        <v>7917202.430076606</v>
      </c>
      <c r="W41" s="6">
        <v>75888.02632279508</v>
      </c>
      <c r="X41" s="7">
        <f>IF(V41=0,0,W41/V41)</f>
        <v>0</v>
      </c>
      <c r="Y41" s="3">
        <v>0</v>
      </c>
      <c r="Z41" s="3">
        <v>0</v>
      </c>
      <c r="AA41" s="4">
        <f>IF(Y41=0,0,Z41/Y41)</f>
        <v>0</v>
      </c>
      <c r="AB41" s="3">
        <v>0</v>
      </c>
      <c r="AC41" s="3">
        <v>0</v>
      </c>
      <c r="AD41" s="4">
        <f>IF(AB41=0,0,AC41/AB41)</f>
        <v>0</v>
      </c>
    </row>
    <row r="42" spans="1:30">
      <c r="B42" t="s">
        <v>31</v>
      </c>
      <c r="C42" s="3">
        <f>J42+M42+G42+P42</f>
        <v>0</v>
      </c>
      <c r="D42" s="3">
        <f>G42+J42</f>
        <v>0</v>
      </c>
      <c r="E42" s="3">
        <f>P42+M42</f>
        <v>0</v>
      </c>
      <c r="F42" s="3">
        <v>148.099829866749</v>
      </c>
      <c r="G42" s="3">
        <v>72.91049047900319</v>
      </c>
      <c r="H42" s="4">
        <f>IF(F42=0,0,G42/F42)</f>
        <v>0</v>
      </c>
      <c r="I42" s="3">
        <v>172.5102033195305</v>
      </c>
      <c r="J42" s="6">
        <v>2.092952702855459</v>
      </c>
      <c r="K42" s="7">
        <f>IF(I42=0,0,J42/I42)</f>
        <v>0</v>
      </c>
      <c r="L42" s="3">
        <v>0</v>
      </c>
      <c r="M42" s="3">
        <v>0</v>
      </c>
      <c r="N42" s="4">
        <f>IF(L42=0,0,M42/L42)</f>
        <v>0</v>
      </c>
      <c r="O42" s="3">
        <v>0</v>
      </c>
      <c r="P42" s="3">
        <v>0</v>
      </c>
      <c r="Q42" s="4">
        <f>IF(O42=0,0,P42/O42)</f>
        <v>0</v>
      </c>
      <c r="S42" s="3">
        <v>1975.154518101098</v>
      </c>
      <c r="T42" s="3">
        <v>972.3811621940484</v>
      </c>
      <c r="U42" s="4">
        <f>IF(S42=0,0,T42/S42)</f>
        <v>0</v>
      </c>
      <c r="V42" s="3">
        <v>5775458.9344058</v>
      </c>
      <c r="W42" s="6">
        <v>81365.06762592774</v>
      </c>
      <c r="X42" s="7">
        <f>IF(V42=0,0,W42/V42)</f>
        <v>0</v>
      </c>
      <c r="Y42" s="3">
        <v>0</v>
      </c>
      <c r="Z42" s="3">
        <v>0</v>
      </c>
      <c r="AA42" s="4">
        <f>IF(Y42=0,0,Z42/Y42)</f>
        <v>0</v>
      </c>
      <c r="AB42" s="3">
        <v>0</v>
      </c>
      <c r="AC42" s="3">
        <v>0</v>
      </c>
      <c r="AD42" s="4">
        <f>IF(AB42=0,0,AC42/AB42)</f>
        <v>0</v>
      </c>
    </row>
    <row r="43" spans="1:30">
      <c r="B43" t="s">
        <v>32</v>
      </c>
      <c r="C43" s="3">
        <f>J43+M43+G43+P43</f>
        <v>0</v>
      </c>
      <c r="D43" s="3">
        <f>G43+J43</f>
        <v>0</v>
      </c>
      <c r="E43" s="3">
        <f>P43+M43</f>
        <v>0</v>
      </c>
      <c r="F43" s="3">
        <v>134.796744990006</v>
      </c>
      <c r="G43" s="3">
        <v>72.9484758735861</v>
      </c>
      <c r="H43" s="4">
        <f>IF(F43=0,0,G43/F43)</f>
        <v>0</v>
      </c>
      <c r="I43" s="3">
        <v>135.4560554360413</v>
      </c>
      <c r="J43" s="6">
        <v>2.287314210165379</v>
      </c>
      <c r="K43" s="7">
        <f>IF(I43=0,0,J43/I43)</f>
        <v>0</v>
      </c>
      <c r="L43" s="3">
        <v>0</v>
      </c>
      <c r="M43" s="3">
        <v>0</v>
      </c>
      <c r="N43" s="4">
        <f>IF(L43=0,0,M43/L43)</f>
        <v>0</v>
      </c>
      <c r="O43" s="3">
        <v>0</v>
      </c>
      <c r="P43" s="3">
        <v>0</v>
      </c>
      <c r="Q43" s="4">
        <f>IF(O43=0,0,P43/O43)</f>
        <v>0</v>
      </c>
      <c r="S43" s="3">
        <v>1797.736028001397</v>
      </c>
      <c r="T43" s="3">
        <v>972.8877598302499</v>
      </c>
      <c r="U43" s="4">
        <f>IF(S43=0,0,T43/S43)</f>
        <v>0</v>
      </c>
      <c r="V43" s="3">
        <v>4941006.318926696</v>
      </c>
      <c r="W43" s="6">
        <v>93694.98213961534</v>
      </c>
      <c r="X43" s="7">
        <f>IF(V43=0,0,W43/V43)</f>
        <v>0</v>
      </c>
      <c r="Y43" s="3">
        <v>0</v>
      </c>
      <c r="Z43" s="3">
        <v>0</v>
      </c>
      <c r="AA43" s="4">
        <f>IF(Y43=0,0,Z43/Y43)</f>
        <v>0</v>
      </c>
      <c r="AB43" s="3">
        <v>0</v>
      </c>
      <c r="AC43" s="3">
        <v>0</v>
      </c>
      <c r="AD43" s="4">
        <f>IF(AB43=0,0,AC43/AB43)</f>
        <v>0</v>
      </c>
    </row>
    <row r="44" spans="1:30">
      <c r="B44" t="s">
        <v>33</v>
      </c>
      <c r="C44" s="3">
        <f>J44+M44+G44+P44</f>
        <v>0</v>
      </c>
      <c r="D44" s="3">
        <f>G44+J44</f>
        <v>0</v>
      </c>
      <c r="E44" s="3">
        <f>P44+M44</f>
        <v>0</v>
      </c>
      <c r="F44" s="3">
        <v>118.7859525719791</v>
      </c>
      <c r="G44" s="3">
        <v>33.21364103058893</v>
      </c>
      <c r="H44" s="4">
        <f>IF(F44=0,0,G44/F44)</f>
        <v>0</v>
      </c>
      <c r="I44" s="3">
        <v>131.3138854296834</v>
      </c>
      <c r="J44" s="6">
        <v>0.8526697489883809</v>
      </c>
      <c r="K44" s="7">
        <f>IF(I44=0,0,J44/I44)</f>
        <v>0</v>
      </c>
      <c r="L44" s="3">
        <v>0</v>
      </c>
      <c r="M44" s="3">
        <v>0</v>
      </c>
      <c r="N44" s="4">
        <f>IF(L44=0,0,M44/L44)</f>
        <v>0</v>
      </c>
      <c r="O44" s="3">
        <v>0</v>
      </c>
      <c r="P44" s="3">
        <v>0</v>
      </c>
      <c r="Q44" s="4">
        <f>IF(O44=0,0,P44/O44)</f>
        <v>0</v>
      </c>
      <c r="S44" s="3">
        <v>1584.205809828305</v>
      </c>
      <c r="T44" s="3">
        <v>442.958463917078</v>
      </c>
      <c r="U44" s="4">
        <f>IF(S44=0,0,T44/S44)</f>
        <v>0</v>
      </c>
      <c r="V44" s="3">
        <v>4714339.930251096</v>
      </c>
      <c r="W44" s="6">
        <v>37175.27322141826</v>
      </c>
      <c r="X44" s="7">
        <f>IF(V44=0,0,W44/V44)</f>
        <v>0</v>
      </c>
      <c r="Y44" s="3">
        <v>0</v>
      </c>
      <c r="Z44" s="3">
        <v>0</v>
      </c>
      <c r="AA44" s="4">
        <f>IF(Y44=0,0,Z44/Y44)</f>
        <v>0</v>
      </c>
      <c r="AB44" s="3">
        <v>0</v>
      </c>
      <c r="AC44" s="3">
        <v>0</v>
      </c>
      <c r="AD44" s="4">
        <f>IF(AB44=0,0,AC44/AB44)</f>
        <v>0</v>
      </c>
    </row>
    <row r="45" spans="1:30">
      <c r="B45" t="s">
        <v>34</v>
      </c>
      <c r="C45" s="3">
        <f>J45+M45+G45+P45</f>
        <v>0</v>
      </c>
      <c r="D45" s="3">
        <f>G45+J45</f>
        <v>0</v>
      </c>
      <c r="E45" s="3">
        <f>P45+M45</f>
        <v>0</v>
      </c>
      <c r="F45" s="3">
        <v>93.71022621139285</v>
      </c>
      <c r="G45" s="3">
        <v>19.08619597135289</v>
      </c>
      <c r="H45" s="4">
        <f>IF(F45=0,0,G45/F45)</f>
        <v>0</v>
      </c>
      <c r="I45" s="3">
        <v>85.34930063788899</v>
      </c>
      <c r="J45" s="6">
        <v>0.6193965967932891</v>
      </c>
      <c r="K45" s="7">
        <f>IF(I45=0,0,J45/I45)</f>
        <v>0</v>
      </c>
      <c r="L45" s="3">
        <v>0</v>
      </c>
      <c r="M45" s="3">
        <v>0</v>
      </c>
      <c r="N45" s="4">
        <f>IF(L45=0,0,M45/L45)</f>
        <v>0</v>
      </c>
      <c r="O45" s="3">
        <v>0</v>
      </c>
      <c r="P45" s="3">
        <v>0</v>
      </c>
      <c r="Q45" s="4">
        <f>IF(O45=0,0,P45/O45)</f>
        <v>0</v>
      </c>
      <c r="S45" s="3">
        <v>1249.779806366036</v>
      </c>
      <c r="T45" s="3">
        <v>254.545776589339</v>
      </c>
      <c r="U45" s="4">
        <f>IF(S45=0,0,T45/S45)</f>
        <v>0</v>
      </c>
      <c r="V45" s="3">
        <v>3542162.222585884</v>
      </c>
      <c r="W45" s="6">
        <v>29337.3724585874</v>
      </c>
      <c r="X45" s="7">
        <f>IF(V45=0,0,W45/V45)</f>
        <v>0</v>
      </c>
      <c r="Y45" s="3">
        <v>0</v>
      </c>
      <c r="Z45" s="3">
        <v>0</v>
      </c>
      <c r="AA45" s="4">
        <f>IF(Y45=0,0,Z45/Y45)</f>
        <v>0</v>
      </c>
      <c r="AB45" s="3">
        <v>0</v>
      </c>
      <c r="AC45" s="3">
        <v>0</v>
      </c>
      <c r="AD45" s="4">
        <f>IF(AB45=0,0,AC45/AB45)</f>
        <v>0</v>
      </c>
    </row>
    <row r="47" spans="1:30">
      <c r="A47" s="2" t="s">
        <v>39</v>
      </c>
    </row>
    <row r="48" spans="1:30">
      <c r="B48" t="s">
        <v>28</v>
      </c>
      <c r="C48" s="3">
        <f>C50+C51+C52+C53+C54</f>
        <v>0</v>
      </c>
      <c r="D48" s="3">
        <f>D50+D51+D52+D53+D54</f>
        <v>0</v>
      </c>
      <c r="E48" s="3">
        <f>E50+E51+E52+E53+E54</f>
        <v>0</v>
      </c>
      <c r="F48" s="3">
        <f>F50+F51+F52+F53+F54</f>
        <v>0</v>
      </c>
      <c r="G48" s="3">
        <f>G50+G51+G52+G53+G54</f>
        <v>0</v>
      </c>
      <c r="H48" s="4">
        <f>IF(F48=0,0,G48/F48)</f>
        <v>0</v>
      </c>
      <c r="I48" s="3">
        <f>I50+I51+I52+I53+I54</f>
        <v>0</v>
      </c>
      <c r="J48" s="6">
        <f>J50+J51+J52+J53+J54</f>
        <v>0</v>
      </c>
      <c r="K48" s="7">
        <f>IF(I48=0,0,J48/I48)</f>
        <v>0</v>
      </c>
      <c r="L48" s="3">
        <f>L50+L51+L52+L53+L54</f>
        <v>0</v>
      </c>
      <c r="M48" s="3">
        <f>M50+M51+M52+M53+M54</f>
        <v>0</v>
      </c>
      <c r="N48" s="4">
        <f>IF(L48=0,0,M48/L48)</f>
        <v>0</v>
      </c>
      <c r="O48" s="3">
        <f>O50+O51+O52+O53+O54</f>
        <v>0</v>
      </c>
      <c r="P48" s="3">
        <f>P50+P51+P52+P53+P54</f>
        <v>0</v>
      </c>
      <c r="Q48" s="4">
        <f>IF(O48=0,0,P48/O48)</f>
        <v>0</v>
      </c>
      <c r="S48" s="3">
        <f>S50+S51+S52+S53+S54</f>
        <v>0</v>
      </c>
      <c r="T48" s="3">
        <f>T50+T51+T52+T53+T54</f>
        <v>0</v>
      </c>
      <c r="U48" s="4">
        <f>IF(S48=0,0,T48/S48)</f>
        <v>0</v>
      </c>
      <c r="V48" s="3">
        <f>V50+V51+V52+V53+V54</f>
        <v>0</v>
      </c>
      <c r="W48" s="6">
        <f>W50+W51+W52+W53+W54</f>
        <v>0</v>
      </c>
      <c r="X48" s="7">
        <f>IF(V48=0,0,W48/V48)</f>
        <v>0</v>
      </c>
      <c r="Y48" s="3">
        <f>Y50+Y51+Y52+Y53+Y54</f>
        <v>0</v>
      </c>
      <c r="Z48" s="3">
        <f>Z50+Z51+Z52+Z53+Z54</f>
        <v>0</v>
      </c>
      <c r="AA48" s="4">
        <f>IF(Y48=0,0,Z48/Y48)</f>
        <v>0</v>
      </c>
      <c r="AB48" s="3">
        <f>AB50+AB51+AB52+AB53+AB54</f>
        <v>0</v>
      </c>
      <c r="AC48" s="3">
        <f>AC50+AC51+AC52+AC53+AC54</f>
        <v>0</v>
      </c>
      <c r="AD48" s="4">
        <f>IF(AB48=0,0,AC48/AB48)</f>
        <v>0</v>
      </c>
    </row>
    <row r="49" spans="1:30">
      <c r="A49" s="5" t="s">
        <v>29</v>
      </c>
    </row>
    <row r="50" spans="1:30">
      <c r="B50" t="s">
        <v>30</v>
      </c>
      <c r="C50" s="3">
        <f>J50+M50+G50+P50</f>
        <v>0</v>
      </c>
      <c r="D50" s="3">
        <f>G50+J50</f>
        <v>0</v>
      </c>
      <c r="E50" s="3">
        <f>P50+M50</f>
        <v>0</v>
      </c>
      <c r="F50" s="3">
        <v>155.693183623828</v>
      </c>
      <c r="G50" s="3">
        <v>128.1413608709483</v>
      </c>
      <c r="H50" s="4">
        <f>IF(F50=0,0,G50/F50)</f>
        <v>0</v>
      </c>
      <c r="I50" s="3">
        <v>289.9009013946363</v>
      </c>
      <c r="J50" s="6">
        <v>9.579560738421627</v>
      </c>
      <c r="K50" s="7">
        <f>IF(I50=0,0,J50/I50)</f>
        <v>0</v>
      </c>
      <c r="L50" s="3">
        <v>0</v>
      </c>
      <c r="M50" s="3">
        <v>0</v>
      </c>
      <c r="N50" s="4">
        <f>IF(L50=0,0,M50/L50)</f>
        <v>0</v>
      </c>
      <c r="O50" s="3">
        <v>0</v>
      </c>
      <c r="P50" s="3">
        <v>0</v>
      </c>
      <c r="Q50" s="4">
        <f>IF(O50=0,0,P50/O50)</f>
        <v>0</v>
      </c>
      <c r="S50" s="3">
        <v>2076.424364219953</v>
      </c>
      <c r="T50" s="3">
        <v>1708.975547828781</v>
      </c>
      <c r="U50" s="4">
        <f>IF(S50=0,0,T50/S50)</f>
        <v>0</v>
      </c>
      <c r="V50" s="3">
        <v>7917202.430076606</v>
      </c>
      <c r="W50" s="6">
        <v>289948.8097963436</v>
      </c>
      <c r="X50" s="7">
        <f>IF(V50=0,0,W50/V50)</f>
        <v>0</v>
      </c>
      <c r="Y50" s="3">
        <v>0</v>
      </c>
      <c r="Z50" s="3">
        <v>0</v>
      </c>
      <c r="AA50" s="4">
        <f>IF(Y50=0,0,Z50/Y50)</f>
        <v>0</v>
      </c>
      <c r="AB50" s="3">
        <v>0</v>
      </c>
      <c r="AC50" s="3">
        <v>0</v>
      </c>
      <c r="AD50" s="4">
        <f>IF(AB50=0,0,AC50/AB50)</f>
        <v>0</v>
      </c>
    </row>
    <row r="51" spans="1:30">
      <c r="B51" t="s">
        <v>31</v>
      </c>
      <c r="C51" s="3">
        <f>J51+M51+G51+P51</f>
        <v>0</v>
      </c>
      <c r="D51" s="3">
        <f>G51+J51</f>
        <v>0</v>
      </c>
      <c r="E51" s="3">
        <f>P51+M51</f>
        <v>0</v>
      </c>
      <c r="F51" s="3">
        <v>148.099829866749</v>
      </c>
      <c r="G51" s="3">
        <v>124.690141566094</v>
      </c>
      <c r="H51" s="4">
        <f>IF(F51=0,0,G51/F51)</f>
        <v>0</v>
      </c>
      <c r="I51" s="3">
        <v>172.5102033195305</v>
      </c>
      <c r="J51" s="6">
        <v>7.55612644698788</v>
      </c>
      <c r="K51" s="7">
        <f>IF(I51=0,0,J51/I51)</f>
        <v>0</v>
      </c>
      <c r="L51" s="3">
        <v>0</v>
      </c>
      <c r="M51" s="3">
        <v>0</v>
      </c>
      <c r="N51" s="4">
        <f>IF(L51=0,0,M51/L51)</f>
        <v>0</v>
      </c>
      <c r="O51" s="3">
        <v>0</v>
      </c>
      <c r="P51" s="3">
        <v>0</v>
      </c>
      <c r="Q51" s="4">
        <f>IF(O51=0,0,P51/O51)</f>
        <v>0</v>
      </c>
      <c r="S51" s="3">
        <v>1975.154518101098</v>
      </c>
      <c r="T51" s="3">
        <v>1662.947869005153</v>
      </c>
      <c r="U51" s="4">
        <f>IF(S51=0,0,T51/S51)</f>
        <v>0</v>
      </c>
      <c r="V51" s="3">
        <v>5775458.9344058</v>
      </c>
      <c r="W51" s="6">
        <v>301589.2033798397</v>
      </c>
      <c r="X51" s="7">
        <f>IF(V51=0,0,W51/V51)</f>
        <v>0</v>
      </c>
      <c r="Y51" s="3">
        <v>0</v>
      </c>
      <c r="Z51" s="3">
        <v>0</v>
      </c>
      <c r="AA51" s="4">
        <f>IF(Y51=0,0,Z51/Y51)</f>
        <v>0</v>
      </c>
      <c r="AB51" s="3">
        <v>0</v>
      </c>
      <c r="AC51" s="3">
        <v>0</v>
      </c>
      <c r="AD51" s="4">
        <f>IF(AB51=0,0,AC51/AB51)</f>
        <v>0</v>
      </c>
    </row>
    <row r="52" spans="1:30">
      <c r="B52" t="s">
        <v>32</v>
      </c>
      <c r="C52" s="3">
        <f>J52+M52+G52+P52</f>
        <v>0</v>
      </c>
      <c r="D52" s="3">
        <f>G52+J52</f>
        <v>0</v>
      </c>
      <c r="E52" s="3">
        <f>P52+M52</f>
        <v>0</v>
      </c>
      <c r="F52" s="3">
        <v>134.796744990006</v>
      </c>
      <c r="G52" s="3">
        <v>117.3169351601271</v>
      </c>
      <c r="H52" s="4">
        <f>IF(F52=0,0,G52/F52)</f>
        <v>0</v>
      </c>
      <c r="I52" s="3">
        <v>135.4560554360413</v>
      </c>
      <c r="J52" s="6">
        <v>8.085542072412819</v>
      </c>
      <c r="K52" s="7">
        <f>IF(I52=0,0,J52/I52)</f>
        <v>0</v>
      </c>
      <c r="L52" s="3">
        <v>0</v>
      </c>
      <c r="M52" s="3">
        <v>0</v>
      </c>
      <c r="N52" s="4">
        <f>IF(L52=0,0,M52/L52)</f>
        <v>0</v>
      </c>
      <c r="O52" s="3">
        <v>0</v>
      </c>
      <c r="P52" s="3">
        <v>0</v>
      </c>
      <c r="Q52" s="4">
        <f>IF(O52=0,0,P52/O52)</f>
        <v>0</v>
      </c>
      <c r="S52" s="3">
        <v>1797.736028001397</v>
      </c>
      <c r="T52" s="3">
        <v>1564.614049454244</v>
      </c>
      <c r="U52" s="4">
        <f>IF(S52=0,0,T52/S52)</f>
        <v>0</v>
      </c>
      <c r="V52" s="3">
        <v>4941006.318926696</v>
      </c>
      <c r="W52" s="6">
        <v>340742.8114436772</v>
      </c>
      <c r="X52" s="7">
        <f>IF(V52=0,0,W52/V52)</f>
        <v>0</v>
      </c>
      <c r="Y52" s="3">
        <v>0</v>
      </c>
      <c r="Z52" s="3">
        <v>0</v>
      </c>
      <c r="AA52" s="4">
        <f>IF(Y52=0,0,Z52/Y52)</f>
        <v>0</v>
      </c>
      <c r="AB52" s="3">
        <v>0</v>
      </c>
      <c r="AC52" s="3">
        <v>0</v>
      </c>
      <c r="AD52" s="4">
        <f>IF(AB52=0,0,AC52/AB52)</f>
        <v>0</v>
      </c>
    </row>
    <row r="53" spans="1:30">
      <c r="B53" t="s">
        <v>33</v>
      </c>
      <c r="C53" s="3">
        <f>J53+M53+G53+P53</f>
        <v>0</v>
      </c>
      <c r="D53" s="3">
        <f>G53+J53</f>
        <v>0</v>
      </c>
      <c r="E53" s="3">
        <f>P53+M53</f>
        <v>0</v>
      </c>
      <c r="F53" s="3">
        <v>118.7859525719791</v>
      </c>
      <c r="G53" s="3">
        <v>77.0874861199776</v>
      </c>
      <c r="H53" s="4">
        <f>IF(F53=0,0,G53/F53)</f>
        <v>0</v>
      </c>
      <c r="I53" s="3">
        <v>131.3138854296834</v>
      </c>
      <c r="J53" s="6">
        <v>3.240305918559723</v>
      </c>
      <c r="K53" s="7">
        <f>IF(I53=0,0,J53/I53)</f>
        <v>0</v>
      </c>
      <c r="L53" s="3">
        <v>0</v>
      </c>
      <c r="M53" s="3">
        <v>0</v>
      </c>
      <c r="N53" s="4">
        <f>IF(L53=0,0,M53/L53)</f>
        <v>0</v>
      </c>
      <c r="O53" s="3">
        <v>0</v>
      </c>
      <c r="P53" s="3">
        <v>0</v>
      </c>
      <c r="Q53" s="4">
        <f>IF(O53=0,0,P53/O53)</f>
        <v>0</v>
      </c>
      <c r="S53" s="3">
        <v>1584.205809828305</v>
      </c>
      <c r="T53" s="3">
        <v>1028.088260708491</v>
      </c>
      <c r="U53" s="4">
        <f>IF(S53=0,0,T53/S53)</f>
        <v>0</v>
      </c>
      <c r="V53" s="3">
        <v>4714339.930251096</v>
      </c>
      <c r="W53" s="6">
        <v>142904.1636235043</v>
      </c>
      <c r="X53" s="7">
        <f>IF(V53=0,0,W53/V53)</f>
        <v>0</v>
      </c>
      <c r="Y53" s="3">
        <v>0</v>
      </c>
      <c r="Z53" s="3">
        <v>0</v>
      </c>
      <c r="AA53" s="4">
        <f>IF(Y53=0,0,Z53/Y53)</f>
        <v>0</v>
      </c>
      <c r="AB53" s="3">
        <v>0</v>
      </c>
      <c r="AC53" s="3">
        <v>0</v>
      </c>
      <c r="AD53" s="4">
        <f>IF(AB53=0,0,AC53/AB53)</f>
        <v>0</v>
      </c>
    </row>
    <row r="54" spans="1:30">
      <c r="B54" t="s">
        <v>34</v>
      </c>
      <c r="C54" s="3">
        <f>J54+M54+G54+P54</f>
        <v>0</v>
      </c>
      <c r="D54" s="3">
        <f>G54+J54</f>
        <v>0</v>
      </c>
      <c r="E54" s="3">
        <f>P54+M54</f>
        <v>0</v>
      </c>
      <c r="F54" s="3">
        <v>93.71022621139285</v>
      </c>
      <c r="G54" s="3">
        <v>50.34418065239444</v>
      </c>
      <c r="H54" s="4">
        <f>IF(F54=0,0,G54/F54)</f>
        <v>0</v>
      </c>
      <c r="I54" s="3">
        <v>85.34930063788899</v>
      </c>
      <c r="J54" s="6">
        <v>2.379898399251702</v>
      </c>
      <c r="K54" s="7">
        <f>IF(I54=0,0,J54/I54)</f>
        <v>0</v>
      </c>
      <c r="L54" s="3">
        <v>0</v>
      </c>
      <c r="M54" s="3">
        <v>0</v>
      </c>
      <c r="N54" s="4">
        <f>IF(L54=0,0,M54/L54)</f>
        <v>0</v>
      </c>
      <c r="O54" s="3">
        <v>0</v>
      </c>
      <c r="P54" s="3">
        <v>0</v>
      </c>
      <c r="Q54" s="4">
        <f>IF(O54=0,0,P54/O54)</f>
        <v>0</v>
      </c>
      <c r="S54" s="3">
        <v>1249.779806366036</v>
      </c>
      <c r="T54" s="3">
        <v>671.4223504857664</v>
      </c>
      <c r="U54" s="4">
        <f>IF(S54=0,0,T54/S54)</f>
        <v>0</v>
      </c>
      <c r="V54" s="3">
        <v>3542162.222585884</v>
      </c>
      <c r="W54" s="6">
        <v>113587.6470628493</v>
      </c>
      <c r="X54" s="7">
        <f>IF(V54=0,0,W54/V54)</f>
        <v>0</v>
      </c>
      <c r="Y54" s="3">
        <v>0</v>
      </c>
      <c r="Z54" s="3">
        <v>0</v>
      </c>
      <c r="AA54" s="4">
        <f>IF(Y54=0,0,Z54/Y54)</f>
        <v>0</v>
      </c>
      <c r="AB54" s="3">
        <v>0</v>
      </c>
      <c r="AC54" s="3">
        <v>0</v>
      </c>
      <c r="AD54" s="4">
        <f>IF(AB54=0,0,AC54/AB54)</f>
        <v>0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Model Results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2026-09-01T19:28:17Z</dcterms:created>
  <dcterms:modified xsi:type="dcterms:W3CDTF">2026-09-01T19:28:17Z</dcterms:modified>
</cp:coreProperties>
</file>