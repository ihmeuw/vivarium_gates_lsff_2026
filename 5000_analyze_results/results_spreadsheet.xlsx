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<sst xmlns="http://schemas.openxmlformats.org/spreadsheetml/2006/main" count="91" uniqueCount="42">
  <si>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</si>
  <si>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</si>
  <si>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</si>
  <si>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</si>
  <si>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</si>
  <si>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</si>
  <si>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</si>
  <si>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</si>
  <si>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</si>
  <si>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</si>
  <si>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</si>
  <si>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</si>
  <si>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</si>
  <si>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</si>
  <si>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</si>
  <si>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</si>
  <si>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</si>
  <si>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</si>
  <si>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</si>
  <si>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</si>
  <si>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</si>
  <si>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</si>
  <si>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</si>
  <si>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</si>
  <si>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</si>
  <si>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</si>
  <si>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</si>
  <si>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</si>
  <si>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</si>
  <si>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</si>
  <si>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</si>
  <si>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</si>
  <si>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</si>
  <si>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</si>
  <si>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</si>
  <si>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</si>
  <si>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</si>
  <si>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</si>
  <si>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Nigeria -- Wheat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</si>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</sst>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7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15.87131876495009</v>
      </c>
      <c r="H5" s="4">
        <f>IF(F5=0,0,G5/F5)</f>
        <v>0</v>
      </c>
      <c r="I5" s="3">
        <v>4771.261231090824</v>
      </c>
      <c r="J5" s="3">
        <v>288.4337566118361</v>
      </c>
      <c r="K5" s="4">
        <f>IF(I5=0,0,J5/I5)</f>
        <v>0</v>
      </c>
      <c r="L5" s="3">
        <v>17957.14040242062</v>
      </c>
      <c r="M5" s="3">
        <v>44.43225446508453</v>
      </c>
      <c r="N5" s="4">
        <f>IF(L5=0,0,M5/L5)</f>
        <v>0</v>
      </c>
      <c r="O5" s="3">
        <v>506.7963637284521</v>
      </c>
      <c r="P5" s="3">
        <v>15.14918337618344</v>
      </c>
      <c r="Q5" s="4">
        <f>IF(O5=0,0,P5/O5)</f>
        <v>0</v>
      </c>
      <c r="S5" s="3">
        <v>4684.597214204819</v>
      </c>
      <c r="T5" s="3">
        <v>204.9059502197524</v>
      </c>
      <c r="U5" s="4">
        <f>IF(S5=0,0,T5/S5)</f>
        <v>0</v>
      </c>
      <c r="V5" s="3">
        <v>131696392.1412486</v>
      </c>
      <c r="W5" s="3">
        <v>6289843.2834488</v>
      </c>
      <c r="X5" s="4">
        <f>IF(V5=0,0,W5/V5)</f>
        <v>0</v>
      </c>
      <c r="Y5" s="3">
        <v>3016543.050471412</v>
      </c>
      <c r="Z5" s="3">
        <v>83032.52589576412</v>
      </c>
      <c r="AA5" s="4">
        <f>IF(Y5=0,0,Z5/Y5)</f>
        <v>0</v>
      </c>
      <c r="AB5" s="3">
        <v>200318.014600175</v>
      </c>
      <c r="AC5" s="3">
        <v>493.8569486366468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11.4178093054627</v>
      </c>
      <c r="H6" s="4">
        <f>IF(F6=0,0,G6/F6)</f>
        <v>0</v>
      </c>
      <c r="I6" s="3">
        <v>4315.21265961095</v>
      </c>
      <c r="J6" s="3">
        <v>254.1003600447956</v>
      </c>
      <c r="K6" s="4">
        <f>IF(I6=0,0,J6/I6)</f>
        <v>0</v>
      </c>
      <c r="L6" s="3">
        <v>14810.98291993852</v>
      </c>
      <c r="M6" s="3">
        <v>28.82721546485461</v>
      </c>
      <c r="N6" s="4">
        <f>IF(L6=0,0,M6/L6)</f>
        <v>0</v>
      </c>
      <c r="O6" s="3">
        <v>297.573370209569</v>
      </c>
      <c r="P6" s="3">
        <v>8.009454753871308</v>
      </c>
      <c r="Q6" s="4">
        <f>IF(O6=0,0,P6/O6)</f>
        <v>0</v>
      </c>
      <c r="S6" s="3">
        <v>4138.352740079671</v>
      </c>
      <c r="T6" s="3">
        <v>147.4091157648745</v>
      </c>
      <c r="U6" s="4">
        <f>IF(S6=0,0,T6/S6)</f>
        <v>0</v>
      </c>
      <c r="V6" s="3">
        <v>123352422.8520256</v>
      </c>
      <c r="W6" s="3">
        <v>5823141.870583907</v>
      </c>
      <c r="X6" s="4">
        <f>IF(V6=0,0,W6/V6)</f>
        <v>0</v>
      </c>
      <c r="Y6" s="3">
        <v>1788522.531513863</v>
      </c>
      <c r="Z6" s="3">
        <v>45063.12004884495</v>
      </c>
      <c r="AA6" s="4">
        <f>IF(Y6=0,0,Z6/Y6)</f>
        <v>0</v>
      </c>
      <c r="AB6" s="3">
        <v>165227.6716058255</v>
      </c>
      <c r="AC6" s="3">
        <v>320.4047520423192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9.581140009551017</v>
      </c>
      <c r="H7" s="4">
        <f>IF(F7=0,0,G7/F7)</f>
        <v>0</v>
      </c>
      <c r="I7" s="3">
        <v>4220.065012527612</v>
      </c>
      <c r="J7" s="3">
        <v>227.9834892376838</v>
      </c>
      <c r="K7" s="4">
        <f>IF(I7=0,0,J7/I7)</f>
        <v>0</v>
      </c>
      <c r="L7" s="3">
        <v>13140.17641177926</v>
      </c>
      <c r="M7" s="3">
        <v>23.20586178746074</v>
      </c>
      <c r="N7" s="4">
        <f>IF(L7=0,0,M7/L7)</f>
        <v>0</v>
      </c>
      <c r="O7" s="3">
        <v>350.6722046220511</v>
      </c>
      <c r="P7" s="3">
        <v>7.443215477898834</v>
      </c>
      <c r="Q7" s="4">
        <f>IF(O7=0,0,P7/O7)</f>
        <v>0</v>
      </c>
      <c r="S7" s="3">
        <v>3715.268142871963</v>
      </c>
      <c r="T7" s="3">
        <v>123.6968790634523</v>
      </c>
      <c r="U7" s="4">
        <f>IF(S7=0,0,T7/S7)</f>
        <v>0</v>
      </c>
      <c r="V7" s="3">
        <v>121045766.1486471</v>
      </c>
      <c r="W7" s="3">
        <v>5290763.08339116</v>
      </c>
      <c r="X7" s="4">
        <f>IF(V7=0,0,W7/V7)</f>
        <v>0</v>
      </c>
      <c r="Y7" s="3">
        <v>2261372.687672075</v>
      </c>
      <c r="Z7" s="3">
        <v>51512.38835039269</v>
      </c>
      <c r="AA7" s="4">
        <f>IF(Y7=0,0,Z7/Y7)</f>
        <v>0</v>
      </c>
      <c r="AB7" s="3">
        <v>146579.1514136479</v>
      </c>
      <c r="AC7" s="3">
        <v>257.7692366055271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8.370468320719199</v>
      </c>
      <c r="H8" s="4">
        <f>IF(F8=0,0,G8/F8)</f>
        <v>0</v>
      </c>
      <c r="I8" s="3">
        <v>3866.462901477351</v>
      </c>
      <c r="J8" s="3">
        <v>196.466800308214</v>
      </c>
      <c r="K8" s="4">
        <f>IF(I8=0,0,J8/I8)</f>
        <v>0</v>
      </c>
      <c r="L8" s="3">
        <v>12529.63951354596</v>
      </c>
      <c r="M8" s="3">
        <v>24.70940240938403</v>
      </c>
      <c r="N8" s="4">
        <f>IF(L8=0,0,M8/L8)</f>
        <v>0</v>
      </c>
      <c r="O8" s="3">
        <v>341.4996444598856</v>
      </c>
      <c r="P8" s="3">
        <v>9.412116673423151</v>
      </c>
      <c r="Q8" s="4">
        <f>IF(O8=0,0,P8/O8)</f>
        <v>0</v>
      </c>
      <c r="S8" s="3">
        <v>3503.314763237015</v>
      </c>
      <c r="T8" s="3">
        <v>108.0665564369497</v>
      </c>
      <c r="U8" s="4">
        <f>IF(S8=0,0,T8/S8)</f>
        <v>0</v>
      </c>
      <c r="V8" s="3">
        <v>114934295.1461658</v>
      </c>
      <c r="W8" s="3">
        <v>4795957.281183481</v>
      </c>
      <c r="X8" s="4">
        <f>IF(V8=0,0,W8/V8)</f>
        <v>0</v>
      </c>
      <c r="Y8" s="3">
        <v>2020070.981660255</v>
      </c>
      <c r="Z8" s="3">
        <v>43199.51716528833</v>
      </c>
      <c r="AA8" s="4">
        <f>IF(Y8=0,0,Z8/Y8)</f>
        <v>0</v>
      </c>
      <c r="AB8" s="3">
        <v>139766.3345807479</v>
      </c>
      <c r="AC8" s="3">
        <v>274.6326446077146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2.991144416980329</v>
      </c>
      <c r="H9" s="4">
        <f>IF(F9=0,0,G9/F9)</f>
        <v>0</v>
      </c>
      <c r="I9" s="3">
        <v>3364.297008165505</v>
      </c>
      <c r="J9" s="3">
        <v>97.66824302014476</v>
      </c>
      <c r="K9" s="4">
        <f>IF(I9=0,0,J9/I9)</f>
        <v>0</v>
      </c>
      <c r="L9" s="3">
        <v>11856.76378900309</v>
      </c>
      <c r="M9" s="3">
        <v>9.969833238497376</v>
      </c>
      <c r="N9" s="4">
        <f>IF(L9=0,0,M9/L9)</f>
        <v>0</v>
      </c>
      <c r="O9" s="3">
        <v>209.6942036708812</v>
      </c>
      <c r="P9" s="3">
        <v>1.931132451062644</v>
      </c>
      <c r="Q9" s="4">
        <f>IF(O9=0,0,P9/O9)</f>
        <v>0</v>
      </c>
      <c r="S9" s="3">
        <v>2983.6261237209</v>
      </c>
      <c r="T9" s="3">
        <v>38.61703605622006</v>
      </c>
      <c r="U9" s="4">
        <f>IF(S9=0,0,T9/S9)</f>
        <v>0</v>
      </c>
      <c r="V9" s="3">
        <v>107056308.1865083</v>
      </c>
      <c r="W9" s="3">
        <v>2591118.408128396</v>
      </c>
      <c r="X9" s="4">
        <f>IF(V9=0,0,W9/V9)</f>
        <v>0</v>
      </c>
      <c r="Y9" s="3">
        <v>1277060.928257236</v>
      </c>
      <c r="Z9" s="3">
        <v>14249.94927478419</v>
      </c>
      <c r="AA9" s="4">
        <f>IF(Y9=0,0,Z9/Y9)</f>
        <v>0</v>
      </c>
      <c r="AB9" s="3">
        <v>132271.7542529008</v>
      </c>
      <c r="AC9" s="3">
        <v>110.8166811575065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151.0014963206652</v>
      </c>
      <c r="H14" s="4">
        <f>IF(F14=0,0,G14/F14)</f>
        <v>0</v>
      </c>
      <c r="I14" s="3">
        <v>4771.261231090824</v>
      </c>
      <c r="J14" s="3">
        <v>472.7991412386447</v>
      </c>
      <c r="K14" s="4">
        <f>IF(I14=0,0,J14/I14)</f>
        <v>0</v>
      </c>
      <c r="L14" s="3">
        <v>17957.14040242062</v>
      </c>
      <c r="M14" s="3">
        <v>75.86299411857873</v>
      </c>
      <c r="N14" s="4">
        <f>IF(L14=0,0,M14/L14)</f>
        <v>0</v>
      </c>
      <c r="O14" s="3">
        <v>506.7963637284521</v>
      </c>
      <c r="P14" s="3">
        <v>20.73168748441845</v>
      </c>
      <c r="Q14" s="4">
        <f>IF(O14=0,0,P14/O14)</f>
        <v>0</v>
      </c>
      <c r="S14" s="3">
        <v>4684.597214204819</v>
      </c>
      <c r="T14" s="3">
        <v>1949.498056615184</v>
      </c>
      <c r="U14" s="4">
        <f>IF(S14=0,0,T14/S14)</f>
        <v>0</v>
      </c>
      <c r="V14" s="3">
        <v>131696392.1412486</v>
      </c>
      <c r="W14" s="3">
        <v>10296243.37165028</v>
      </c>
      <c r="X14" s="4">
        <f>IF(V14=0,0,W14/V14)</f>
        <v>0</v>
      </c>
      <c r="Y14" s="3">
        <v>3016543.050471412</v>
      </c>
      <c r="Z14" s="3">
        <v>109981.4259164366</v>
      </c>
      <c r="AA14" s="4">
        <f>IF(Y14=0,0,Z14/Y14)</f>
        <v>0</v>
      </c>
      <c r="AB14" s="3">
        <v>200318.014600175</v>
      </c>
      <c r="AC14" s="3">
        <v>843.170400111354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121.1169850777707</v>
      </c>
      <c r="H15" s="4">
        <f>IF(F15=0,0,G15/F15)</f>
        <v>0</v>
      </c>
      <c r="I15" s="3">
        <v>4315.21265961095</v>
      </c>
      <c r="J15" s="3">
        <v>433.8825937981489</v>
      </c>
      <c r="K15" s="4">
        <f>IF(I15=0,0,J15/I15)</f>
        <v>0</v>
      </c>
      <c r="L15" s="3">
        <v>14810.98291993852</v>
      </c>
      <c r="M15" s="3">
        <v>50.71796651635692</v>
      </c>
      <c r="N15" s="4">
        <f>IF(L15=0,0,M15/L15)</f>
        <v>0</v>
      </c>
      <c r="O15" s="3">
        <v>297.573370209569</v>
      </c>
      <c r="P15" s="3">
        <v>8.989639123106667</v>
      </c>
      <c r="Q15" s="4">
        <f>IF(O15=0,0,P15/O15)</f>
        <v>0</v>
      </c>
      <c r="S15" s="3">
        <v>4138.352740079671</v>
      </c>
      <c r="T15" s="3">
        <v>1563.675412399809</v>
      </c>
      <c r="U15" s="4">
        <f>IF(S15=0,0,T15/S15)</f>
        <v>0</v>
      </c>
      <c r="V15" s="3">
        <v>123352422.8520256</v>
      </c>
      <c r="W15" s="3">
        <v>9963665.358672738</v>
      </c>
      <c r="X15" s="4">
        <f>IF(V15=0,0,W15/V15)</f>
        <v>0</v>
      </c>
      <c r="Y15" s="3">
        <v>1788522.531513863</v>
      </c>
      <c r="Z15" s="3">
        <v>62487.2058478808</v>
      </c>
      <c r="AA15" s="4">
        <f>IF(Y15=0,0,Z15/Y15)</f>
        <v>0</v>
      </c>
      <c r="AB15" s="3">
        <v>165227.6716058255</v>
      </c>
      <c r="AC15" s="3">
        <v>563.7196389315941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110.0570853730647</v>
      </c>
      <c r="H16" s="4">
        <f>IF(F16=0,0,G16/F16)</f>
        <v>0</v>
      </c>
      <c r="I16" s="3">
        <v>4220.065012527612</v>
      </c>
      <c r="J16" s="3">
        <v>424.9209438963709</v>
      </c>
      <c r="K16" s="4">
        <f>IF(I16=0,0,J16/I16)</f>
        <v>0</v>
      </c>
      <c r="L16" s="3">
        <v>13140.17641177926</v>
      </c>
      <c r="M16" s="3">
        <v>42.06335874866135</v>
      </c>
      <c r="N16" s="4">
        <f>IF(L16=0,0,M16/L16)</f>
        <v>0</v>
      </c>
      <c r="O16" s="3">
        <v>350.6722046220511</v>
      </c>
      <c r="P16" s="3">
        <v>11.13475204433734</v>
      </c>
      <c r="Q16" s="4">
        <f>IF(O16=0,0,P16/O16)</f>
        <v>0</v>
      </c>
      <c r="S16" s="3">
        <v>3715.268142871963</v>
      </c>
      <c r="T16" s="3">
        <v>1420.887072508819</v>
      </c>
      <c r="U16" s="4">
        <f>IF(S16=0,0,T16/S16)</f>
        <v>0</v>
      </c>
      <c r="V16" s="3">
        <v>121045766.1486471</v>
      </c>
      <c r="W16" s="3">
        <v>9877037.894057438</v>
      </c>
      <c r="X16" s="4">
        <f>IF(V16=0,0,W16/V16)</f>
        <v>0</v>
      </c>
      <c r="Y16" s="3">
        <v>2261372.687672075</v>
      </c>
      <c r="Z16" s="3">
        <v>75340.05412221793</v>
      </c>
      <c r="AA16" s="4">
        <f>IF(Y16=0,0,Z16/Y16)</f>
        <v>0</v>
      </c>
      <c r="AB16" s="3">
        <v>146579.1514136479</v>
      </c>
      <c r="AC16" s="3">
        <v>467.3573074903397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102.5231161409741</v>
      </c>
      <c r="H17" s="4">
        <f>IF(F17=0,0,G17/F17)</f>
        <v>0</v>
      </c>
      <c r="I17" s="3">
        <v>3866.462901477351</v>
      </c>
      <c r="J17" s="3">
        <v>388.7186102795378</v>
      </c>
      <c r="K17" s="4">
        <f>IF(I17=0,0,J17/I17)</f>
        <v>0</v>
      </c>
      <c r="L17" s="3">
        <v>12529.63951354596</v>
      </c>
      <c r="M17" s="3">
        <v>47.90031315631606</v>
      </c>
      <c r="N17" s="4">
        <f>IF(L17=0,0,M17/L17)</f>
        <v>0</v>
      </c>
      <c r="O17" s="3">
        <v>341.4996444598856</v>
      </c>
      <c r="P17" s="3">
        <v>12.01612042955466</v>
      </c>
      <c r="Q17" s="4">
        <f>IF(O17=0,0,P17/O17)</f>
        <v>0</v>
      </c>
      <c r="S17" s="3">
        <v>3503.314763237015</v>
      </c>
      <c r="T17" s="3">
        <v>1323.620100098366</v>
      </c>
      <c r="U17" s="4">
        <f>IF(S17=0,0,T17/S17)</f>
        <v>0</v>
      </c>
      <c r="V17" s="3">
        <v>114934295.1461658</v>
      </c>
      <c r="W17" s="3">
        <v>9507866.130370662</v>
      </c>
      <c r="X17" s="4">
        <f>IF(V17=0,0,W17/V17)</f>
        <v>0</v>
      </c>
      <c r="Y17" s="3">
        <v>2020070.981660255</v>
      </c>
      <c r="Z17" s="3">
        <v>64454.20863336418</v>
      </c>
      <c r="AA17" s="4">
        <f>IF(Y17=0,0,Z17/Y17)</f>
        <v>0</v>
      </c>
      <c r="AB17" s="3">
        <v>139766.3345807479</v>
      </c>
      <c r="AC17" s="3">
        <v>532.4018812131835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67.11521448847459</v>
      </c>
      <c r="H18" s="4">
        <f>IF(F18=0,0,G18/F18)</f>
        <v>0</v>
      </c>
      <c r="I18" s="3">
        <v>3364.297008165505</v>
      </c>
      <c r="J18" s="3">
        <v>311.568357023593</v>
      </c>
      <c r="K18" s="4">
        <f>IF(I18=0,0,J18/I18)</f>
        <v>0</v>
      </c>
      <c r="L18" s="3">
        <v>11856.76378900309</v>
      </c>
      <c r="M18" s="3">
        <v>28.82798583594151</v>
      </c>
      <c r="N18" s="4">
        <f>IF(L18=0,0,M18/L18)</f>
        <v>0</v>
      </c>
      <c r="O18" s="3">
        <v>209.6942036708812</v>
      </c>
      <c r="P18" s="3">
        <v>4.980074249699042</v>
      </c>
      <c r="Q18" s="4">
        <f>IF(O18=0,0,P18/O18)</f>
        <v>0</v>
      </c>
      <c r="S18" s="3">
        <v>2983.6261237209</v>
      </c>
      <c r="T18" s="3">
        <v>866.487971329369</v>
      </c>
      <c r="U18" s="4">
        <f>IF(S18=0,0,T18/S18)</f>
        <v>0</v>
      </c>
      <c r="V18" s="3">
        <v>107056308.1865083</v>
      </c>
      <c r="W18" s="3">
        <v>8317990.791051477</v>
      </c>
      <c r="X18" s="4">
        <f>IF(V18=0,0,W18/V18)</f>
        <v>0</v>
      </c>
      <c r="Y18" s="3">
        <v>1277060.928257236</v>
      </c>
      <c r="Z18" s="3">
        <v>31125.77512872219</v>
      </c>
      <c r="AA18" s="4">
        <f>IF(Y18=0,0,Z18/Y18)</f>
        <v>0</v>
      </c>
      <c r="AB18" s="3">
        <v>132271.7542529008</v>
      </c>
      <c r="AC18" s="3">
        <v>320.4047520423192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203.0197823281202</v>
      </c>
      <c r="H23" s="4">
        <f>IF(F23=0,0,G23/F23)</f>
        <v>0</v>
      </c>
      <c r="I23" s="3">
        <v>1024.476057384201</v>
      </c>
      <c r="J23" s="3">
        <v>151.6692552821839</v>
      </c>
      <c r="K23" s="4">
        <f>IF(I23=0,0,J23/I23)</f>
        <v>0</v>
      </c>
      <c r="L23" s="3">
        <v>15352.83741703859</v>
      </c>
      <c r="M23" s="3">
        <v>69.56725985433347</v>
      </c>
      <c r="N23" s="4">
        <f>IF(L23=0,0,M23/L23)</f>
        <v>0</v>
      </c>
      <c r="O23" s="3">
        <v>503.5634310516943</v>
      </c>
      <c r="P23" s="3">
        <v>21.01036396919185</v>
      </c>
      <c r="Q23" s="4">
        <f>IF(O23=0,0,P23/O23)</f>
        <v>0</v>
      </c>
      <c r="S23" s="3">
        <v>12734.95565684622</v>
      </c>
      <c r="T23" s="3">
        <v>6264.094694192449</v>
      </c>
      <c r="U23" s="4">
        <f>IF(S23=0,0,T23/S23)</f>
        <v>0</v>
      </c>
      <c r="V23" s="3">
        <v>25177467.03377928</v>
      </c>
      <c r="W23" s="3">
        <v>2945174.443318196</v>
      </c>
      <c r="X23" s="4">
        <f>IF(V23=0,0,W23/V23)</f>
        <v>0</v>
      </c>
      <c r="Y23" s="3">
        <v>2561085.175981381</v>
      </c>
      <c r="Z23" s="3">
        <v>116196.6057628184</v>
      </c>
      <c r="AA23" s="4">
        <f>IF(Y23=0,0,Z23/Y23)</f>
        <v>0</v>
      </c>
      <c r="AB23" s="3">
        <v>172903.801774421</v>
      </c>
      <c r="AC23" s="3">
        <v>772.255639909883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198.5663656707619</v>
      </c>
      <c r="H24" s="4">
        <f>IF(F24=0,0,G24/F24)</f>
        <v>0</v>
      </c>
      <c r="I24" s="3">
        <v>968.8874507802924</v>
      </c>
      <c r="J24" s="3">
        <v>150.8926468475667</v>
      </c>
      <c r="K24" s="4">
        <f>IF(I24=0,0,J24/I24)</f>
        <v>0</v>
      </c>
      <c r="L24" s="3">
        <v>15897.14811387405</v>
      </c>
      <c r="M24" s="3">
        <v>66.02582374739833</v>
      </c>
      <c r="N24" s="4">
        <f>IF(L24=0,0,M24/L24)</f>
        <v>0</v>
      </c>
      <c r="O24" s="3">
        <v>427.6878840211459</v>
      </c>
      <c r="P24" s="3">
        <v>21.73464126741991</v>
      </c>
      <c r="Q24" s="4">
        <f>IF(O24=0,0,P24/O24)</f>
        <v>0</v>
      </c>
      <c r="S24" s="3">
        <v>13022.28479122008</v>
      </c>
      <c r="T24" s="3">
        <v>6126.686293225393</v>
      </c>
      <c r="U24" s="4">
        <f>IF(S24=0,0,T24/S24)</f>
        <v>0</v>
      </c>
      <c r="V24" s="3">
        <v>24716781.60947407</v>
      </c>
      <c r="W24" s="3">
        <v>3073981.15008124</v>
      </c>
      <c r="X24" s="4">
        <f>IF(V24=0,0,W24/V24)</f>
        <v>0</v>
      </c>
      <c r="Y24" s="3">
        <v>2216806.226901517</v>
      </c>
      <c r="Z24" s="3">
        <v>113084.6469390318</v>
      </c>
      <c r="AA24" s="4">
        <f>IF(Y24=0,0,Z24/Y24)</f>
        <v>0</v>
      </c>
      <c r="AB24" s="3">
        <v>179047.6330362356</v>
      </c>
      <c r="AC24" s="3">
        <v>733.1540885220165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154.1818427005811</v>
      </c>
      <c r="H25" s="4">
        <f>IF(F25=0,0,G25/F25)</f>
        <v>0</v>
      </c>
      <c r="I25" s="3">
        <v>792.6568327877751</v>
      </c>
      <c r="J25" s="3">
        <v>138.7460097809298</v>
      </c>
      <c r="K25" s="4">
        <f>IF(I25=0,0,J25/I25)</f>
        <v>0</v>
      </c>
      <c r="L25" s="3">
        <v>14099.36149543928</v>
      </c>
      <c r="M25" s="3">
        <v>48.02046110171266</v>
      </c>
      <c r="N25" s="4">
        <f>IF(L25=0,0,M25/L25)</f>
        <v>0</v>
      </c>
      <c r="O25" s="3">
        <v>410.8336896551561</v>
      </c>
      <c r="P25" s="3">
        <v>20.00392896381795</v>
      </c>
      <c r="Q25" s="4">
        <f>IF(O25=0,0,P25/O25)</f>
        <v>0</v>
      </c>
      <c r="S25" s="3">
        <v>11788.75109364953</v>
      </c>
      <c r="T25" s="3">
        <v>4757.219477462471</v>
      </c>
      <c r="U25" s="4">
        <f>IF(S25=0,0,T25/S25)</f>
        <v>0</v>
      </c>
      <c r="V25" s="3">
        <v>22756394.15398703</v>
      </c>
      <c r="W25" s="3">
        <v>3255095.686233584</v>
      </c>
      <c r="X25" s="4">
        <f>IF(V25=0,0,W25/V25)</f>
        <v>0</v>
      </c>
      <c r="Y25" s="3">
        <v>2114085.557833027</v>
      </c>
      <c r="Z25" s="3">
        <v>104646.7324492342</v>
      </c>
      <c r="AA25" s="4">
        <f>IF(Y25=0,0,Z25/Y25)</f>
        <v>0</v>
      </c>
      <c r="AB25" s="3">
        <v>158763.7032537926</v>
      </c>
      <c r="AC25" s="3">
        <v>532.758637659339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120.7918882652273</v>
      </c>
      <c r="H26" s="4">
        <f>IF(F26=0,0,G26/F26)</f>
        <v>0</v>
      </c>
      <c r="I26" s="3">
        <v>714.5868735320346</v>
      </c>
      <c r="J26" s="3">
        <v>127.9421658211542</v>
      </c>
      <c r="K26" s="4">
        <f>IF(I26=0,0,J26/I26)</f>
        <v>0</v>
      </c>
      <c r="L26" s="3">
        <v>12459.036398116</v>
      </c>
      <c r="M26" s="3">
        <v>33.00900104676187</v>
      </c>
      <c r="N26" s="4">
        <f>IF(L26=0,0,M26/L26)</f>
        <v>0</v>
      </c>
      <c r="O26" s="3">
        <v>388.5202631627004</v>
      </c>
      <c r="P26" s="3">
        <v>16.30620732857898</v>
      </c>
      <c r="Q26" s="4">
        <f>IF(O26=0,0,P26/O26)</f>
        <v>0</v>
      </c>
      <c r="S26" s="3">
        <v>10449.53311676904</v>
      </c>
      <c r="T26" s="3">
        <v>3726.985704086702</v>
      </c>
      <c r="U26" s="4">
        <f>IF(S26=0,0,T26/S26)</f>
        <v>0</v>
      </c>
      <c r="V26" s="3">
        <v>21413420.36871202</v>
      </c>
      <c r="W26" s="3">
        <v>3188030.275738072</v>
      </c>
      <c r="X26" s="4">
        <f>IF(V26=0,0,W26/V26)</f>
        <v>0</v>
      </c>
      <c r="Y26" s="3">
        <v>1925897.452986733</v>
      </c>
      <c r="Z26" s="3">
        <v>86993.32044937275</v>
      </c>
      <c r="AA26" s="4">
        <f>IF(Y26=0,0,Z26/Y26)</f>
        <v>0</v>
      </c>
      <c r="AB26" s="3">
        <v>140314.2879239626</v>
      </c>
      <c r="AC26" s="3">
        <v>366.5770442610374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100.604253937639</v>
      </c>
      <c r="H27" s="4">
        <f>IF(F27=0,0,G27/F27)</f>
        <v>0</v>
      </c>
      <c r="I27" s="3">
        <v>607.1996095192959</v>
      </c>
      <c r="J27" s="3">
        <v>115.4369858740715</v>
      </c>
      <c r="K27" s="4">
        <f>IF(I27=0,0,J27/I27)</f>
        <v>0</v>
      </c>
      <c r="L27" s="3">
        <v>9475.405513778041</v>
      </c>
      <c r="M27" s="3">
        <v>26.1176055910252</v>
      </c>
      <c r="N27" s="4">
        <f>IF(L27=0,0,M27/L27)</f>
        <v>0</v>
      </c>
      <c r="O27" s="3">
        <v>285.742923347472</v>
      </c>
      <c r="P27" s="3">
        <v>14.29403973296256</v>
      </c>
      <c r="Q27" s="4">
        <f>IF(O27=0,0,P27/O27)</f>
        <v>0</v>
      </c>
      <c r="S27" s="3">
        <v>9178.019131321482</v>
      </c>
      <c r="T27" s="3">
        <v>3104.104270417525</v>
      </c>
      <c r="U27" s="4">
        <f>IF(S27=0,0,T27/S27)</f>
        <v>0</v>
      </c>
      <c r="V27" s="3">
        <v>19850211.7121278</v>
      </c>
      <c r="W27" s="3">
        <v>3182528.287519272</v>
      </c>
      <c r="X27" s="4">
        <f>IF(V27=0,0,W27/V27)</f>
        <v>0</v>
      </c>
      <c r="Y27" s="3">
        <v>1405792.016991551</v>
      </c>
      <c r="Z27" s="3">
        <v>72425.83938977448</v>
      </c>
      <c r="AA27" s="4">
        <f>IF(Y27=0,0,Z27/Y27)</f>
        <v>0</v>
      </c>
      <c r="AB27" s="3">
        <v>106730.9429757299</v>
      </c>
      <c r="AC27" s="3">
        <v>290.0031727931782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35.73618465235695</v>
      </c>
      <c r="H32" s="4">
        <f>IF(F32=0,0,G32/F32)</f>
        <v>0</v>
      </c>
      <c r="I32" s="3">
        <v>1024.476057384201</v>
      </c>
      <c r="J32" s="3">
        <v>37.27986362662178</v>
      </c>
      <c r="K32" s="4">
        <f>IF(I32=0,0,J32/I32)</f>
        <v>0</v>
      </c>
      <c r="L32" s="3">
        <v>15352.83741703859</v>
      </c>
      <c r="M32" s="3">
        <v>3.962234379850328</v>
      </c>
      <c r="N32" s="4">
        <f>IF(L32=0,0,M32/L32)</f>
        <v>0</v>
      </c>
      <c r="O32" s="3">
        <v>503.5634310516943</v>
      </c>
      <c r="P32" s="3">
        <v>3.925692564837344</v>
      </c>
      <c r="Q32" s="4">
        <f>IF(O32=0,0,P32/O32)</f>
        <v>0</v>
      </c>
      <c r="S32" s="3">
        <v>12734.95565684622</v>
      </c>
      <c r="T32" s="3">
        <v>1102.625774219956</v>
      </c>
      <c r="U32" s="4">
        <f>IF(S32=0,0,T32/S32)</f>
        <v>0</v>
      </c>
      <c r="V32" s="3">
        <v>25177467.03377928</v>
      </c>
      <c r="W32" s="3">
        <v>714061.0112777613</v>
      </c>
      <c r="X32" s="4">
        <f>IF(V32=0,0,W32/V32)</f>
        <v>0</v>
      </c>
      <c r="Y32" s="3">
        <v>2561085.175981381</v>
      </c>
      <c r="Z32" s="3">
        <v>24656.53941042209</v>
      </c>
      <c r="AA32" s="4">
        <f>IF(Y32=0,0,Z32/Y32)</f>
        <v>0</v>
      </c>
      <c r="AB32" s="3">
        <v>172903.801774421</v>
      </c>
      <c r="AC32" s="3">
        <v>43.98924531132798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65.17460356458911</v>
      </c>
      <c r="H33" s="4">
        <f>IF(F33=0,0,G33/F33)</f>
        <v>0</v>
      </c>
      <c r="I33" s="3">
        <v>968.8874507802924</v>
      </c>
      <c r="J33" s="3">
        <v>48.93446618463355</v>
      </c>
      <c r="K33" s="4">
        <f>IF(I33=0,0,J33/I33)</f>
        <v>0</v>
      </c>
      <c r="L33" s="3">
        <v>15897.14811387405</v>
      </c>
      <c r="M33" s="3">
        <v>5.71674261646904</v>
      </c>
      <c r="N33" s="4">
        <f>IF(L33=0,0,M33/L33)</f>
        <v>0</v>
      </c>
      <c r="O33" s="3">
        <v>427.6878840211459</v>
      </c>
      <c r="P33" s="3">
        <v>6.033024517372309</v>
      </c>
      <c r="Q33" s="4">
        <f>IF(O33=0,0,P33/O33)</f>
        <v>0</v>
      </c>
      <c r="S33" s="3">
        <v>13022.28479122008</v>
      </c>
      <c r="T33" s="3">
        <v>2010.936489554548</v>
      </c>
      <c r="U33" s="4">
        <f>IF(S33=0,0,T33/S33)</f>
        <v>0</v>
      </c>
      <c r="V33" s="3">
        <v>24716781.60947407</v>
      </c>
      <c r="W33" s="3">
        <v>982871.2588993013</v>
      </c>
      <c r="X33" s="4">
        <f>IF(V33=0,0,W33/V33)</f>
        <v>0</v>
      </c>
      <c r="Y33" s="3">
        <v>2216806.226901517</v>
      </c>
      <c r="Z33" s="3">
        <v>34690.28850875841</v>
      </c>
      <c r="AA33" s="4">
        <f>IF(Y33=0,0,Z33/Y33)</f>
        <v>0</v>
      </c>
      <c r="AB33" s="3">
        <v>179047.6330362356</v>
      </c>
      <c r="AC33" s="3">
        <v>63.54002100523212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77.8855817338635</v>
      </c>
      <c r="H34" s="4">
        <f>IF(F34=0,0,G34/F34)</f>
        <v>0</v>
      </c>
      <c r="I34" s="3">
        <v>792.6568327877751</v>
      </c>
      <c r="J34" s="3">
        <v>54.7024904162623</v>
      </c>
      <c r="K34" s="4">
        <f>IF(I34=0,0,J34/I34)</f>
        <v>0</v>
      </c>
      <c r="L34" s="3">
        <v>14099.36149543928</v>
      </c>
      <c r="M34" s="3">
        <v>7.918256656212733</v>
      </c>
      <c r="N34" s="4">
        <f>IF(L34=0,0,M34/L34)</f>
        <v>0</v>
      </c>
      <c r="O34" s="3">
        <v>410.8336896551561</v>
      </c>
      <c r="P34" s="3">
        <v>7.485334139126877</v>
      </c>
      <c r="Q34" s="4">
        <f>IF(O34=0,0,P34/O34)</f>
        <v>0</v>
      </c>
      <c r="S34" s="3">
        <v>11788.75109364953</v>
      </c>
      <c r="T34" s="3">
        <v>2403.128669031234</v>
      </c>
      <c r="U34" s="4">
        <f>IF(S34=0,0,T34/S34)</f>
        <v>0</v>
      </c>
      <c r="V34" s="3">
        <v>22756394.15398703</v>
      </c>
      <c r="W34" s="3">
        <v>1263898.368850708</v>
      </c>
      <c r="X34" s="4">
        <f>IF(V34=0,0,W34/V34)</f>
        <v>0</v>
      </c>
      <c r="Y34" s="3">
        <v>2114085.557833027</v>
      </c>
      <c r="Z34" s="3">
        <v>41680.40197755746</v>
      </c>
      <c r="AA34" s="4">
        <f>IF(Y34=0,0,Z34/Y34)</f>
        <v>0</v>
      </c>
      <c r="AB34" s="3">
        <v>158763.7032537926</v>
      </c>
      <c r="AC34" s="3">
        <v>87.97849062262685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86.85569037143482</v>
      </c>
      <c r="H35" s="4">
        <f>IF(F35=0,0,G35/F35)</f>
        <v>0</v>
      </c>
      <c r="I35" s="3">
        <v>714.5868735320346</v>
      </c>
      <c r="J35" s="3">
        <v>58.95966902481718</v>
      </c>
      <c r="K35" s="4">
        <f>IF(I35=0,0,J35/I35)</f>
        <v>0</v>
      </c>
      <c r="L35" s="3">
        <v>12459.036398116</v>
      </c>
      <c r="M35" s="3">
        <v>6.752045505788177</v>
      </c>
      <c r="N35" s="4">
        <f>IF(L35=0,0,M35/L35)</f>
        <v>0</v>
      </c>
      <c r="O35" s="3">
        <v>388.5202631627004</v>
      </c>
      <c r="P35" s="3">
        <v>7.643253715592786</v>
      </c>
      <c r="Q35" s="4">
        <f>IF(O35=0,0,P35/O35)</f>
        <v>0</v>
      </c>
      <c r="S35" s="3">
        <v>10449.53311676904</v>
      </c>
      <c r="T35" s="3">
        <v>2679.897805903459</v>
      </c>
      <c r="U35" s="4">
        <f>IF(S35=0,0,T35/S35)</f>
        <v>0</v>
      </c>
      <c r="V35" s="3">
        <v>21413420.36871202</v>
      </c>
      <c r="W35" s="3">
        <v>1447623.317466982</v>
      </c>
      <c r="X35" s="4">
        <f>IF(V35=0,0,W35/V35)</f>
        <v>0</v>
      </c>
      <c r="Y35" s="3">
        <v>1925897.452986733</v>
      </c>
      <c r="Z35" s="3">
        <v>39964.18840772193</v>
      </c>
      <c r="AA35" s="4">
        <f>IF(Y35=0,0,Z35/Y35)</f>
        <v>0</v>
      </c>
      <c r="AB35" s="3">
        <v>140314.2879239626</v>
      </c>
      <c r="AC35" s="3">
        <v>74.94464016004349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82.75070857381445</v>
      </c>
      <c r="H36" s="4">
        <f>IF(F36=0,0,G36/F36)</f>
        <v>0</v>
      </c>
      <c r="I36" s="3">
        <v>607.1996095192959</v>
      </c>
      <c r="J36" s="3">
        <v>56.92850932440988</v>
      </c>
      <c r="K36" s="4">
        <f>IF(I36=0,0,J36/I36)</f>
        <v>0</v>
      </c>
      <c r="L36" s="3">
        <v>9475.405513778041</v>
      </c>
      <c r="M36" s="3">
        <v>9.540724531468005</v>
      </c>
      <c r="N36" s="4">
        <f>IF(L36=0,0,M36/L36)</f>
        <v>0</v>
      </c>
      <c r="O36" s="3">
        <v>285.742923347472</v>
      </c>
      <c r="P36" s="3">
        <v>6.937234701249923</v>
      </c>
      <c r="Q36" s="4">
        <f>IF(O36=0,0,P36/O36)</f>
        <v>0</v>
      </c>
      <c r="S36" s="3">
        <v>9178.019131321482</v>
      </c>
      <c r="T36" s="3">
        <v>2553.240224049334</v>
      </c>
      <c r="U36" s="4">
        <f>IF(S36=0,0,T36/S36)</f>
        <v>0</v>
      </c>
      <c r="V36" s="3">
        <v>19850211.7121278</v>
      </c>
      <c r="W36" s="3">
        <v>1546922.86282469</v>
      </c>
      <c r="X36" s="4">
        <f>IF(V36=0,0,W36/V36)</f>
        <v>0</v>
      </c>
      <c r="Y36" s="3">
        <v>1405792.016991551</v>
      </c>
      <c r="Z36" s="3">
        <v>35215.72640739055</v>
      </c>
      <c r="AA36" s="4">
        <f>IF(Y36=0,0,Z36/Y36)</f>
        <v>0</v>
      </c>
      <c r="AB36" s="3">
        <v>106730.9429757299</v>
      </c>
      <c r="AC36" s="3">
        <v>105.9000350087299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3">
        <f>J41+J42+J43+J44+J45</f>
        <v>0</v>
      </c>
      <c r="K39" s="4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3">
        <f>W41+W42+W43+W44+W45</f>
        <v>0</v>
      </c>
      <c r="X39" s="4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</f>
        <v>0</v>
      </c>
      <c r="E41" s="3">
        <f>J41+M41+P41</f>
        <v>0</v>
      </c>
      <c r="F41" s="3">
        <v>412.7408750394843</v>
      </c>
      <c r="G41" s="3">
        <v>23.42409718172002</v>
      </c>
      <c r="H41" s="4">
        <f>IF(F41=0,0,G41/F41)</f>
        <v>0</v>
      </c>
      <c r="I41" s="3">
        <v>1026.204299813583</v>
      </c>
      <c r="J41" s="3">
        <v>6.332670651874505</v>
      </c>
      <c r="K41" s="4">
        <f>IF(I41=0,0,J41/I41)</f>
        <v>0</v>
      </c>
      <c r="L41" s="3">
        <v>15352.83741703859</v>
      </c>
      <c r="M41" s="3">
        <v>0.5863035025261343</v>
      </c>
      <c r="N41" s="4">
        <f>IF(L41=0,0,M41/L41)</f>
        <v>0</v>
      </c>
      <c r="O41" s="3">
        <v>503.5634310516943</v>
      </c>
      <c r="P41" s="3">
        <v>0.7976752452995279</v>
      </c>
      <c r="Q41" s="4">
        <f>IF(O41=0,0,P41/O41)</f>
        <v>0</v>
      </c>
      <c r="S41" s="3">
        <v>12734.95565684622</v>
      </c>
      <c r="T41" s="3">
        <v>722.7412087119392</v>
      </c>
      <c r="U41" s="4">
        <f>IF(S41=0,0,T41/S41)</f>
        <v>0</v>
      </c>
      <c r="V41" s="3">
        <v>25286285.18025935</v>
      </c>
      <c r="W41" s="3">
        <v>124252.6863578595</v>
      </c>
      <c r="X41" s="4">
        <f>IF(V41=0,0,W41/V41)</f>
        <v>0</v>
      </c>
      <c r="Y41" s="3">
        <v>2561085.175981381</v>
      </c>
      <c r="Z41" s="3">
        <v>4301.107752270065</v>
      </c>
      <c r="AA41" s="4">
        <f>IF(Y41=0,0,Z41/Y41)</f>
        <v>0</v>
      </c>
      <c r="AB41" s="3">
        <v>172903.801774421</v>
      </c>
      <c r="AC41" s="3">
        <v>6.516925231320783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</f>
        <v>0</v>
      </c>
      <c r="E42" s="3">
        <f>J42+M42+P42</f>
        <v>0</v>
      </c>
      <c r="F42" s="3">
        <v>422.0532339939548</v>
      </c>
      <c r="G42" s="3">
        <v>32.39383284579316</v>
      </c>
      <c r="H42" s="4">
        <f>IF(F42=0,0,G42/F42)</f>
        <v>0</v>
      </c>
      <c r="I42" s="3">
        <v>971.1037573173985</v>
      </c>
      <c r="J42" s="3">
        <v>8.271399086192949</v>
      </c>
      <c r="K42" s="4">
        <f>IF(I42=0,0,J42/I42)</f>
        <v>0</v>
      </c>
      <c r="L42" s="3">
        <v>15897.14811387405</v>
      </c>
      <c r="M42" s="3">
        <v>2.204028858903795</v>
      </c>
      <c r="N42" s="4">
        <f>IF(L42=0,0,M42/L42)</f>
        <v>0</v>
      </c>
      <c r="O42" s="3">
        <v>427.6878840211459</v>
      </c>
      <c r="P42" s="3">
        <v>0.7658804311889107</v>
      </c>
      <c r="Q42" s="4">
        <f>IF(O42=0,0,P42/O42)</f>
        <v>0</v>
      </c>
      <c r="S42" s="3">
        <v>13022.2847912201</v>
      </c>
      <c r="T42" s="3">
        <v>999.4988376351139</v>
      </c>
      <c r="U42" s="4">
        <f>IF(S42=0,0,T42/S42)</f>
        <v>0</v>
      </c>
      <c r="V42" s="3">
        <v>24859901.01601297</v>
      </c>
      <c r="W42" s="3">
        <v>171453.208100237</v>
      </c>
      <c r="X42" s="4">
        <f>IF(V42=0,0,W42/V42)</f>
        <v>0</v>
      </c>
      <c r="Y42" s="3">
        <v>2216806.226901517</v>
      </c>
      <c r="Z42" s="3">
        <v>5397.532345701009</v>
      </c>
      <c r="AA42" s="4">
        <f>IF(Y42=0,0,Z42/Y42)</f>
        <v>0</v>
      </c>
      <c r="AB42" s="3">
        <v>179047.6330362356</v>
      </c>
      <c r="AC42" s="3">
        <v>24.43846961739473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</f>
        <v>0</v>
      </c>
      <c r="E43" s="3">
        <f>J43+M43+P43</f>
        <v>0</v>
      </c>
      <c r="F43" s="3">
        <v>382.0743136549376</v>
      </c>
      <c r="G43" s="3">
        <v>45.49713331928587</v>
      </c>
      <c r="H43" s="4">
        <f>IF(F43=0,0,G43/F43)</f>
        <v>0</v>
      </c>
      <c r="I43" s="3">
        <v>795.3294661601195</v>
      </c>
      <c r="J43" s="3">
        <v>9.250731927022105</v>
      </c>
      <c r="K43" s="4">
        <f>IF(I43=0,0,J43/I43)</f>
        <v>0</v>
      </c>
      <c r="L43" s="3">
        <v>14099.36149543928</v>
      </c>
      <c r="M43" s="3">
        <v>2.494237892366946</v>
      </c>
      <c r="N43" s="4">
        <f>IF(L43=0,0,M43/L43)</f>
        <v>0</v>
      </c>
      <c r="O43" s="3">
        <v>410.8336896551561</v>
      </c>
      <c r="P43" s="3">
        <v>0.6260496127711959</v>
      </c>
      <c r="Q43" s="4">
        <f>IF(O43=0,0,P43/O43)</f>
        <v>0</v>
      </c>
      <c r="S43" s="3">
        <v>11788.75109364953</v>
      </c>
      <c r="T43" s="3">
        <v>1403.795965881249</v>
      </c>
      <c r="U43" s="4">
        <f>IF(S43=0,0,T43/S43)</f>
        <v>0</v>
      </c>
      <c r="V43" s="3">
        <v>22936296.40445412</v>
      </c>
      <c r="W43" s="3">
        <v>221609.0820698142</v>
      </c>
      <c r="X43" s="4">
        <f>IF(V43=0,0,W43/V43)</f>
        <v>0</v>
      </c>
      <c r="Y43" s="3">
        <v>2114085.557833027</v>
      </c>
      <c r="Z43" s="3">
        <v>6329.655924388207</v>
      </c>
      <c r="AA43" s="4">
        <f>IF(Y43=0,0,Z43/Y43)</f>
        <v>0</v>
      </c>
      <c r="AB43" s="3">
        <v>158763.7032537926</v>
      </c>
      <c r="AC43" s="3">
        <v>27.69693223305512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</f>
        <v>0</v>
      </c>
      <c r="E44" s="3">
        <f>J44+M44+P44</f>
        <v>0</v>
      </c>
      <c r="F44" s="3">
        <v>338.6701578384149</v>
      </c>
      <c r="G44" s="3">
        <v>48.79942009843676</v>
      </c>
      <c r="H44" s="4">
        <f>IF(F44=0,0,G44/F44)</f>
        <v>0</v>
      </c>
      <c r="I44" s="3">
        <v>717.4492241565633</v>
      </c>
      <c r="J44" s="3">
        <v>9.464455356970662</v>
      </c>
      <c r="K44" s="4">
        <f>IF(I44=0,0,J44/I44)</f>
        <v>0</v>
      </c>
      <c r="L44" s="3">
        <v>12459.036398116</v>
      </c>
      <c r="M44" s="3">
        <v>2.502058168889955</v>
      </c>
      <c r="N44" s="4">
        <f>IF(L44=0,0,M44/L44)</f>
        <v>0</v>
      </c>
      <c r="O44" s="3">
        <v>388.5202631627004</v>
      </c>
      <c r="P44" s="3">
        <v>1.11741603567038</v>
      </c>
      <c r="Q44" s="4">
        <f>IF(O44=0,0,P44/O44)</f>
        <v>0</v>
      </c>
      <c r="S44" s="3">
        <v>10449.53311676904</v>
      </c>
      <c r="T44" s="3">
        <v>1505.686711968985</v>
      </c>
      <c r="U44" s="4">
        <f>IF(S44=0,0,T44/S44)</f>
        <v>0</v>
      </c>
      <c r="V44" s="3">
        <v>21610890.70116934</v>
      </c>
      <c r="W44" s="3">
        <v>242173.5070957839</v>
      </c>
      <c r="X44" s="4">
        <f>IF(V44=0,0,W44/V44)</f>
        <v>0</v>
      </c>
      <c r="Y44" s="3">
        <v>1925897.452986733</v>
      </c>
      <c r="Z44" s="3">
        <v>5809.098253916716</v>
      </c>
      <c r="AA44" s="4">
        <f>IF(Y44=0,0,Z44/Y44)</f>
        <v>0</v>
      </c>
      <c r="AB44" s="3">
        <v>140314.2879239626</v>
      </c>
      <c r="AC44" s="3">
        <v>27.69693223305512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</f>
        <v>0</v>
      </c>
      <c r="E45" s="3">
        <f>J45+M45+P45</f>
        <v>0</v>
      </c>
      <c r="F45" s="3">
        <v>297.4602934996698</v>
      </c>
      <c r="G45" s="3">
        <v>50.94083911201337</v>
      </c>
      <c r="H45" s="4">
        <f>IF(F45=0,0,G45/F45)</f>
        <v>0</v>
      </c>
      <c r="I45" s="3">
        <v>610.1638407046684</v>
      </c>
      <c r="J45" s="3">
        <v>9.162136177603854</v>
      </c>
      <c r="K45" s="4">
        <f>IF(I45=0,0,J45/I45)</f>
        <v>0</v>
      </c>
      <c r="L45" s="3">
        <v>9475.405513778041</v>
      </c>
      <c r="M45" s="3">
        <v>2.647848884297535</v>
      </c>
      <c r="N45" s="4">
        <f>IF(L45=0,0,M45/L45)</f>
        <v>0</v>
      </c>
      <c r="O45" s="3">
        <v>285.742923347472</v>
      </c>
      <c r="P45" s="3">
        <v>0.7667368651648867</v>
      </c>
      <c r="Q45" s="4">
        <f>IF(O45=0,0,P45/O45)</f>
        <v>0</v>
      </c>
      <c r="S45" s="3">
        <v>9178.019131321482</v>
      </c>
      <c r="T45" s="3">
        <v>1571.759344532979</v>
      </c>
      <c r="U45" s="4">
        <f>IF(S45=0,0,T45/S45)</f>
        <v>0</v>
      </c>
      <c r="V45" s="3">
        <v>20059051.99524085</v>
      </c>
      <c r="W45" s="3">
        <v>259185.2599577568</v>
      </c>
      <c r="X45" s="4">
        <f>IF(V45=0,0,W45/V45)</f>
        <v>0</v>
      </c>
      <c r="Y45" s="3">
        <v>1405792.016991551</v>
      </c>
      <c r="Z45" s="3">
        <v>5319.448695129715</v>
      </c>
      <c r="AA45" s="4">
        <f>IF(Y45=0,0,Z45/Y45)</f>
        <v>0</v>
      </c>
      <c r="AB45" s="3">
        <v>106730.9429757299</v>
      </c>
      <c r="AC45" s="3">
        <v>29.32616354089987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M50+P50</f>
        <v>0</v>
      </c>
      <c r="F50" s="3">
        <v>155.3366697637048</v>
      </c>
      <c r="G50" s="3">
        <v>55.04951209333916</v>
      </c>
      <c r="H50" s="4">
        <f>IF(F50=0,0,G50/F50)</f>
        <v>0</v>
      </c>
      <c r="I50" s="3">
        <v>382.3073643284127</v>
      </c>
      <c r="J50" s="6">
        <v>7.728037475080812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779.0881516072866</v>
      </c>
      <c r="U50" s="4">
        <f>IF(S50=0,0,T50/S50)</f>
        <v>0</v>
      </c>
      <c r="V50" s="3">
        <v>9070418.669545408</v>
      </c>
      <c r="W50" s="6">
        <v>183396.5001733974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M51+P51</f>
        <v>0</v>
      </c>
      <c r="F51" s="3">
        <v>147.7607036391234</v>
      </c>
      <c r="G51" s="3">
        <v>55.83301727702623</v>
      </c>
      <c r="H51" s="4">
        <f>IF(F51=0,0,G51/F51)</f>
        <v>0</v>
      </c>
      <c r="I51" s="3">
        <v>245.090682899663</v>
      </c>
      <c r="J51" s="6">
        <v>6.745118358334934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790.1767077474119</v>
      </c>
      <c r="U51" s="4">
        <f>IF(S51=0,0,T51/S51)</f>
        <v>0</v>
      </c>
      <c r="V51" s="3">
        <v>7100767.677214347</v>
      </c>
      <c r="W51" s="6">
        <v>213135.3226955337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M52+P52</f>
        <v>0</v>
      </c>
      <c r="F52" s="3">
        <v>134.4880808162132</v>
      </c>
      <c r="G52" s="3">
        <v>55.74658849855057</v>
      </c>
      <c r="H52" s="4">
        <f>IF(F52=0,0,G52/F52)</f>
        <v>0</v>
      </c>
      <c r="I52" s="3">
        <v>200.4130880433794</v>
      </c>
      <c r="J52" s="6">
        <v>7.433932887340605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788.9535245672573</v>
      </c>
      <c r="U52" s="4">
        <f>IF(S52=0,0,T52/S52)</f>
        <v>0</v>
      </c>
      <c r="V52" s="3">
        <v>6292834.208210533</v>
      </c>
      <c r="W52" s="6">
        <v>249256.9665041761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M53+P53</f>
        <v>0</v>
      </c>
      <c r="F53" s="3">
        <v>118.5139506930648</v>
      </c>
      <c r="G53" s="3">
        <v>25.48769675026658</v>
      </c>
      <c r="H53" s="4">
        <f>IF(F53=0,0,G53/F53)</f>
        <v>0</v>
      </c>
      <c r="I53" s="3">
        <v>193.9015574705648</v>
      </c>
      <c r="J53" s="6">
        <v>2.88069493231611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360.7145966384487</v>
      </c>
      <c r="U53" s="4">
        <f>IF(S53=0,0,T53/S53)</f>
        <v>0</v>
      </c>
      <c r="V53" s="3">
        <v>6053045.584847068</v>
      </c>
      <c r="W53" s="6">
        <v>102299.5457925303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M54+P54</f>
        <v>0</v>
      </c>
      <c r="F54" s="3">
        <v>93.49564395607489</v>
      </c>
      <c r="G54" s="3">
        <v>14.82314301600723</v>
      </c>
      <c r="H54" s="4">
        <f>IF(F54=0,0,G54/F54)</f>
        <v>0</v>
      </c>
      <c r="I54" s="3">
        <v>136.6145524202559</v>
      </c>
      <c r="J54" s="6">
        <v>2.194074902868248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209.784513144647</v>
      </c>
      <c r="U54" s="4">
        <f>IF(S54=0,0,T54/S54)</f>
        <v>0</v>
      </c>
      <c r="V54" s="3">
        <v>4890905.466101354</v>
      </c>
      <c r="W54" s="6">
        <v>85955.24938089401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G59+J59</f>
        <v>0</v>
      </c>
      <c r="E59" s="3">
        <f>M59+P59</f>
        <v>0</v>
      </c>
      <c r="F59" s="3">
        <v>155.3366697637048</v>
      </c>
      <c r="G59" s="3">
        <v>101.6478618860977</v>
      </c>
      <c r="H59" s="4">
        <f>IF(F59=0,0,G59/F59)</f>
        <v>0</v>
      </c>
      <c r="I59" s="3">
        <v>382.3073643284127</v>
      </c>
      <c r="J59" s="6">
        <v>27.06745242213167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1438.571239240006</v>
      </c>
      <c r="U59" s="4">
        <f>IF(S59=0,0,T59/S59)</f>
        <v>0</v>
      </c>
      <c r="V59" s="3">
        <v>9070418.669545408</v>
      </c>
      <c r="W59" s="6">
        <v>679501.0839667805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G60+J60</f>
        <v>0</v>
      </c>
      <c r="E60" s="3">
        <f>M60+P60</f>
        <v>0</v>
      </c>
      <c r="F60" s="3">
        <v>147.7607036391234</v>
      </c>
      <c r="G60" s="3">
        <v>99.75691769012525</v>
      </c>
      <c r="H60" s="4">
        <f>IF(F60=0,0,G60/F60)</f>
        <v>0</v>
      </c>
      <c r="I60" s="3">
        <v>245.090682899663</v>
      </c>
      <c r="J60" s="6">
        <v>22.43247551696055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1411.809653852386</v>
      </c>
      <c r="U60" s="4">
        <f>IF(S60=0,0,T60/S60)</f>
        <v>0</v>
      </c>
      <c r="V60" s="3">
        <v>7100767.677214347</v>
      </c>
      <c r="W60" s="6">
        <v>749637.100508377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G61+J61</f>
        <v>0</v>
      </c>
      <c r="E61" s="3">
        <f>M61+P61</f>
        <v>0</v>
      </c>
      <c r="F61" s="3">
        <v>134.4880808162132</v>
      </c>
      <c r="G61" s="3">
        <v>94.84760082701457</v>
      </c>
      <c r="H61" s="4">
        <f>IF(F61=0,0,G61/F61)</f>
        <v>0</v>
      </c>
      <c r="I61" s="3">
        <v>200.4130880433794</v>
      </c>
      <c r="J61" s="6">
        <v>23.85461403009552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1342.330553037646</v>
      </c>
      <c r="U61" s="4">
        <f>IF(S61=0,0,T61/S61)</f>
        <v>0</v>
      </c>
      <c r="V61" s="3">
        <v>6292834.208210533</v>
      </c>
      <c r="W61" s="6">
        <v>848608.1942622317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G62+J62</f>
        <v>0</v>
      </c>
      <c r="E62" s="3">
        <f>M62+P62</f>
        <v>0</v>
      </c>
      <c r="F62" s="3">
        <v>118.5139506930648</v>
      </c>
      <c r="G62" s="3">
        <v>59.08004047660047</v>
      </c>
      <c r="H62" s="4">
        <f>IF(F62=0,0,G62/F62)</f>
        <v>0</v>
      </c>
      <c r="I62" s="3">
        <v>193.9015574705648</v>
      </c>
      <c r="J62" s="6">
        <v>10.52490515259787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836.1301995511723</v>
      </c>
      <c r="U62" s="4">
        <f>IF(S62=0,0,T62/S62)</f>
        <v>0</v>
      </c>
      <c r="V62" s="3">
        <v>6053045.584847068</v>
      </c>
      <c r="W62" s="6">
        <v>383703.346976216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G63+J63</f>
        <v>0</v>
      </c>
      <c r="E63" s="3">
        <f>M63+P63</f>
        <v>0</v>
      </c>
      <c r="F63" s="3">
        <v>93.49564395607489</v>
      </c>
      <c r="G63" s="3">
        <v>38.47283650311636</v>
      </c>
      <c r="H63" s="4">
        <f>IF(F63=0,0,G63/F63)</f>
        <v>0</v>
      </c>
      <c r="I63" s="3">
        <v>136.6145524202559</v>
      </c>
      <c r="J63" s="6">
        <v>8.174381605417016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544.4867708814627</v>
      </c>
      <c r="U63" s="4">
        <f>IF(S63=0,0,T63/S63)</f>
        <v>0</v>
      </c>
      <c r="V63" s="3">
        <v>4890905.466101354</v>
      </c>
      <c r="W63" s="6">
        <v>325951.4286683677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  <row r="65" spans="1:30">
      <c r="A65" s="2" t="s">
        <v>41</v>
      </c>
    </row>
    <row r="66" spans="1:30">
      <c r="B66" t="s">
        <v>28</v>
      </c>
      <c r="C66" s="3">
        <f>C68+C69+C70+C71+C72</f>
        <v>0</v>
      </c>
      <c r="D66" s="3">
        <f>D68+D69+D70+D71+D72</f>
        <v>0</v>
      </c>
      <c r="E66" s="3">
        <f>E68+E69+E70+E71+E72</f>
        <v>0</v>
      </c>
      <c r="F66" s="3">
        <f>F68+F69+F70+F71+F72</f>
        <v>0</v>
      </c>
      <c r="G66" s="3">
        <f>G68+G69+G70+G71+G72</f>
        <v>0</v>
      </c>
      <c r="H66" s="4">
        <f>IF(F66=0,0,G66/F66)</f>
        <v>0</v>
      </c>
      <c r="I66" s="3">
        <f>I68+I69+I70+I71+I72</f>
        <v>0</v>
      </c>
      <c r="J66" s="6">
        <f>J68+J69+J70+J71+J72</f>
        <v>0</v>
      </c>
      <c r="K66" s="7">
        <f>IF(I66=0,0,J66/I66)</f>
        <v>0</v>
      </c>
      <c r="L66" s="3">
        <f>L68+L69+L70+L71+L72</f>
        <v>0</v>
      </c>
      <c r="M66" s="3">
        <f>M68+M69+M70+M71+M72</f>
        <v>0</v>
      </c>
      <c r="N66" s="4">
        <f>IF(L66=0,0,M66/L66)</f>
        <v>0</v>
      </c>
      <c r="O66" s="3">
        <f>O68+O69+O70+O71+O72</f>
        <v>0</v>
      </c>
      <c r="P66" s="3">
        <f>P68+P69+P70+P71+P72</f>
        <v>0</v>
      </c>
      <c r="Q66" s="4">
        <f>IF(O66=0,0,P66/O66)</f>
        <v>0</v>
      </c>
      <c r="S66" s="3">
        <f>S68+S69+S70+S71+S72</f>
        <v>0</v>
      </c>
      <c r="T66" s="3">
        <f>T68+T69+T70+T71+T72</f>
        <v>0</v>
      </c>
      <c r="U66" s="4">
        <f>IF(S66=0,0,T66/S66)</f>
        <v>0</v>
      </c>
      <c r="V66" s="3">
        <f>V68+V69+V70+V71+V72</f>
        <v>0</v>
      </c>
      <c r="W66" s="6">
        <f>W68+W69+W70+W71+W72</f>
        <v>0</v>
      </c>
      <c r="X66" s="7">
        <f>IF(V66=0,0,W66/V66)</f>
        <v>0</v>
      </c>
      <c r="Y66" s="3">
        <f>Y68+Y69+Y70+Y71+Y72</f>
        <v>0</v>
      </c>
      <c r="Z66" s="3">
        <f>Z68+Z69+Z70+Z71+Z72</f>
        <v>0</v>
      </c>
      <c r="AA66" s="4">
        <f>IF(Y66=0,0,Z66/Y66)</f>
        <v>0</v>
      </c>
      <c r="AB66" s="3">
        <f>AB68+AB69+AB70+AB71+AB72</f>
        <v>0</v>
      </c>
      <c r="AC66" s="3">
        <f>AC68+AC69+AC70+AC71+AC72</f>
        <v>0</v>
      </c>
      <c r="AD66" s="4">
        <f>IF(AB66=0,0,AC66/AB66)</f>
        <v>0</v>
      </c>
    </row>
    <row r="67" spans="1:30">
      <c r="A67" s="5" t="s">
        <v>29</v>
      </c>
    </row>
    <row r="68" spans="1:30">
      <c r="B68" t="s">
        <v>30</v>
      </c>
      <c r="C68" s="3">
        <f>J68+M68+G68+P68</f>
        <v>0</v>
      </c>
      <c r="D68" s="3">
        <f>G68+J68</f>
        <v>0</v>
      </c>
      <c r="E68" s="3">
        <f>M68+P68</f>
        <v>0</v>
      </c>
      <c r="F68" s="3">
        <v>155.3366697637048</v>
      </c>
      <c r="G68" s="3">
        <v>94.65713618175391</v>
      </c>
      <c r="H68" s="4">
        <f>IF(F68=0,0,G68/F68)</f>
        <v>0</v>
      </c>
      <c r="I68" s="3">
        <v>382.3073643284127</v>
      </c>
      <c r="J68" s="6">
        <v>22.4094333642202</v>
      </c>
      <c r="K68" s="7">
        <f>IF(I68=0,0,J68/I68)</f>
        <v>0</v>
      </c>
      <c r="L68" s="3">
        <v>0</v>
      </c>
      <c r="M68" s="3">
        <v>0</v>
      </c>
      <c r="N68" s="4">
        <f>IF(L68=0,0,M68/L68)</f>
        <v>0</v>
      </c>
      <c r="O68" s="3">
        <v>0</v>
      </c>
      <c r="P68" s="3">
        <v>0</v>
      </c>
      <c r="Q68" s="4">
        <f>IF(O68=0,0,P68/O68)</f>
        <v>0</v>
      </c>
      <c r="S68" s="3">
        <v>2198.402026122217</v>
      </c>
      <c r="T68" s="3">
        <v>1339.635002381882</v>
      </c>
      <c r="U68" s="4">
        <f>IF(S68=0,0,T68/S68)</f>
        <v>0</v>
      </c>
      <c r="V68" s="3">
        <v>9070418.669545408</v>
      </c>
      <c r="W68" s="6">
        <v>554700.6611577384</v>
      </c>
      <c r="X68" s="7">
        <f>IF(V68=0,0,W68/V68)</f>
        <v>0</v>
      </c>
      <c r="Y68" s="3">
        <v>0</v>
      </c>
      <c r="Z68" s="3">
        <v>0</v>
      </c>
      <c r="AA68" s="4">
        <f>IF(Y68=0,0,Z68/Y68)</f>
        <v>0</v>
      </c>
      <c r="AB68" s="3">
        <v>0</v>
      </c>
      <c r="AC68" s="3">
        <v>0</v>
      </c>
      <c r="AD68" s="4">
        <f>IF(AB68=0,0,AC68/AB68)</f>
        <v>0</v>
      </c>
    </row>
    <row r="69" spans="1:30">
      <c r="B69" t="s">
        <v>31</v>
      </c>
      <c r="C69" s="3">
        <f>J69+M69+G69+P69</f>
        <v>0</v>
      </c>
      <c r="D69" s="3">
        <f>G69+J69</f>
        <v>0</v>
      </c>
      <c r="E69" s="3">
        <f>M69+P69</f>
        <v>0</v>
      </c>
      <c r="F69" s="3">
        <v>147.7607036391234</v>
      </c>
      <c r="G69" s="3">
        <v>93.32656566805846</v>
      </c>
      <c r="H69" s="4">
        <f>IF(F69=0,0,G69/F69)</f>
        <v>0</v>
      </c>
      <c r="I69" s="3">
        <v>245.090682899663</v>
      </c>
      <c r="J69" s="6">
        <v>18.8267058367451</v>
      </c>
      <c r="K69" s="7">
        <f>IF(I69=0,0,J69/I69)</f>
        <v>0</v>
      </c>
      <c r="L69" s="3">
        <v>0</v>
      </c>
      <c r="M69" s="3">
        <v>0</v>
      </c>
      <c r="N69" s="4">
        <f>IF(L69=0,0,M69/L69)</f>
        <v>0</v>
      </c>
      <c r="O69" s="3">
        <v>0</v>
      </c>
      <c r="P69" s="3">
        <v>0</v>
      </c>
      <c r="Q69" s="4">
        <f>IF(O69=0,0,P69/O69)</f>
        <v>0</v>
      </c>
      <c r="S69" s="3">
        <v>2091.183174942721</v>
      </c>
      <c r="T69" s="3">
        <v>1320.804104837496</v>
      </c>
      <c r="U69" s="4">
        <f>IF(S69=0,0,T69/S69)</f>
        <v>0</v>
      </c>
      <c r="V69" s="3">
        <v>7100767.677214347</v>
      </c>
      <c r="W69" s="6">
        <v>620735.8681268226</v>
      </c>
      <c r="X69" s="7">
        <f>IF(V69=0,0,W69/V69)</f>
        <v>0</v>
      </c>
      <c r="Y69" s="3">
        <v>0</v>
      </c>
      <c r="Z69" s="3">
        <v>0</v>
      </c>
      <c r="AA69" s="4">
        <f>IF(Y69=0,0,Z69/Y69)</f>
        <v>0</v>
      </c>
      <c r="AB69" s="3">
        <v>0</v>
      </c>
      <c r="AC69" s="3">
        <v>0</v>
      </c>
      <c r="AD69" s="4">
        <f>IF(AB69=0,0,AC69/AB69)</f>
        <v>0</v>
      </c>
    </row>
    <row r="70" spans="1:30">
      <c r="B70" t="s">
        <v>32</v>
      </c>
      <c r="C70" s="3">
        <f>J70+M70+G70+P70</f>
        <v>0</v>
      </c>
      <c r="D70" s="3">
        <f>G70+J70</f>
        <v>0</v>
      </c>
      <c r="E70" s="3">
        <f>M70+P70</f>
        <v>0</v>
      </c>
      <c r="F70" s="3">
        <v>134.4880808162132</v>
      </c>
      <c r="G70" s="3">
        <v>89.3261468773603</v>
      </c>
      <c r="H70" s="4">
        <f>IF(F70=0,0,G70/F70)</f>
        <v>0</v>
      </c>
      <c r="I70" s="3">
        <v>200.4130880433794</v>
      </c>
      <c r="J70" s="6">
        <v>20.20687125075571</v>
      </c>
      <c r="K70" s="7">
        <f>IF(I70=0,0,J70/I70)</f>
        <v>0</v>
      </c>
      <c r="L70" s="3">
        <v>0</v>
      </c>
      <c r="M70" s="3">
        <v>0</v>
      </c>
      <c r="N70" s="4">
        <f>IF(L70=0,0,M70/L70)</f>
        <v>0</v>
      </c>
      <c r="O70" s="3">
        <v>0</v>
      </c>
      <c r="P70" s="3">
        <v>0</v>
      </c>
      <c r="Q70" s="4">
        <f>IF(O70=0,0,P70/O70)</f>
        <v>0</v>
      </c>
      <c r="S70" s="3">
        <v>1903.342396907326</v>
      </c>
      <c r="T70" s="3">
        <v>1264.188182865007</v>
      </c>
      <c r="U70" s="4">
        <f>IF(S70=0,0,T70/S70)</f>
        <v>0</v>
      </c>
      <c r="V70" s="3">
        <v>6292834.208210533</v>
      </c>
      <c r="W70" s="6">
        <v>709040.6150101619</v>
      </c>
      <c r="X70" s="7">
        <f>IF(V70=0,0,W70/V70)</f>
        <v>0</v>
      </c>
      <c r="Y70" s="3">
        <v>0</v>
      </c>
      <c r="Z70" s="3">
        <v>0</v>
      </c>
      <c r="AA70" s="4">
        <f>IF(Y70=0,0,Z70/Y70)</f>
        <v>0</v>
      </c>
      <c r="AB70" s="3">
        <v>0</v>
      </c>
      <c r="AC70" s="3">
        <v>0</v>
      </c>
      <c r="AD70" s="4">
        <f>IF(AB70=0,0,AC70/AB70)</f>
        <v>0</v>
      </c>
    </row>
    <row r="71" spans="1:30">
      <c r="B71" t="s">
        <v>33</v>
      </c>
      <c r="C71" s="3">
        <f>J71+M71+G71+P71</f>
        <v>0</v>
      </c>
      <c r="D71" s="3">
        <f>G71+J71</f>
        <v>0</v>
      </c>
      <c r="E71" s="3">
        <f>M71+P71</f>
        <v>0</v>
      </c>
      <c r="F71" s="3">
        <v>118.5139506930648</v>
      </c>
      <c r="G71" s="3">
        <v>53.09835934079247</v>
      </c>
      <c r="H71" s="4">
        <f>IF(F71=0,0,G71/F71)</f>
        <v>0</v>
      </c>
      <c r="I71" s="3">
        <v>193.9015574705648</v>
      </c>
      <c r="J71" s="6">
        <v>8.613532581916079</v>
      </c>
      <c r="K71" s="7">
        <f>IF(I71=0,0,J71/I71)</f>
        <v>0</v>
      </c>
      <c r="L71" s="3">
        <v>0</v>
      </c>
      <c r="M71" s="3">
        <v>0</v>
      </c>
      <c r="N71" s="4">
        <f>IF(L71=0,0,M71/L71)</f>
        <v>0</v>
      </c>
      <c r="O71" s="3">
        <v>0</v>
      </c>
      <c r="P71" s="3">
        <v>0</v>
      </c>
      <c r="Q71" s="4">
        <f>IF(O71=0,0,P71/O71)</f>
        <v>0</v>
      </c>
      <c r="S71" s="3">
        <v>1677.268540156761</v>
      </c>
      <c r="T71" s="3">
        <v>751.4744646974439</v>
      </c>
      <c r="U71" s="4">
        <f>IF(S71=0,0,T71/S71)</f>
        <v>0</v>
      </c>
      <c r="V71" s="3">
        <v>6053045.584847068</v>
      </c>
      <c r="W71" s="6">
        <v>311924.34926455</v>
      </c>
      <c r="X71" s="7">
        <f>IF(V71=0,0,W71/V71)</f>
        <v>0</v>
      </c>
      <c r="Y71" s="3">
        <v>0</v>
      </c>
      <c r="Z71" s="3">
        <v>0</v>
      </c>
      <c r="AA71" s="4">
        <f>IF(Y71=0,0,Z71/Y71)</f>
        <v>0</v>
      </c>
      <c r="AB71" s="3">
        <v>0</v>
      </c>
      <c r="AC71" s="3">
        <v>0</v>
      </c>
      <c r="AD71" s="4">
        <f>IF(AB71=0,0,AC71/AB71)</f>
        <v>0</v>
      </c>
    </row>
    <row r="72" spans="1:30">
      <c r="B72" t="s">
        <v>34</v>
      </c>
      <c r="C72" s="3">
        <f>J72+M72+G72+P72</f>
        <v>0</v>
      </c>
      <c r="D72" s="3">
        <f>G72+J72</f>
        <v>0</v>
      </c>
      <c r="E72" s="3">
        <f>M72+P72</f>
        <v>0</v>
      </c>
      <c r="F72" s="3">
        <v>93.49564395607489</v>
      </c>
      <c r="G72" s="3">
        <v>33.88385898245032</v>
      </c>
      <c r="H72" s="4">
        <f>IF(F72=0,0,G72/F72)</f>
        <v>0</v>
      </c>
      <c r="I72" s="3">
        <v>136.6145524202559</v>
      </c>
      <c r="J72" s="6">
        <v>6.654744068362823</v>
      </c>
      <c r="K72" s="7">
        <f>IF(I72=0,0,J72/I72)</f>
        <v>0</v>
      </c>
      <c r="L72" s="3">
        <v>0</v>
      </c>
      <c r="M72" s="3">
        <v>0</v>
      </c>
      <c r="N72" s="4">
        <f>IF(L72=0,0,M72/L72)</f>
        <v>0</v>
      </c>
      <c r="O72" s="3">
        <v>0</v>
      </c>
      <c r="P72" s="3">
        <v>0</v>
      </c>
      <c r="Q72" s="4">
        <f>IF(O72=0,0,P72/O72)</f>
        <v>0</v>
      </c>
      <c r="S72" s="3">
        <v>1323.196985098892</v>
      </c>
      <c r="T72" s="3">
        <v>479.5412722132613</v>
      </c>
      <c r="U72" s="4">
        <f>IF(S72=0,0,T72/S72)</f>
        <v>0</v>
      </c>
      <c r="V72" s="3">
        <v>4890905.466101354</v>
      </c>
      <c r="W72" s="6">
        <v>264152.6459177388</v>
      </c>
      <c r="X72" s="7">
        <f>IF(V72=0,0,W72/V72)</f>
        <v>0</v>
      </c>
      <c r="Y72" s="3">
        <v>0</v>
      </c>
      <c r="Z72" s="3">
        <v>0</v>
      </c>
      <c r="AA72" s="4">
        <f>IF(Y72=0,0,Z72/Y72)</f>
        <v>0</v>
      </c>
      <c r="AB72" s="3">
        <v>0</v>
      </c>
      <c r="AC72" s="3">
        <v>0</v>
      </c>
      <c r="AD72" s="4">
        <f>IF(AB72=0,0,AC72/AB72)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2026-10-05T10:33:46Z</dcterms:created>
  <dcterms:modified xsi:type="dcterms:W3CDTF">2026-10-05T10:33:46Z</dcterms:modified>
</cp:coreProperties>
</file>