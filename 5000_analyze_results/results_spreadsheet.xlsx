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<sst xmlns="http://schemas.openxmlformats.org/spreadsheetml/2006/main" count="75" uniqueCount="40">
  <si>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</si>
  <si>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</si>
  <si>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</si>
  <si>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</si>
  <si>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</si>
  <si>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</si>
  <si>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</si>
  <si>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</si>
  <si>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</si>
  <si>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</si>
  <si>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</si>
  <si>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</si>
  <si>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</si>
  <si>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</si>
  <si>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</si>
  <si>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Cases</t>
  </si>
  <si>
    <t>Annual NTD Cases Averted</t>
  </si>
  <si>
    <t>Annual NTD Cases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</si>
  <si>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</si>
  <si>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</si>
  <si>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</si>
  <si>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</si>
  <si>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</si>
  <si>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</si>
  <si>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</si>
  <si>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</si>
  <si>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</si>
  <si>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</si>
  <si>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</si>
  <si>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</si>
  <si>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</si>
  <si>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</si>
  <si>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</si>
  <si>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</si>
  <si>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</si>
  <si>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</si>
  <si>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</si>
  <si>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</si>
  <si>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Ethiopia -- Salt-- 25% NRV per average intake</t>
  </si>
  <si>
    <t>Ethiopia -- Salt-- 100% NRV per average intake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</si>
</sst>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D5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>
      <c r="A2" s="2" t="s">
        <v>27</v>
      </c>
    </row>
    <row r="3" spans="1:30">
      <c r="B3" t="s">
        <v>28</v>
      </c>
      <c r="C3" s="3">
        <f>C5+C6+C7+C8+C9</f>
        <v>0</v>
      </c>
      <c r="D3" s="3">
        <f>D5+D6+D7+D8+D9</f>
        <v>0</v>
      </c>
      <c r="E3" s="3">
        <f>E5+E6+E7+E8+E9</f>
        <v>0</v>
      </c>
      <c r="F3" s="3">
        <f>F5+F6+F7+F8+F9</f>
        <v>0</v>
      </c>
      <c r="G3" s="3">
        <f>G5+G6+G7+G8+G9</f>
        <v>0</v>
      </c>
      <c r="H3" s="4">
        <f>IF(F3=0,0,G3/F3)</f>
        <v>0</v>
      </c>
      <c r="I3" s="3">
        <f>I5+I6+I7+I8+I9</f>
        <v>0</v>
      </c>
      <c r="J3" s="3">
        <f>J5+J6+J7+J8+J9</f>
        <v>0</v>
      </c>
      <c r="K3" s="4">
        <f>IF(I3=0,0,J3/I3)</f>
        <v>0</v>
      </c>
      <c r="L3" s="3">
        <f>L5+L6+L7+L8+L9</f>
        <v>0</v>
      </c>
      <c r="M3" s="3">
        <f>M5+M6+M7+M8+M9</f>
        <v>0</v>
      </c>
      <c r="N3" s="4">
        <f>IF(L3=0,0,M3/L3)</f>
        <v>0</v>
      </c>
      <c r="O3" s="3">
        <f>O5+O6+O7+O8+O9</f>
        <v>0</v>
      </c>
      <c r="P3" s="3">
        <f>P5+P6+P7+P8+P9</f>
        <v>0</v>
      </c>
      <c r="Q3" s="4">
        <f>IF(O3=0,0,P3/O3)</f>
        <v>0</v>
      </c>
      <c r="S3" s="3">
        <f>S5+S6+S7+S8+S9</f>
        <v>0</v>
      </c>
      <c r="T3" s="3">
        <f>T5+T6+T7+T8+T9</f>
        <v>0</v>
      </c>
      <c r="U3" s="4">
        <f>IF(S3=0,0,T3/S3)</f>
        <v>0</v>
      </c>
      <c r="V3" s="3">
        <f>V5+V6+V7+V8+V9</f>
        <v>0</v>
      </c>
      <c r="W3" s="3">
        <f>W5+W6+W7+W8+W9</f>
        <v>0</v>
      </c>
      <c r="X3" s="4">
        <f>IF(V3=0,0,W3/V3)</f>
        <v>0</v>
      </c>
      <c r="Y3" s="3">
        <f>Y5+Y6+Y7+Y8+Y9</f>
        <v>0</v>
      </c>
      <c r="Z3" s="3">
        <f>Z5+Z6+Z7+Z8+Z9</f>
        <v>0</v>
      </c>
      <c r="AA3" s="4">
        <f>IF(Y3=0,0,Z3/Y3)</f>
        <v>0</v>
      </c>
      <c r="AB3" s="3">
        <f>AB5+AB6+AB7+AB8+AB9</f>
        <v>0</v>
      </c>
      <c r="AC3" s="3">
        <f>AC5+AC6+AC7+AC8+AC9</f>
        <v>0</v>
      </c>
      <c r="AD3" s="4">
        <f>IF(AB3=0,0,AC3/AB3)</f>
        <v>0</v>
      </c>
    </row>
    <row r="4" spans="1:30">
      <c r="A4" s="5" t="s">
        <v>29</v>
      </c>
    </row>
    <row r="5" spans="1:30">
      <c r="B5" t="s">
        <v>30</v>
      </c>
      <c r="C5" s="3">
        <f>J5+M5+G5+P5</f>
        <v>0</v>
      </c>
      <c r="D5" s="3">
        <f>G5</f>
        <v>0</v>
      </c>
      <c r="E5" s="3">
        <f>J5+M5+P5</f>
        <v>0</v>
      </c>
      <c r="F5" s="3">
        <v>363.2526709502005</v>
      </c>
      <c r="G5" s="3">
        <v>25.6326821076292</v>
      </c>
      <c r="H5" s="4">
        <f>IF(F5=0,0,G5/F5)</f>
        <v>0</v>
      </c>
      <c r="I5" s="3">
        <v>4770.634143246331</v>
      </c>
      <c r="J5" s="3">
        <v>313.1491918410863</v>
      </c>
      <c r="K5" s="4">
        <f>IF(I5=0,0,J5/I5)</f>
        <v>0</v>
      </c>
      <c r="L5" s="3">
        <v>17201.81753387347</v>
      </c>
      <c r="M5" s="3">
        <v>34.65351871059835</v>
      </c>
      <c r="N5" s="4">
        <f>IF(L5=0,0,M5/L5)</f>
        <v>0</v>
      </c>
      <c r="O5" s="3">
        <v>563.6740462937513</v>
      </c>
      <c r="P5" s="3">
        <v>3.055884731480386</v>
      </c>
      <c r="Q5" s="4">
        <f>IF(O5=0,0,P5/O5)</f>
        <v>0</v>
      </c>
      <c r="S5" s="3">
        <v>5246.952233206521</v>
      </c>
      <c r="T5" s="3">
        <v>370.2476798749703</v>
      </c>
      <c r="U5" s="4">
        <f>IF(S5=0,0,T5/S5)</f>
        <v>0</v>
      </c>
      <c r="V5" s="3">
        <v>131635505.1358041</v>
      </c>
      <c r="W5" s="3">
        <v>6824470.841005474</v>
      </c>
      <c r="X5" s="4">
        <f>IF(V5=0,0,W5/V5)</f>
        <v>0</v>
      </c>
      <c r="Y5" s="3">
        <v>4146720.811068905</v>
      </c>
      <c r="Z5" s="3">
        <v>85316.94233367266</v>
      </c>
      <c r="AA5" s="4">
        <f>IF(Y5=0,0,Z5/Y5)</f>
        <v>0</v>
      </c>
      <c r="AB5" s="3">
        <v>191901.8894224531</v>
      </c>
      <c r="AC5" s="3">
        <v>385.1518101805414</v>
      </c>
      <c r="AD5" s="4">
        <f>IF(AB5=0,0,AC5/AB5)</f>
        <v>0</v>
      </c>
    </row>
    <row r="6" spans="1:30">
      <c r="B6" t="s">
        <v>31</v>
      </c>
      <c r="C6" s="3">
        <f>J6+M6+G6+P6</f>
        <v>0</v>
      </c>
      <c r="D6" s="3">
        <f>G6</f>
        <v>0</v>
      </c>
      <c r="E6" s="3">
        <f>J6+M6+P6</f>
        <v>0</v>
      </c>
      <c r="F6" s="3">
        <v>320.895824642032</v>
      </c>
      <c r="G6" s="3">
        <v>19.31417561181431</v>
      </c>
      <c r="H6" s="4">
        <f>IF(F6=0,0,G6/F6)</f>
        <v>0</v>
      </c>
      <c r="I6" s="3">
        <v>4315.187437526984</v>
      </c>
      <c r="J6" s="3">
        <v>279.300660644656</v>
      </c>
      <c r="K6" s="4">
        <f>IF(I6=0,0,J6/I6)</f>
        <v>0</v>
      </c>
      <c r="L6" s="3">
        <v>14287.00731827389</v>
      </c>
      <c r="M6" s="3">
        <v>-8.665332839692011</v>
      </c>
      <c r="N6" s="4">
        <f>IF(L6=0,0,M6/L6)</f>
        <v>0</v>
      </c>
      <c r="O6" s="3">
        <v>368.9620181288427</v>
      </c>
      <c r="P6" s="3">
        <v>9.87815318115428</v>
      </c>
      <c r="Q6" s="4">
        <f>IF(O6=0,0,P6/O6)</f>
        <v>0</v>
      </c>
      <c r="S6" s="3">
        <v>4635.134710304677</v>
      </c>
      <c r="T6" s="3">
        <v>278.9808994215082</v>
      </c>
      <c r="U6" s="4">
        <f>IF(S6=0,0,T6/S6)</f>
        <v>0</v>
      </c>
      <c r="V6" s="3">
        <v>123303471.7218903</v>
      </c>
      <c r="W6" s="3">
        <v>6420585.248220176</v>
      </c>
      <c r="X6" s="4">
        <f>IF(V6=0,0,W6/V6)</f>
        <v>0</v>
      </c>
      <c r="Y6" s="3">
        <v>2492610.938112688</v>
      </c>
      <c r="Z6" s="3">
        <v>58192.50294461334</v>
      </c>
      <c r="AA6" s="4">
        <f>IF(Y6=0,0,Z6/Y6)</f>
        <v>0</v>
      </c>
      <c r="AB6" s="3">
        <v>159452.8494147427</v>
      </c>
      <c r="AC6" s="3">
        <v>-96.28795254512806</v>
      </c>
      <c r="AD6" s="4">
        <f>IF(AB6=0,0,AC6/AB6)</f>
        <v>0</v>
      </c>
    </row>
    <row r="7" spans="1:30">
      <c r="B7" t="s">
        <v>32</v>
      </c>
      <c r="C7" s="3">
        <f>J7+M7+G7+P7</f>
        <v>0</v>
      </c>
      <c r="D7" s="3">
        <f>G7</f>
        <v>0</v>
      </c>
      <c r="E7" s="3">
        <f>J7+M7+P7</f>
        <v>0</v>
      </c>
      <c r="F7" s="3">
        <v>288.0890318813705</v>
      </c>
      <c r="G7" s="3">
        <v>14.66402391696896</v>
      </c>
      <c r="H7" s="4">
        <f>IF(F7=0,0,G7/F7)</f>
        <v>0</v>
      </c>
      <c r="I7" s="3">
        <v>4219.528255961915</v>
      </c>
      <c r="J7" s="3">
        <v>242.8912775303489</v>
      </c>
      <c r="K7" s="4">
        <f>IF(I7=0,0,J7/I7)</f>
        <v>0</v>
      </c>
      <c r="L7" s="3">
        <v>12956.12081462672</v>
      </c>
      <c r="M7" s="3">
        <v>47.6477209922336</v>
      </c>
      <c r="N7" s="4">
        <f>IF(L7=0,0,M7/L7)</f>
        <v>0</v>
      </c>
      <c r="O7" s="3">
        <v>413.9741355821696</v>
      </c>
      <c r="P7" s="3">
        <v>8.572203573752777</v>
      </c>
      <c r="Q7" s="4">
        <f>IF(O7=0,0,P7/O7)</f>
        <v>0</v>
      </c>
      <c r="S7" s="3">
        <v>4161.261595787386</v>
      </c>
      <c r="T7" s="3">
        <v>211.8124357838028</v>
      </c>
      <c r="U7" s="4">
        <f>IF(S7=0,0,T7/S7)</f>
        <v>0</v>
      </c>
      <c r="V7" s="3">
        <v>120998582.0234882</v>
      </c>
      <c r="W7" s="3">
        <v>5621483.696693212</v>
      </c>
      <c r="X7" s="4">
        <f>IF(V7=0,0,W7/V7)</f>
        <v>0</v>
      </c>
      <c r="Y7" s="3">
        <v>2977965.268457345</v>
      </c>
      <c r="Z7" s="3">
        <v>54152.6928228382</v>
      </c>
      <c r="AA7" s="4">
        <f>IF(Y7=0,0,Z7/Y7)</f>
        <v>0</v>
      </c>
      <c r="AB7" s="3">
        <v>144576.3607465195</v>
      </c>
      <c r="AC7" s="3">
        <v>529.583738998248</v>
      </c>
      <c r="AD7" s="4">
        <f>IF(AB7=0,0,AC7/AB7)</f>
        <v>0</v>
      </c>
    </row>
    <row r="8" spans="1:30">
      <c r="B8" t="s">
        <v>33</v>
      </c>
      <c r="C8" s="3">
        <f>J8+M8+G8+P8</f>
        <v>0</v>
      </c>
      <c r="D8" s="3">
        <f>G8</f>
        <v>0</v>
      </c>
      <c r="E8" s="3">
        <f>J8+M8+P8</f>
        <v>0</v>
      </c>
      <c r="F8" s="3">
        <v>271.6537594878637</v>
      </c>
      <c r="G8" s="3">
        <v>12.01915901086331</v>
      </c>
      <c r="H8" s="4">
        <f>IF(F8=0,0,G8/F8)</f>
        <v>0</v>
      </c>
      <c r="I8" s="3">
        <v>3865.876824341832</v>
      </c>
      <c r="J8" s="3">
        <v>198.691617226379</v>
      </c>
      <c r="K8" s="4">
        <f>IF(I8=0,0,J8/I8)</f>
        <v>0</v>
      </c>
      <c r="L8" s="3">
        <v>11750.93232102557</v>
      </c>
      <c r="M8" s="3">
        <v>4.333740511480719</v>
      </c>
      <c r="N8" s="4">
        <f>IF(L8=0,0,M8/L8)</f>
        <v>0</v>
      </c>
      <c r="O8" s="3">
        <v>341.5371321492009</v>
      </c>
      <c r="P8" s="3">
        <v>0.003013071803143248</v>
      </c>
      <c r="Q8" s="4">
        <f>IF(O8=0,0,P8/O8)</f>
        <v>0</v>
      </c>
      <c r="S8" s="3">
        <v>3923.864609929325</v>
      </c>
      <c r="T8" s="3">
        <v>173.6090557802372</v>
      </c>
      <c r="U8" s="4">
        <f>IF(S8=0,0,T8/S8)</f>
        <v>0</v>
      </c>
      <c r="V8" s="3">
        <v>114901246.7176108</v>
      </c>
      <c r="W8" s="3">
        <v>4852463.408646479</v>
      </c>
      <c r="X8" s="4">
        <f>IF(V8=0,0,W8/V8)</f>
        <v>0</v>
      </c>
      <c r="Y8" s="3">
        <v>2573310.954592903</v>
      </c>
      <c r="Z8" s="3">
        <v>41023.30992707005</v>
      </c>
      <c r="AA8" s="4">
        <f>IF(Y8=0,0,Z8/Y8)</f>
        <v>0</v>
      </c>
      <c r="AB8" s="3">
        <v>131096.0473902006</v>
      </c>
      <c r="AC8" s="3">
        <v>48.14397627257858</v>
      </c>
      <c r="AD8" s="4">
        <f>IF(AB8=0,0,AC8/AB8)</f>
        <v>0</v>
      </c>
    </row>
    <row r="9" spans="1:30">
      <c r="B9" t="s">
        <v>34</v>
      </c>
      <c r="C9" s="3">
        <f>J9+M9+G9+P9</f>
        <v>0</v>
      </c>
      <c r="D9" s="3">
        <f>G9</f>
        <v>0</v>
      </c>
      <c r="E9" s="3">
        <f>J9+M9+P9</f>
        <v>0</v>
      </c>
      <c r="F9" s="3">
        <v>231.35610363086</v>
      </c>
      <c r="G9" s="3">
        <v>4.583485389322275</v>
      </c>
      <c r="H9" s="4">
        <f>IF(F9=0,0,G9/F9)</f>
        <v>0</v>
      </c>
      <c r="I9" s="3">
        <v>3364.535483097304</v>
      </c>
      <c r="J9" s="3">
        <v>100.8940939517273</v>
      </c>
      <c r="K9" s="4">
        <f>IF(I9=0,0,J9/I9)</f>
        <v>0</v>
      </c>
      <c r="L9" s="3">
        <v>11621.53898497677</v>
      </c>
      <c r="M9" s="3">
        <v>12.99365256417356</v>
      </c>
      <c r="N9" s="4">
        <f>IF(L9=0,0,M9/L9)</f>
        <v>0</v>
      </c>
      <c r="O9" s="3">
        <v>214.6066033532331</v>
      </c>
      <c r="P9" s="3">
        <v>2.982047942264675</v>
      </c>
      <c r="Q9" s="4">
        <f>IF(O9=0,0,P9/O9)</f>
        <v>0</v>
      </c>
      <c r="S9" s="3">
        <v>3341.790774549652</v>
      </c>
      <c r="T9" s="3">
        <v>66.20551154232589</v>
      </c>
      <c r="U9" s="4">
        <f>IF(S9=0,0,T9/S9)</f>
        <v>0</v>
      </c>
      <c r="V9" s="3">
        <v>107029191.5550522</v>
      </c>
      <c r="W9" s="3">
        <v>2678087.60536024</v>
      </c>
      <c r="X9" s="4">
        <f>IF(V9=0,0,W9/V9)</f>
        <v>0</v>
      </c>
      <c r="Y9" s="3">
        <v>1541764.677188765</v>
      </c>
      <c r="Z9" s="3">
        <v>16543.98430822045</v>
      </c>
      <c r="AA9" s="4">
        <f>IF(Y9=0,0,Z9/Y9)</f>
        <v>0</v>
      </c>
      <c r="AB9" s="3">
        <v>129651.7281020236</v>
      </c>
      <c r="AC9" s="3">
        <v>144.4319288176921</v>
      </c>
      <c r="AD9" s="4">
        <f>IF(AB9=0,0,AC9/AB9)</f>
        <v>0</v>
      </c>
    </row>
    <row r="11" spans="1:30">
      <c r="A11" s="2" t="s">
        <v>35</v>
      </c>
    </row>
    <row r="12" spans="1:30">
      <c r="B12" t="s">
        <v>28</v>
      </c>
      <c r="C12" s="3">
        <f>C14+C15+C16+C17+C18</f>
        <v>0</v>
      </c>
      <c r="D12" s="3">
        <f>D14+D15+D16+D17+D18</f>
        <v>0</v>
      </c>
      <c r="E12" s="3">
        <f>E14+E15+E16+E17+E18</f>
        <v>0</v>
      </c>
      <c r="F12" s="3">
        <f>F14+F15+F16+F17+F18</f>
        <v>0</v>
      </c>
      <c r="G12" s="3">
        <f>G14+G15+G16+G17+G18</f>
        <v>0</v>
      </c>
      <c r="H12" s="4">
        <f>IF(F12=0,0,G12/F12)</f>
        <v>0</v>
      </c>
      <c r="I12" s="3">
        <f>I14+I15+I16+I17+I18</f>
        <v>0</v>
      </c>
      <c r="J12" s="3">
        <f>J14+J15+J16+J17+J18</f>
        <v>0</v>
      </c>
      <c r="K12" s="4">
        <f>IF(I12=0,0,J12/I12)</f>
        <v>0</v>
      </c>
      <c r="L12" s="3">
        <f>L14+L15+L16+L17+L18</f>
        <v>0</v>
      </c>
      <c r="M12" s="3">
        <f>M14+M15+M16+M17+M18</f>
        <v>0</v>
      </c>
      <c r="N12" s="4">
        <f>IF(L12=0,0,M12/L12)</f>
        <v>0</v>
      </c>
      <c r="O12" s="3">
        <f>O14+O15+O16+O17+O18</f>
        <v>0</v>
      </c>
      <c r="P12" s="3">
        <f>P14+P15+P16+P17+P18</f>
        <v>0</v>
      </c>
      <c r="Q12" s="4">
        <f>IF(O12=0,0,P12/O12)</f>
        <v>0</v>
      </c>
      <c r="S12" s="3">
        <f>S14+S15+S16+S17+S18</f>
        <v>0</v>
      </c>
      <c r="T12" s="3">
        <f>T14+T15+T16+T17+T18</f>
        <v>0</v>
      </c>
      <c r="U12" s="4">
        <f>IF(S12=0,0,T12/S12)</f>
        <v>0</v>
      </c>
      <c r="V12" s="3">
        <f>V14+V15+V16+V17+V18</f>
        <v>0</v>
      </c>
      <c r="W12" s="3">
        <f>W14+W15+W16+W17+W18</f>
        <v>0</v>
      </c>
      <c r="X12" s="4">
        <f>IF(V12=0,0,W12/V12)</f>
        <v>0</v>
      </c>
      <c r="Y12" s="3">
        <f>Y14+Y15+Y16+Y17+Y18</f>
        <v>0</v>
      </c>
      <c r="Z12" s="3">
        <f>Z14+Z15+Z16+Z17+Z18</f>
        <v>0</v>
      </c>
      <c r="AA12" s="4">
        <f>IF(Y12=0,0,Z12/Y12)</f>
        <v>0</v>
      </c>
      <c r="AB12" s="3">
        <f>AB14+AB15+AB16+AB17+AB18</f>
        <v>0</v>
      </c>
      <c r="AC12" s="3">
        <f>AC14+AC15+AC16+AC17+AC18</f>
        <v>0</v>
      </c>
      <c r="AD12" s="4">
        <f>IF(AB12=0,0,AC12/AB12)</f>
        <v>0</v>
      </c>
    </row>
    <row r="13" spans="1:30">
      <c r="A13" s="5" t="s">
        <v>29</v>
      </c>
    </row>
    <row r="14" spans="1:30">
      <c r="B14" t="s">
        <v>30</v>
      </c>
      <c r="C14" s="3">
        <f>J14+M14+G14+P14</f>
        <v>0</v>
      </c>
      <c r="D14" s="3">
        <f>G14</f>
        <v>0</v>
      </c>
      <c r="E14" s="3">
        <f>J14+M14+P14</f>
        <v>0</v>
      </c>
      <c r="F14" s="3">
        <v>363.2526709502005</v>
      </c>
      <c r="G14" s="3">
        <v>171.7832348530698</v>
      </c>
      <c r="H14" s="4">
        <f>IF(F14=0,0,G14/F14)</f>
        <v>0</v>
      </c>
      <c r="I14" s="3">
        <v>4770.634143246331</v>
      </c>
      <c r="J14" s="3">
        <v>313.1491918410863</v>
      </c>
      <c r="K14" s="4">
        <f>IF(I14=0,0,J14/I14)</f>
        <v>0</v>
      </c>
      <c r="L14" s="3">
        <v>17201.81753387347</v>
      </c>
      <c r="M14" s="3">
        <v>34.65351871059835</v>
      </c>
      <c r="N14" s="4">
        <f>IF(L14=0,0,M14/L14)</f>
        <v>0</v>
      </c>
      <c r="O14" s="3">
        <v>563.6740462937513</v>
      </c>
      <c r="P14" s="3">
        <v>3.055884731480386</v>
      </c>
      <c r="Q14" s="4">
        <f>IF(O14=0,0,P14/O14)</f>
        <v>0</v>
      </c>
      <c r="S14" s="3">
        <v>5246.952233206521</v>
      </c>
      <c r="T14" s="3">
        <v>2481.2988308717</v>
      </c>
      <c r="U14" s="4">
        <f>IF(S14=0,0,T14/S14)</f>
        <v>0</v>
      </c>
      <c r="V14" s="3">
        <v>131635505.1358041</v>
      </c>
      <c r="W14" s="3">
        <v>6824470.841005474</v>
      </c>
      <c r="X14" s="4">
        <f>IF(V14=0,0,W14/V14)</f>
        <v>0</v>
      </c>
      <c r="Y14" s="3">
        <v>4146720.811068905</v>
      </c>
      <c r="Z14" s="3">
        <v>85316.94233367266</v>
      </c>
      <c r="AA14" s="4">
        <f>IF(Y14=0,0,Z14/Y14)</f>
        <v>0</v>
      </c>
      <c r="AB14" s="3">
        <v>191901.8894224531</v>
      </c>
      <c r="AC14" s="3">
        <v>385.1518101805414</v>
      </c>
      <c r="AD14" s="4">
        <f>IF(AB14=0,0,AC14/AB14)</f>
        <v>0</v>
      </c>
    </row>
    <row r="15" spans="1:30">
      <c r="B15" t="s">
        <v>31</v>
      </c>
      <c r="C15" s="3">
        <f>J15+M15+G15+P15</f>
        <v>0</v>
      </c>
      <c r="D15" s="3">
        <f>G15</f>
        <v>0</v>
      </c>
      <c r="E15" s="3">
        <f>J15+M15+P15</f>
        <v>0</v>
      </c>
      <c r="F15" s="3">
        <v>320.895824642032</v>
      </c>
      <c r="G15" s="3">
        <v>136.8384360524177</v>
      </c>
      <c r="H15" s="4">
        <f>IF(F15=0,0,G15/F15)</f>
        <v>0</v>
      </c>
      <c r="I15" s="3">
        <v>4315.187437526984</v>
      </c>
      <c r="J15" s="3">
        <v>279.300660644656</v>
      </c>
      <c r="K15" s="4">
        <f>IF(I15=0,0,J15/I15)</f>
        <v>0</v>
      </c>
      <c r="L15" s="3">
        <v>14287.00731827389</v>
      </c>
      <c r="M15" s="3">
        <v>-8.665332839692011</v>
      </c>
      <c r="N15" s="4">
        <f>IF(L15=0,0,M15/L15)</f>
        <v>0</v>
      </c>
      <c r="O15" s="3">
        <v>368.9620181288427</v>
      </c>
      <c r="P15" s="3">
        <v>9.87815318115428</v>
      </c>
      <c r="Q15" s="4">
        <f>IF(O15=0,0,P15/O15)</f>
        <v>0</v>
      </c>
      <c r="S15" s="3">
        <v>4635.134710304677</v>
      </c>
      <c r="T15" s="3">
        <v>1976.543588119003</v>
      </c>
      <c r="U15" s="4">
        <f>IF(S15=0,0,T15/S15)</f>
        <v>0</v>
      </c>
      <c r="V15" s="3">
        <v>123303471.7218903</v>
      </c>
      <c r="W15" s="3">
        <v>6420585.248220176</v>
      </c>
      <c r="X15" s="4">
        <f>IF(V15=0,0,W15/V15)</f>
        <v>0</v>
      </c>
      <c r="Y15" s="3">
        <v>2492610.938112688</v>
      </c>
      <c r="Z15" s="3">
        <v>58192.50294461334</v>
      </c>
      <c r="AA15" s="4">
        <f>IF(Y15=0,0,Z15/Y15)</f>
        <v>0</v>
      </c>
      <c r="AB15" s="3">
        <v>159452.8494147427</v>
      </c>
      <c r="AC15" s="3">
        <v>-96.28795254512806</v>
      </c>
      <c r="AD15" s="4">
        <f>IF(AB15=0,0,AC15/AB15)</f>
        <v>0</v>
      </c>
    </row>
    <row r="16" spans="1:30">
      <c r="B16" t="s">
        <v>32</v>
      </c>
      <c r="C16" s="3">
        <f>J16+M16+G16+P16</f>
        <v>0</v>
      </c>
      <c r="D16" s="3">
        <f>G16</f>
        <v>0</v>
      </c>
      <c r="E16" s="3">
        <f>J16+M16+P16</f>
        <v>0</v>
      </c>
      <c r="F16" s="3">
        <v>288.0890318813705</v>
      </c>
      <c r="G16" s="3">
        <v>109.4383939321504</v>
      </c>
      <c r="H16" s="4">
        <f>IF(F16=0,0,G16/F16)</f>
        <v>0</v>
      </c>
      <c r="I16" s="3">
        <v>4219.528255961915</v>
      </c>
      <c r="J16" s="3">
        <v>242.8912775303489</v>
      </c>
      <c r="K16" s="4">
        <f>IF(I16=0,0,J16/I16)</f>
        <v>0</v>
      </c>
      <c r="L16" s="3">
        <v>12956.12081462672</v>
      </c>
      <c r="M16" s="3">
        <v>47.6477209922336</v>
      </c>
      <c r="N16" s="4">
        <f>IF(L16=0,0,M16/L16)</f>
        <v>0</v>
      </c>
      <c r="O16" s="3">
        <v>413.9741355821696</v>
      </c>
      <c r="P16" s="3">
        <v>8.572203573752777</v>
      </c>
      <c r="Q16" s="4">
        <f>IF(O16=0,0,P16/O16)</f>
        <v>0</v>
      </c>
      <c r="S16" s="3">
        <v>4161.261595787386</v>
      </c>
      <c r="T16" s="3">
        <v>1580.767524540937</v>
      </c>
      <c r="U16" s="4">
        <f>IF(S16=0,0,T16/S16)</f>
        <v>0</v>
      </c>
      <c r="V16" s="3">
        <v>120998582.0234882</v>
      </c>
      <c r="W16" s="3">
        <v>5621483.696693212</v>
      </c>
      <c r="X16" s="4">
        <f>IF(V16=0,0,W16/V16)</f>
        <v>0</v>
      </c>
      <c r="Y16" s="3">
        <v>2977965.268457345</v>
      </c>
      <c r="Z16" s="3">
        <v>54152.6928228382</v>
      </c>
      <c r="AA16" s="4">
        <f>IF(Y16=0,0,Z16/Y16)</f>
        <v>0</v>
      </c>
      <c r="AB16" s="3">
        <v>144576.3607465195</v>
      </c>
      <c r="AC16" s="3">
        <v>529.583738998248</v>
      </c>
      <c r="AD16" s="4">
        <f>IF(AB16=0,0,AC16/AB16)</f>
        <v>0</v>
      </c>
    </row>
    <row r="17" spans="1:30">
      <c r="B17" t="s">
        <v>33</v>
      </c>
      <c r="C17" s="3">
        <f>J17+M17+G17+P17</f>
        <v>0</v>
      </c>
      <c r="D17" s="3">
        <f>G17</f>
        <v>0</v>
      </c>
      <c r="E17" s="3">
        <f>J17+M17+P17</f>
        <v>0</v>
      </c>
      <c r="F17" s="3">
        <v>271.6537594878637</v>
      </c>
      <c r="G17" s="3">
        <v>93.23687772785759</v>
      </c>
      <c r="H17" s="4">
        <f>IF(F17=0,0,G17/F17)</f>
        <v>0</v>
      </c>
      <c r="I17" s="3">
        <v>3865.876824341832</v>
      </c>
      <c r="J17" s="3">
        <v>198.691617226379</v>
      </c>
      <c r="K17" s="4">
        <f>IF(I17=0,0,J17/I17)</f>
        <v>0</v>
      </c>
      <c r="L17" s="3">
        <v>11750.93232102557</v>
      </c>
      <c r="M17" s="3">
        <v>4.333740511480719</v>
      </c>
      <c r="N17" s="4">
        <f>IF(L17=0,0,M17/L17)</f>
        <v>0</v>
      </c>
      <c r="O17" s="3">
        <v>341.5371321492009</v>
      </c>
      <c r="P17" s="3">
        <v>0.00301307180308504</v>
      </c>
      <c r="Q17" s="4">
        <f>IF(O17=0,0,P17/O17)</f>
        <v>0</v>
      </c>
      <c r="S17" s="3">
        <v>3923.864609929325</v>
      </c>
      <c r="T17" s="3">
        <v>1346.746997156844</v>
      </c>
      <c r="U17" s="4">
        <f>IF(S17=0,0,T17/S17)</f>
        <v>0</v>
      </c>
      <c r="V17" s="3">
        <v>114901246.7176108</v>
      </c>
      <c r="W17" s="3">
        <v>4852463.408646479</v>
      </c>
      <c r="X17" s="4">
        <f>IF(V17=0,0,W17/V17)</f>
        <v>0</v>
      </c>
      <c r="Y17" s="3">
        <v>2573310.954592903</v>
      </c>
      <c r="Z17" s="3">
        <v>41023.30992707051</v>
      </c>
      <c r="AA17" s="4">
        <f>IF(Y17=0,0,Z17/Y17)</f>
        <v>0</v>
      </c>
      <c r="AB17" s="3">
        <v>131096.0473902006</v>
      </c>
      <c r="AC17" s="3">
        <v>48.14397627257858</v>
      </c>
      <c r="AD17" s="4">
        <f>IF(AB17=0,0,AC17/AB17)</f>
        <v>0</v>
      </c>
    </row>
    <row r="18" spans="1:30">
      <c r="B18" t="s">
        <v>34</v>
      </c>
      <c r="C18" s="3">
        <f>J18+M18+G18+P18</f>
        <v>0</v>
      </c>
      <c r="D18" s="3">
        <f>G18</f>
        <v>0</v>
      </c>
      <c r="E18" s="3">
        <f>J18+M18+P18</f>
        <v>0</v>
      </c>
      <c r="F18" s="3">
        <v>231.35610363086</v>
      </c>
      <c r="G18" s="3">
        <v>41.44778951961637</v>
      </c>
      <c r="H18" s="4">
        <f>IF(F18=0,0,G18/F18)</f>
        <v>0</v>
      </c>
      <c r="I18" s="3">
        <v>3364.535483097304</v>
      </c>
      <c r="J18" s="3">
        <v>100.8940939517273</v>
      </c>
      <c r="K18" s="4">
        <f>IF(I18=0,0,J18/I18)</f>
        <v>0</v>
      </c>
      <c r="L18" s="3">
        <v>11621.53898497677</v>
      </c>
      <c r="M18" s="3">
        <v>12.99365256417356</v>
      </c>
      <c r="N18" s="4">
        <f>IF(L18=0,0,M18/L18)</f>
        <v>0</v>
      </c>
      <c r="O18" s="3">
        <v>214.6066033532331</v>
      </c>
      <c r="P18" s="3">
        <v>2.982047942264675</v>
      </c>
      <c r="Q18" s="4">
        <f>IF(O18=0,0,P18/O18)</f>
        <v>0</v>
      </c>
      <c r="S18" s="3">
        <v>3341.790774549652</v>
      </c>
      <c r="T18" s="3">
        <v>598.6867796802512</v>
      </c>
      <c r="U18" s="4">
        <f>IF(S18=0,0,T18/S18)</f>
        <v>0</v>
      </c>
      <c r="V18" s="3">
        <v>107029191.5550522</v>
      </c>
      <c r="W18" s="3">
        <v>2678087.60536024</v>
      </c>
      <c r="X18" s="4">
        <f>IF(V18=0,0,W18/V18)</f>
        <v>0</v>
      </c>
      <c r="Y18" s="3">
        <v>1541764.677188765</v>
      </c>
      <c r="Z18" s="3">
        <v>16543.98430822045</v>
      </c>
      <c r="AA18" s="4">
        <f>IF(Y18=0,0,Z18/Y18)</f>
        <v>0</v>
      </c>
      <c r="AB18" s="3">
        <v>129651.7281020236</v>
      </c>
      <c r="AC18" s="3">
        <v>144.4319288176921</v>
      </c>
      <c r="AD18" s="4">
        <f>IF(AB18=0,0,AC18/AB18)</f>
        <v>0</v>
      </c>
    </row>
    <row r="20" spans="1:30">
      <c r="A20" s="2" t="s">
        <v>36</v>
      </c>
    </row>
    <row r="21" spans="1:30">
      <c r="B21" t="s">
        <v>28</v>
      </c>
      <c r="C21" s="3">
        <f>C23+C24+C25+C26+C27</f>
        <v>0</v>
      </c>
      <c r="D21" s="3">
        <f>D23+D24+D25+D26+D27</f>
        <v>0</v>
      </c>
      <c r="E21" s="3">
        <f>E23+E24+E25+E26+E27</f>
        <v>0</v>
      </c>
      <c r="F21" s="3">
        <f>F23+F24+F25+F26+F27</f>
        <v>0</v>
      </c>
      <c r="G21" s="3">
        <f>G23+G24+G25+G26+G27</f>
        <v>0</v>
      </c>
      <c r="H21" s="4">
        <f>IF(F21=0,0,G21/F21)</f>
        <v>0</v>
      </c>
      <c r="I21" s="3">
        <f>I23+I24+I25+I26+I27</f>
        <v>0</v>
      </c>
      <c r="J21" s="3">
        <f>J23+J24+J25+J26+J27</f>
        <v>0</v>
      </c>
      <c r="K21" s="4">
        <f>IF(I21=0,0,J21/I21)</f>
        <v>0</v>
      </c>
      <c r="L21" s="3">
        <f>L23+L24+L25+L26+L27</f>
        <v>0</v>
      </c>
      <c r="M21" s="3">
        <f>M23+M24+M25+M26+M27</f>
        <v>0</v>
      </c>
      <c r="N21" s="4">
        <f>IF(L21=0,0,M21/L21)</f>
        <v>0</v>
      </c>
      <c r="O21" s="3">
        <f>O23+O24+O25+O26+O27</f>
        <v>0</v>
      </c>
      <c r="P21" s="3">
        <f>P23+P24+P25+P26+P27</f>
        <v>0</v>
      </c>
      <c r="Q21" s="4">
        <f>IF(O21=0,0,P21/O21)</f>
        <v>0</v>
      </c>
      <c r="S21" s="3">
        <f>S23+S24+S25+S26+S27</f>
        <v>0</v>
      </c>
      <c r="T21" s="3">
        <f>T23+T24+T25+T26+T27</f>
        <v>0</v>
      </c>
      <c r="U21" s="4">
        <f>IF(S21=0,0,T21/S21)</f>
        <v>0</v>
      </c>
      <c r="V21" s="3">
        <f>V23+V24+V25+V26+V27</f>
        <v>0</v>
      </c>
      <c r="W21" s="3">
        <f>W23+W24+W25+W26+W27</f>
        <v>0</v>
      </c>
      <c r="X21" s="4">
        <f>IF(V21=0,0,W21/V21)</f>
        <v>0</v>
      </c>
      <c r="Y21" s="3">
        <f>Y23+Y24+Y25+Y26+Y27</f>
        <v>0</v>
      </c>
      <c r="Z21" s="3">
        <f>Z23+Z24+Z25+Z26+Z27</f>
        <v>0</v>
      </c>
      <c r="AA21" s="4">
        <f>IF(Y21=0,0,Z21/Y21)</f>
        <v>0</v>
      </c>
      <c r="AB21" s="3">
        <f>AB23+AB24+AB25+AB26+AB27</f>
        <v>0</v>
      </c>
      <c r="AC21" s="3">
        <f>AC23+AC24+AC25+AC26+AC27</f>
        <v>0</v>
      </c>
      <c r="AD21" s="4">
        <f>IF(AB21=0,0,AC21/AB21)</f>
        <v>0</v>
      </c>
    </row>
    <row r="22" spans="1:30">
      <c r="A22" s="5" t="s">
        <v>29</v>
      </c>
    </row>
    <row r="23" spans="1:30">
      <c r="B23" t="s">
        <v>30</v>
      </c>
      <c r="C23" s="3">
        <f>J23+M23+G23+P23</f>
        <v>0</v>
      </c>
      <c r="D23" s="3">
        <f>G23</f>
        <v>0</v>
      </c>
      <c r="E23" s="3">
        <f>J23+M23+P23</f>
        <v>0</v>
      </c>
      <c r="F23" s="3">
        <v>414.1484899324265</v>
      </c>
      <c r="G23" s="3">
        <v>268.7589666257657</v>
      </c>
      <c r="H23" s="4">
        <f>IF(F23=0,0,G23/F23)</f>
        <v>0</v>
      </c>
      <c r="I23" s="3">
        <v>1107.74060100339</v>
      </c>
      <c r="J23" s="3">
        <v>152.5234548186974</v>
      </c>
      <c r="K23" s="4">
        <f>IF(I23=0,0,J23/I23)</f>
        <v>0</v>
      </c>
      <c r="L23" s="3">
        <v>16120.82381005316</v>
      </c>
      <c r="M23" s="3">
        <v>76.40795565851592</v>
      </c>
      <c r="N23" s="4">
        <f>IF(L23=0,0,M23/L23)</f>
        <v>0</v>
      </c>
      <c r="O23" s="3">
        <v>723.3754445227719</v>
      </c>
      <c r="P23" s="3">
        <v>15.17958729541011</v>
      </c>
      <c r="Q23" s="4">
        <f>IF(O23=0,0,P23/O23)</f>
        <v>0</v>
      </c>
      <c r="S23" s="3">
        <v>7596.119667815998</v>
      </c>
      <c r="T23" s="3">
        <v>4929.45241118948</v>
      </c>
      <c r="U23" s="4">
        <f>IF(S23=0,0,T23/S23)</f>
        <v>0</v>
      </c>
      <c r="V23" s="3">
        <v>27400977.74118312</v>
      </c>
      <c r="W23" s="3">
        <v>2862892.530974068</v>
      </c>
      <c r="X23" s="4">
        <f>IF(V23=0,0,W23/V23)</f>
        <v>0</v>
      </c>
      <c r="Y23" s="3">
        <v>3466946.620193956</v>
      </c>
      <c r="Z23" s="3">
        <v>63540.57065191539</v>
      </c>
      <c r="AA23" s="4">
        <f>IF(Y23=0,0,Z23/Y23)</f>
        <v>0</v>
      </c>
      <c r="AB23" s="3">
        <v>181415.2838767417</v>
      </c>
      <c r="AC23" s="3">
        <v>848.497460117942</v>
      </c>
      <c r="AD23" s="4">
        <f>IF(AB23=0,0,AC23/AB23)</f>
        <v>0</v>
      </c>
    </row>
    <row r="24" spans="1:30">
      <c r="B24" t="s">
        <v>31</v>
      </c>
      <c r="C24" s="3">
        <f>J24+M24+G24+P24</f>
        <v>0</v>
      </c>
      <c r="D24" s="3">
        <f>G24</f>
        <v>0</v>
      </c>
      <c r="E24" s="3">
        <f>J24+M24+P24</f>
        <v>0</v>
      </c>
      <c r="F24" s="3">
        <v>423.4926078328729</v>
      </c>
      <c r="G24" s="3">
        <v>265.1969265201698</v>
      </c>
      <c r="H24" s="4">
        <f>IF(F24=0,0,G24/F24)</f>
        <v>0</v>
      </c>
      <c r="I24" s="3">
        <v>949.1425284410024</v>
      </c>
      <c r="J24" s="3">
        <v>142.7687617122045</v>
      </c>
      <c r="K24" s="4">
        <f>IF(I24=0,0,J24/I24)</f>
        <v>0</v>
      </c>
      <c r="L24" s="3">
        <v>16501.50561536042</v>
      </c>
      <c r="M24" s="3">
        <v>52.78168463824876</v>
      </c>
      <c r="N24" s="4">
        <f>IF(L24=0,0,M24/L24)</f>
        <v>0</v>
      </c>
      <c r="O24" s="3">
        <v>624.3217401430248</v>
      </c>
      <c r="P24" s="3">
        <v>19.32593902341917</v>
      </c>
      <c r="Q24" s="4">
        <f>IF(O24=0,0,P24/O24)</f>
        <v>0</v>
      </c>
      <c r="S24" s="3">
        <v>7767.505147873048</v>
      </c>
      <c r="T24" s="3">
        <v>4864.119122377824</v>
      </c>
      <c r="U24" s="4">
        <f>IF(S24=0,0,T24/S24)</f>
        <v>0</v>
      </c>
      <c r="V24" s="3">
        <v>24898549.32347565</v>
      </c>
      <c r="W24" s="3">
        <v>2971388.847040191</v>
      </c>
      <c r="X24" s="4">
        <f>IF(V24=0,0,W24/V24)</f>
        <v>0</v>
      </c>
      <c r="Y24" s="3">
        <v>3460960.206983536</v>
      </c>
      <c r="Z24" s="3">
        <v>80686.43892306788</v>
      </c>
      <c r="AA24" s="4">
        <f>IF(Y24=0,0,Z24/Y24)</f>
        <v>0</v>
      </c>
      <c r="AB24" s="3">
        <v>185755.6747304216</v>
      </c>
      <c r="AC24" s="3">
        <v>587.4213185431727</v>
      </c>
      <c r="AD24" s="4">
        <f>IF(AB24=0,0,AC24/AB24)</f>
        <v>0</v>
      </c>
    </row>
    <row r="25" spans="1:30">
      <c r="B25" t="s">
        <v>32</v>
      </c>
      <c r="C25" s="3">
        <f>J25+M25+G25+P25</f>
        <v>0</v>
      </c>
      <c r="D25" s="3">
        <f>G25</f>
        <v>0</v>
      </c>
      <c r="E25" s="3">
        <f>J25+M25+P25</f>
        <v>0</v>
      </c>
      <c r="F25" s="3">
        <v>383.3773430533705</v>
      </c>
      <c r="G25" s="3">
        <v>207.6861586275373</v>
      </c>
      <c r="H25" s="4">
        <f>IF(F25=0,0,G25/F25)</f>
        <v>0</v>
      </c>
      <c r="I25" s="3">
        <v>812.9560846367958</v>
      </c>
      <c r="J25" s="3">
        <v>128.6424463031638</v>
      </c>
      <c r="K25" s="4">
        <f>IF(I25=0,0,J25/I25)</f>
        <v>0</v>
      </c>
      <c r="L25" s="3">
        <v>13855.15332898719</v>
      </c>
      <c r="M25" s="3">
        <v>41.16427105860598</v>
      </c>
      <c r="N25" s="4">
        <f>IF(L25=0,0,M25/L25)</f>
        <v>0</v>
      </c>
      <c r="O25" s="3">
        <v>428.594830790502</v>
      </c>
      <c r="P25" s="3">
        <v>9.669849821887212</v>
      </c>
      <c r="Q25" s="4">
        <f>IF(O25=0,0,P25/O25)</f>
        <v>0</v>
      </c>
      <c r="S25" s="3">
        <v>7031.729552455706</v>
      </c>
      <c r="T25" s="3">
        <v>3809.283270696449</v>
      </c>
      <c r="U25" s="4">
        <f>IF(S25=0,0,T25/S25)</f>
        <v>0</v>
      </c>
      <c r="V25" s="3">
        <v>22562854.77262445</v>
      </c>
      <c r="W25" s="3">
        <v>2932258.19492485</v>
      </c>
      <c r="X25" s="4">
        <f>IF(V25=0,0,W25/V25)</f>
        <v>0</v>
      </c>
      <c r="Y25" s="3">
        <v>2375109.44123459</v>
      </c>
      <c r="Z25" s="3">
        <v>90804.77864285558</v>
      </c>
      <c r="AA25" s="4">
        <f>IF(Y25=0,0,Z25/Y25)</f>
        <v>0</v>
      </c>
      <c r="AB25" s="3">
        <v>155960.3600732053</v>
      </c>
      <c r="AC25" s="3">
        <v>456.883247755788</v>
      </c>
      <c r="AD25" s="4">
        <f>IF(AB25=0,0,AC25/AB25)</f>
        <v>0</v>
      </c>
    </row>
    <row r="26" spans="1:30">
      <c r="B26" t="s">
        <v>33</v>
      </c>
      <c r="C26" s="3">
        <f>J26+M26+G26+P26</f>
        <v>0</v>
      </c>
      <c r="D26" s="3">
        <f>G26</f>
        <v>0</v>
      </c>
      <c r="E26" s="3">
        <f>J26+M26+P26</f>
        <v>0</v>
      </c>
      <c r="F26" s="3">
        <v>339.8251613449683</v>
      </c>
      <c r="G26" s="3">
        <v>163.9650904102992</v>
      </c>
      <c r="H26" s="4">
        <f>IF(F26=0,0,G26/F26)</f>
        <v>0</v>
      </c>
      <c r="I26" s="3">
        <v>744.2357882678732</v>
      </c>
      <c r="J26" s="3">
        <v>121.7392737967667</v>
      </c>
      <c r="K26" s="4">
        <f>IF(I26=0,0,J26/I26)</f>
        <v>0</v>
      </c>
      <c r="L26" s="3">
        <v>11219.30117507262</v>
      </c>
      <c r="M26" s="3">
        <v>32.47551412506215</v>
      </c>
      <c r="N26" s="4">
        <f>IF(L26=0,0,M26/L26)</f>
        <v>0</v>
      </c>
      <c r="O26" s="3">
        <v>368.2018508453923</v>
      </c>
      <c r="P26" s="3">
        <v>10.56337113784649</v>
      </c>
      <c r="Q26" s="4">
        <f>IF(O26=0,0,P26/O26)</f>
        <v>0</v>
      </c>
      <c r="S26" s="3">
        <v>6232.915619546114</v>
      </c>
      <c r="T26" s="3">
        <v>3007.371699711184</v>
      </c>
      <c r="U26" s="4">
        <f>IF(S26=0,0,T26/S26)</f>
        <v>0</v>
      </c>
      <c r="V26" s="3">
        <v>21622572.40808716</v>
      </c>
      <c r="W26" s="3">
        <v>2935451.82360588</v>
      </c>
      <c r="X26" s="4">
        <f>IF(V26=0,0,W26/V26)</f>
        <v>0</v>
      </c>
      <c r="Y26" s="3">
        <v>1994907.132664039</v>
      </c>
      <c r="Z26" s="3">
        <v>62564.5250197819</v>
      </c>
      <c r="AA26" s="4">
        <f>IF(Y26=0,0,Z26/Y26)</f>
        <v>0</v>
      </c>
      <c r="AB26" s="3">
        <v>126393.4870398669</v>
      </c>
      <c r="AC26" s="3">
        <v>358.979694665235</v>
      </c>
      <c r="AD26" s="4">
        <f>IF(AB26=0,0,AC26/AB26)</f>
        <v>0</v>
      </c>
    </row>
    <row r="27" spans="1:30">
      <c r="B27" t="s">
        <v>34</v>
      </c>
      <c r="C27" s="3">
        <f>J27+M27+G27+P27</f>
        <v>0</v>
      </c>
      <c r="D27" s="3">
        <f>G27</f>
        <v>0</v>
      </c>
      <c r="E27" s="3">
        <f>J27+M27+P27</f>
        <v>0</v>
      </c>
      <c r="F27" s="3">
        <v>298.4747545441425</v>
      </c>
      <c r="G27" s="3">
        <v>136.2522848979928</v>
      </c>
      <c r="H27" s="4">
        <f>IF(F27=0,0,G27/F27)</f>
        <v>0</v>
      </c>
      <c r="I27" s="3">
        <v>535.1979996604247</v>
      </c>
      <c r="J27" s="3">
        <v>94.97819750327513</v>
      </c>
      <c r="K27" s="4">
        <f>IF(I27=0,0,J27/I27)</f>
        <v>0</v>
      </c>
      <c r="L27" s="3">
        <v>9724.757436662885</v>
      </c>
      <c r="M27" s="3">
        <v>14.68107258266397</v>
      </c>
      <c r="N27" s="4">
        <f>IF(L27=0,0,M27/L27)</f>
        <v>0</v>
      </c>
      <c r="O27" s="3">
        <v>253.2735972279527</v>
      </c>
      <c r="P27" s="3">
        <v>7.899866345518909</v>
      </c>
      <c r="Q27" s="4">
        <f>IF(O27=0,0,P27/O27)</f>
        <v>0</v>
      </c>
      <c r="S27" s="3">
        <v>5474.485621592494</v>
      </c>
      <c r="T27" s="3">
        <v>2499.076264330658</v>
      </c>
      <c r="U27" s="4">
        <f>IF(S27=0,0,T27/S27)</f>
        <v>0</v>
      </c>
      <c r="V27" s="3">
        <v>17459766.58234148</v>
      </c>
      <c r="W27" s="3">
        <v>2691942.302341633</v>
      </c>
      <c r="X27" s="4">
        <f>IF(V27=0,0,W27/V27)</f>
        <v>0</v>
      </c>
      <c r="Y27" s="3">
        <v>1352213.618758281</v>
      </c>
      <c r="Z27" s="3">
        <v>56513.04210055154</v>
      </c>
      <c r="AA27" s="4">
        <f>IF(Y27=0,0,Z27/Y27)</f>
        <v>0</v>
      </c>
      <c r="AB27" s="3">
        <v>109586.7104259936</v>
      </c>
      <c r="AC27" s="3">
        <v>163.1725884842017</v>
      </c>
      <c r="AD27" s="4">
        <f>IF(AB27=0,0,AC27/AB27)</f>
        <v>0</v>
      </c>
    </row>
    <row r="29" spans="1:30">
      <c r="A29" s="2" t="s">
        <v>37</v>
      </c>
    </row>
    <row r="30" spans="1:30">
      <c r="B30" t="s">
        <v>28</v>
      </c>
      <c r="C30" s="3">
        <f>C32+C33+C34+C35+C36</f>
        <v>0</v>
      </c>
      <c r="D30" s="3">
        <f>D32+D33+D34+D35+D36</f>
        <v>0</v>
      </c>
      <c r="E30" s="3">
        <f>E32+E33+E34+E35+E36</f>
        <v>0</v>
      </c>
      <c r="F30" s="3">
        <f>F32+F33+F34+F35+F36</f>
        <v>0</v>
      </c>
      <c r="G30" s="3">
        <f>G32+G33+G34+G35+G36</f>
        <v>0</v>
      </c>
      <c r="H30" s="4">
        <f>IF(F30=0,0,G30/F30)</f>
        <v>0</v>
      </c>
      <c r="I30" s="3">
        <f>I32+I33+I34+I35+I36</f>
        <v>0</v>
      </c>
      <c r="J30" s="3">
        <f>J32+J33+J34+J35+J36</f>
        <v>0</v>
      </c>
      <c r="K30" s="4">
        <f>IF(I30=0,0,J30/I30)</f>
        <v>0</v>
      </c>
      <c r="L30" s="3">
        <f>L32+L33+L34+L35+L36</f>
        <v>0</v>
      </c>
      <c r="M30" s="3">
        <f>M32+M33+M34+M35+M36</f>
        <v>0</v>
      </c>
      <c r="N30" s="4">
        <f>IF(L30=0,0,M30/L30)</f>
        <v>0</v>
      </c>
      <c r="O30" s="3">
        <f>O32+O33+O34+O35+O36</f>
        <v>0</v>
      </c>
      <c r="P30" s="3">
        <f>P32+P33+P34+P35+P36</f>
        <v>0</v>
      </c>
      <c r="Q30" s="4">
        <f>IF(O30=0,0,P30/O30)</f>
        <v>0</v>
      </c>
      <c r="S30" s="3">
        <f>S32+S33+S34+S35+S36</f>
        <v>0</v>
      </c>
      <c r="T30" s="3">
        <f>T32+T33+T34+T35+T36</f>
        <v>0</v>
      </c>
      <c r="U30" s="4">
        <f>IF(S30=0,0,T30/S30)</f>
        <v>0</v>
      </c>
      <c r="V30" s="3">
        <f>V32+V33+V34+V35+V36</f>
        <v>0</v>
      </c>
      <c r="W30" s="3">
        <f>W32+W33+W34+W35+W36</f>
        <v>0</v>
      </c>
      <c r="X30" s="4">
        <f>IF(V30=0,0,W30/V30)</f>
        <v>0</v>
      </c>
      <c r="Y30" s="3">
        <f>Y32+Y33+Y34+Y35+Y36</f>
        <v>0</v>
      </c>
      <c r="Z30" s="3">
        <f>Z32+Z33+Z34+Z35+Z36</f>
        <v>0</v>
      </c>
      <c r="AA30" s="4">
        <f>IF(Y30=0,0,Z30/Y30)</f>
        <v>0</v>
      </c>
      <c r="AB30" s="3">
        <f>AB32+AB33+AB34+AB35+AB36</f>
        <v>0</v>
      </c>
      <c r="AC30" s="3">
        <f>AC32+AC33+AC34+AC35+AC36</f>
        <v>0</v>
      </c>
      <c r="AD30" s="4">
        <f>IF(AB30=0,0,AC30/AB30)</f>
        <v>0</v>
      </c>
    </row>
    <row r="31" spans="1:30">
      <c r="A31" s="5" t="s">
        <v>29</v>
      </c>
    </row>
    <row r="32" spans="1:30">
      <c r="B32" t="s">
        <v>30</v>
      </c>
      <c r="C32" s="3">
        <f>J32+M32+G32+P32</f>
        <v>0</v>
      </c>
      <c r="D32" s="3">
        <f>G32</f>
        <v>0</v>
      </c>
      <c r="E32" s="3">
        <f>J32+M32+P32</f>
        <v>0</v>
      </c>
      <c r="F32" s="3">
        <v>414.1484899324265</v>
      </c>
      <c r="G32" s="3">
        <v>17.33318803239486</v>
      </c>
      <c r="H32" s="4">
        <f>IF(F32=0,0,G32/F32)</f>
        <v>0</v>
      </c>
      <c r="I32" s="3">
        <v>1107.74060100339</v>
      </c>
      <c r="J32" s="3">
        <v>12.89904290266591</v>
      </c>
      <c r="K32" s="4">
        <f>IF(I32=0,0,J32/I32)</f>
        <v>0</v>
      </c>
      <c r="L32" s="3">
        <v>16120.82381005316</v>
      </c>
      <c r="M32" s="3">
        <v>2.936306209890172</v>
      </c>
      <c r="N32" s="4">
        <f>IF(L32=0,0,M32/L32)</f>
        <v>0</v>
      </c>
      <c r="O32" s="3">
        <v>723.3754445227719</v>
      </c>
      <c r="P32" s="3">
        <v>0.0001449837468098849</v>
      </c>
      <c r="Q32" s="4">
        <f>IF(O32=0,0,P32/O32)</f>
        <v>0</v>
      </c>
      <c r="S32" s="3">
        <v>7596.119667815998</v>
      </c>
      <c r="T32" s="3">
        <v>317.9173019327191</v>
      </c>
      <c r="U32" s="4">
        <f>IF(S32=0,0,T32/S32)</f>
        <v>0</v>
      </c>
      <c r="V32" s="3">
        <v>27400977.74118312</v>
      </c>
      <c r="W32" s="3">
        <v>238294.5097751431</v>
      </c>
      <c r="X32" s="4">
        <f>IF(V32=0,0,W32/V32)</f>
        <v>0</v>
      </c>
      <c r="Y32" s="3">
        <v>3466946.620193956</v>
      </c>
      <c r="Z32" s="3">
        <v>4652.484179838095</v>
      </c>
      <c r="AA32" s="4">
        <f>IF(Y32=0,0,Z32/Y32)</f>
        <v>0</v>
      </c>
      <c r="AB32" s="3">
        <v>181415.2838767417</v>
      </c>
      <c r="AC32" s="3">
        <v>32.63451769686071</v>
      </c>
      <c r="AD32" s="4">
        <f>IF(AB32=0,0,AC32/AB32)</f>
        <v>0</v>
      </c>
    </row>
    <row r="33" spans="1:30">
      <c r="B33" t="s">
        <v>31</v>
      </c>
      <c r="C33" s="3">
        <f>J33+M33+G33+P33</f>
        <v>0</v>
      </c>
      <c r="D33" s="3">
        <f>G33</f>
        <v>0</v>
      </c>
      <c r="E33" s="3">
        <f>J33+M33+P33</f>
        <v>0</v>
      </c>
      <c r="F33" s="3">
        <v>423.4926078328729</v>
      </c>
      <c r="G33" s="3">
        <v>33.49613764871197</v>
      </c>
      <c r="H33" s="4">
        <f>IF(F33=0,0,G33/F33)</f>
        <v>0</v>
      </c>
      <c r="I33" s="3">
        <v>949.1425284410024</v>
      </c>
      <c r="J33" s="3">
        <v>15.74760157094255</v>
      </c>
      <c r="K33" s="4">
        <f>IF(I33=0,0,J33/I33)</f>
        <v>0</v>
      </c>
      <c r="L33" s="3">
        <v>16501.50561536042</v>
      </c>
      <c r="M33" s="3">
        <v>2.9357372400444</v>
      </c>
      <c r="N33" s="4">
        <f>IF(L33=0,0,M33/L33)</f>
        <v>0</v>
      </c>
      <c r="O33" s="3">
        <v>624.3217401430248</v>
      </c>
      <c r="P33" s="3">
        <v>2.406011030815425</v>
      </c>
      <c r="Q33" s="4">
        <f>IF(O33=0,0,P33/O33)</f>
        <v>0</v>
      </c>
      <c r="S33" s="3">
        <v>7767.505147873048</v>
      </c>
      <c r="T33" s="3">
        <v>614.3706331774092</v>
      </c>
      <c r="U33" s="4">
        <f>IF(S33=0,0,T33/S33)</f>
        <v>0</v>
      </c>
      <c r="V33" s="3">
        <v>24898549.32347565</v>
      </c>
      <c r="W33" s="3">
        <v>323318.289719075</v>
      </c>
      <c r="X33" s="4">
        <f>IF(V33=0,0,W33/V33)</f>
        <v>0</v>
      </c>
      <c r="Y33" s="3">
        <v>3460960.206983536</v>
      </c>
      <c r="Z33" s="3">
        <v>8784.410689205397</v>
      </c>
      <c r="AA33" s="4">
        <f>IF(Y33=0,0,Z33/Y33)</f>
        <v>0</v>
      </c>
      <c r="AB33" s="3">
        <v>185755.6747304216</v>
      </c>
      <c r="AC33" s="3">
        <v>32.63451769688982</v>
      </c>
      <c r="AD33" s="4">
        <f>IF(AB33=0,0,AC33/AB33)</f>
        <v>0</v>
      </c>
    </row>
    <row r="34" spans="1:30">
      <c r="B34" t="s">
        <v>32</v>
      </c>
      <c r="C34" s="3">
        <f>J34+M34+G34+P34</f>
        <v>0</v>
      </c>
      <c r="D34" s="3">
        <f>G34</f>
        <v>0</v>
      </c>
      <c r="E34" s="3">
        <f>J34+M34+P34</f>
        <v>0</v>
      </c>
      <c r="F34" s="3">
        <v>383.3773430533705</v>
      </c>
      <c r="G34" s="3">
        <v>41.90986580896727</v>
      </c>
      <c r="H34" s="4">
        <f>IF(F34=0,0,G34/F34)</f>
        <v>0</v>
      </c>
      <c r="I34" s="3">
        <v>812.9560846367958</v>
      </c>
      <c r="J34" s="3">
        <v>17.25944775724935</v>
      </c>
      <c r="K34" s="4">
        <f>IF(I34=0,0,J34/I34)</f>
        <v>0</v>
      </c>
      <c r="L34" s="3">
        <v>13855.15332898719</v>
      </c>
      <c r="M34" s="3">
        <v>0.0005689698457717895</v>
      </c>
      <c r="N34" s="4">
        <f>IF(L34=0,0,M34/L34)</f>
        <v>0</v>
      </c>
      <c r="O34" s="3">
        <v>428.594830790502</v>
      </c>
      <c r="P34" s="3">
        <v>0.0004414568266365677</v>
      </c>
      <c r="Q34" s="4">
        <f>IF(O34=0,0,P34/O34)</f>
        <v>0</v>
      </c>
      <c r="S34" s="3">
        <v>7031.729552455706</v>
      </c>
      <c r="T34" s="3">
        <v>768.6913358031779</v>
      </c>
      <c r="U34" s="4">
        <f>IF(S34=0,0,T34/S34)</f>
        <v>0</v>
      </c>
      <c r="V34" s="3">
        <v>22562854.77262445</v>
      </c>
      <c r="W34" s="3">
        <v>387268.950704027</v>
      </c>
      <c r="X34" s="4">
        <f>IF(V34=0,0,W34/V34)</f>
        <v>0</v>
      </c>
      <c r="Y34" s="3">
        <v>2375109.44123459</v>
      </c>
      <c r="Z34" s="3">
        <v>12916.33719857177</v>
      </c>
      <c r="AA34" s="4">
        <f>IF(Y34=0,0,Z34/Y34)</f>
        <v>0</v>
      </c>
      <c r="AB34" s="3">
        <v>155960.3600732053</v>
      </c>
      <c r="AC34" s="3">
        <v>0</v>
      </c>
      <c r="AD34" s="4">
        <f>IF(AB34=0,0,AC34/AB34)</f>
        <v>0</v>
      </c>
    </row>
    <row r="35" spans="1:30">
      <c r="B35" t="s">
        <v>33</v>
      </c>
      <c r="C35" s="3">
        <f>J35+M35+G35+P35</f>
        <v>0</v>
      </c>
      <c r="D35" s="3">
        <f>G35</f>
        <v>0</v>
      </c>
      <c r="E35" s="3">
        <f>J35+M35+P35</f>
        <v>0</v>
      </c>
      <c r="F35" s="3">
        <v>339.8251613449683</v>
      </c>
      <c r="G35" s="3">
        <v>49.15589494899305</v>
      </c>
      <c r="H35" s="4">
        <f>IF(F35=0,0,G35/F35)</f>
        <v>0</v>
      </c>
      <c r="I35" s="3">
        <v>744.2357882678732</v>
      </c>
      <c r="J35" s="3">
        <v>18.86143738575524</v>
      </c>
      <c r="K35" s="4">
        <f>IF(I35=0,0,J35/I35)</f>
        <v>0</v>
      </c>
      <c r="L35" s="3">
        <v>11219.30117507262</v>
      </c>
      <c r="M35" s="3">
        <v>5.872163870286196</v>
      </c>
      <c r="N35" s="4">
        <f>IF(L35=0,0,M35/L35)</f>
        <v>0</v>
      </c>
      <c r="O35" s="3">
        <v>368.2018508453923</v>
      </c>
      <c r="P35" s="3">
        <v>0.000322572767152451</v>
      </c>
      <c r="Q35" s="4">
        <f>IF(O35=0,0,P35/O35)</f>
        <v>0</v>
      </c>
      <c r="S35" s="3">
        <v>6232.915619546114</v>
      </c>
      <c r="T35" s="3">
        <v>901.5946441626938</v>
      </c>
      <c r="U35" s="4">
        <f>IF(S35=0,0,T35/S35)</f>
        <v>0</v>
      </c>
      <c r="V35" s="3">
        <v>21622572.40808716</v>
      </c>
      <c r="W35" s="3">
        <v>448880.7426355034</v>
      </c>
      <c r="X35" s="4">
        <f>IF(V35=0,0,W35/V35)</f>
        <v>0</v>
      </c>
      <c r="Y35" s="3">
        <v>1994907.132664039</v>
      </c>
      <c r="Z35" s="3">
        <v>9630.316903721308</v>
      </c>
      <c r="AA35" s="4">
        <f>IF(Y35=0,0,Z35/Y35)</f>
        <v>0</v>
      </c>
      <c r="AB35" s="3">
        <v>126393.4870398669</v>
      </c>
      <c r="AC35" s="3">
        <v>65.26903539367777</v>
      </c>
      <c r="AD35" s="4">
        <f>IF(AB35=0,0,AC35/AB35)</f>
        <v>0</v>
      </c>
    </row>
    <row r="36" spans="1:30">
      <c r="B36" t="s">
        <v>34</v>
      </c>
      <c r="C36" s="3">
        <f>J36+M36+G36+P36</f>
        <v>0</v>
      </c>
      <c r="D36" s="3">
        <f>G36</f>
        <v>0</v>
      </c>
      <c r="E36" s="3">
        <f>J36+M36+P36</f>
        <v>0</v>
      </c>
      <c r="F36" s="3">
        <v>298.4747545441425</v>
      </c>
      <c r="G36" s="3">
        <v>47.84222527924707</v>
      </c>
      <c r="H36" s="4">
        <f>IF(F36=0,0,G36/F36)</f>
        <v>0</v>
      </c>
      <c r="I36" s="3">
        <v>535.1979996604247</v>
      </c>
      <c r="J36" s="3">
        <v>15.89674518991169</v>
      </c>
      <c r="K36" s="4">
        <f>IF(I36=0,0,J36/I36)</f>
        <v>0</v>
      </c>
      <c r="L36" s="3">
        <v>9724.757436662885</v>
      </c>
      <c r="M36" s="3">
        <v>2.936306209890172</v>
      </c>
      <c r="N36" s="4">
        <f>IF(L36=0,0,M36/L36)</f>
        <v>0</v>
      </c>
      <c r="O36" s="3">
        <v>253.2735972279527</v>
      </c>
      <c r="P36" s="3">
        <v>0.0003739841311180499</v>
      </c>
      <c r="Q36" s="4">
        <f>IF(O36=0,0,P36/O36)</f>
        <v>0</v>
      </c>
      <c r="S36" s="3">
        <v>5474.485621592494</v>
      </c>
      <c r="T36" s="3">
        <v>877.4999238921964</v>
      </c>
      <c r="U36" s="4">
        <f>IF(S36=0,0,T36/S36)</f>
        <v>0</v>
      </c>
      <c r="V36" s="3">
        <v>17459766.58234148</v>
      </c>
      <c r="W36" s="3">
        <v>444980.2908772007</v>
      </c>
      <c r="X36" s="4">
        <f>IF(V36=0,0,W36/V36)</f>
        <v>0</v>
      </c>
      <c r="Y36" s="3">
        <v>1352213.618758281</v>
      </c>
      <c r="Z36" s="3">
        <v>9435.107777294004</v>
      </c>
      <c r="AA36" s="4">
        <f>IF(Y36=0,0,Z36/Y36)</f>
        <v>0</v>
      </c>
      <c r="AB36" s="3">
        <v>109586.7104259936</v>
      </c>
      <c r="AC36" s="3">
        <v>32.63451769686071</v>
      </c>
      <c r="AD36" s="4">
        <f>IF(AB36=0,0,AC36/AB36)</f>
        <v>0</v>
      </c>
    </row>
    <row r="38" spans="1:30">
      <c r="A38" s="2" t="s">
        <v>38</v>
      </c>
    </row>
    <row r="39" spans="1:30">
      <c r="B39" t="s">
        <v>28</v>
      </c>
      <c r="C39" s="3">
        <f>C41+C42+C43+C44+C45</f>
        <v>0</v>
      </c>
      <c r="D39" s="3">
        <f>D41+D42+D43+D44+D45</f>
        <v>0</v>
      </c>
      <c r="E39" s="3">
        <f>E41+E42+E43+E44+E45</f>
        <v>0</v>
      </c>
      <c r="F39" s="3">
        <f>F41+F42+F43+F44+F45</f>
        <v>0</v>
      </c>
      <c r="G39" s="3">
        <f>G41+G42+G43+G44+G45</f>
        <v>0</v>
      </c>
      <c r="H39" s="4">
        <f>IF(F39=0,0,G39/F39)</f>
        <v>0</v>
      </c>
      <c r="I39" s="3">
        <f>I41+I42+I43+I44+I45</f>
        <v>0</v>
      </c>
      <c r="J39" s="6">
        <f>J41+J42+J43+J44+J45</f>
        <v>0</v>
      </c>
      <c r="K39" s="7">
        <f>IF(I39=0,0,J39/I39)</f>
        <v>0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0</v>
      </c>
      <c r="T39" s="3">
        <f>T41+T42+T43+T44+T45</f>
        <v>0</v>
      </c>
      <c r="U39" s="4">
        <f>IF(S39=0,0,T39/S39)</f>
        <v>0</v>
      </c>
      <c r="V39" s="3">
        <f>V41+V42+V43+V44+V45</f>
        <v>0</v>
      </c>
      <c r="W39" s="6">
        <f>W41+W42+W43+W44+W45</f>
        <v>0</v>
      </c>
      <c r="X39" s="7">
        <f>IF(V39=0,0,W39/V39)</f>
        <v>0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>
      <c r="A40" s="5" t="s">
        <v>29</v>
      </c>
    </row>
    <row r="41" spans="1:30">
      <c r="B41" t="s">
        <v>30</v>
      </c>
      <c r="C41" s="3">
        <f>J41+M41+G41+P41</f>
        <v>0</v>
      </c>
      <c r="D41" s="3">
        <f>G41+J41</f>
        <v>0</v>
      </c>
      <c r="E41" s="3">
        <f>P41+M41</f>
        <v>0</v>
      </c>
      <c r="F41" s="3">
        <v>155.6880585335985</v>
      </c>
      <c r="G41" s="3">
        <v>72.16533334910662</v>
      </c>
      <c r="H41" s="4">
        <f>IF(F41=0,0,G41/F41)</f>
        <v>0</v>
      </c>
      <c r="I41" s="3">
        <v>382.3073643284127</v>
      </c>
      <c r="J41" s="6">
        <v>3.356936426061671</v>
      </c>
      <c r="K41" s="7">
        <f>IF(I41=0,0,J41/I41)</f>
        <v>0</v>
      </c>
      <c r="L41" s="3">
        <v>0</v>
      </c>
      <c r="M41" s="3">
        <v>0</v>
      </c>
      <c r="N41" s="4">
        <f>IF(L41=0,0,M41/L41)</f>
        <v>0</v>
      </c>
      <c r="O41" s="3">
        <v>0</v>
      </c>
      <c r="P41" s="3">
        <v>0</v>
      </c>
      <c r="Q41" s="4">
        <f>IF(O41=0,0,P41/O41)</f>
        <v>0</v>
      </c>
      <c r="S41" s="3">
        <v>2076.356012722646</v>
      </c>
      <c r="T41" s="3">
        <v>962.4432677809709</v>
      </c>
      <c r="U41" s="4">
        <f>IF(S41=0,0,T41/S41)</f>
        <v>0</v>
      </c>
      <c r="V41" s="3">
        <v>9070418.669545408</v>
      </c>
      <c r="W41" s="6">
        <v>78807.32897765189</v>
      </c>
      <c r="X41" s="7">
        <f>IF(V41=0,0,W41/V41)</f>
        <v>0</v>
      </c>
      <c r="Y41" s="3">
        <v>0</v>
      </c>
      <c r="Z41" s="3">
        <v>0</v>
      </c>
      <c r="AA41" s="4">
        <f>IF(Y41=0,0,Z41/Y41)</f>
        <v>0</v>
      </c>
      <c r="AB41" s="3">
        <v>0</v>
      </c>
      <c r="AC41" s="3">
        <v>0</v>
      </c>
      <c r="AD41" s="4">
        <f>IF(AB41=0,0,AC41/AB41)</f>
        <v>0</v>
      </c>
    </row>
    <row r="42" spans="1:30">
      <c r="B42" t="s">
        <v>31</v>
      </c>
      <c r="C42" s="3">
        <f>J42+M42+G42+P42</f>
        <v>0</v>
      </c>
      <c r="D42" s="3">
        <f>G42+J42</f>
        <v>0</v>
      </c>
      <c r="E42" s="3">
        <f>P42+M42</f>
        <v>0</v>
      </c>
      <c r="F42" s="3">
        <v>148.0949547336612</v>
      </c>
      <c r="G42" s="3">
        <v>72.90809041990182</v>
      </c>
      <c r="H42" s="4">
        <f>IF(F42=0,0,G42/F42)</f>
        <v>0</v>
      </c>
      <c r="I42" s="3">
        <v>245.090682899663</v>
      </c>
      <c r="J42" s="6">
        <v>2.9365686601786</v>
      </c>
      <c r="K42" s="7">
        <f>IF(I42=0,0,J42/I42)</f>
        <v>0</v>
      </c>
      <c r="L42" s="3">
        <v>0</v>
      </c>
      <c r="M42" s="3">
        <v>0</v>
      </c>
      <c r="N42" s="4">
        <f>IF(L42=0,0,M42/L42)</f>
        <v>0</v>
      </c>
      <c r="O42" s="3">
        <v>0</v>
      </c>
      <c r="P42" s="3">
        <v>0</v>
      </c>
      <c r="Q42" s="4">
        <f>IF(O42=0,0,P42/O42)</f>
        <v>0</v>
      </c>
      <c r="S42" s="3">
        <v>1975.089500192884</v>
      </c>
      <c r="T42" s="3">
        <v>972.3491534633023</v>
      </c>
      <c r="U42" s="4">
        <f>IF(S42=0,0,T42/S42)</f>
        <v>0</v>
      </c>
      <c r="V42" s="3">
        <v>7100767.677214347</v>
      </c>
      <c r="W42" s="6">
        <v>91738.12470871955</v>
      </c>
      <c r="X42" s="7">
        <f>IF(V42=0,0,W42/V42)</f>
        <v>0</v>
      </c>
      <c r="Y42" s="3">
        <v>0</v>
      </c>
      <c r="Z42" s="3">
        <v>0</v>
      </c>
      <c r="AA42" s="4">
        <f>IF(Y42=0,0,Z42/Y42)</f>
        <v>0</v>
      </c>
      <c r="AB42" s="3">
        <v>0</v>
      </c>
      <c r="AC42" s="3">
        <v>0</v>
      </c>
      <c r="AD42" s="4">
        <f>IF(AB42=0,0,AC42/AB42)</f>
        <v>0</v>
      </c>
    </row>
    <row r="43" spans="1:30">
      <c r="B43" t="s">
        <v>32</v>
      </c>
      <c r="C43" s="3">
        <f>J43+M43+G43+P43</f>
        <v>0</v>
      </c>
      <c r="D43" s="3">
        <f>G43+J43</f>
        <v>0</v>
      </c>
      <c r="E43" s="3">
        <f>P43+M43</f>
        <v>0</v>
      </c>
      <c r="F43" s="3">
        <v>134.7923077663291</v>
      </c>
      <c r="G43" s="3">
        <v>72.94607456408596</v>
      </c>
      <c r="H43" s="4">
        <f>IF(F43=0,0,G43/F43)</f>
        <v>0</v>
      </c>
      <c r="I43" s="3">
        <v>200.4130880433794</v>
      </c>
      <c r="J43" s="6">
        <v>3.271171722685744</v>
      </c>
      <c r="K43" s="7">
        <f>IF(I43=0,0,J43/I43)</f>
        <v>0</v>
      </c>
      <c r="L43" s="3">
        <v>0</v>
      </c>
      <c r="M43" s="3">
        <v>0</v>
      </c>
      <c r="N43" s="4">
        <f>IF(L43=0,0,M43/L43)</f>
        <v>0</v>
      </c>
      <c r="O43" s="3">
        <v>0</v>
      </c>
      <c r="P43" s="3">
        <v>0</v>
      </c>
      <c r="Q43" s="4">
        <f>IF(O43=0,0,P43/O43)</f>
        <v>0</v>
      </c>
      <c r="S43" s="3">
        <v>1797.676850334541</v>
      </c>
      <c r="T43" s="3">
        <v>972.8557344233816</v>
      </c>
      <c r="U43" s="4">
        <f>IF(S43=0,0,T43/S43)</f>
        <v>0</v>
      </c>
      <c r="V43" s="3">
        <v>6292834.208210533</v>
      </c>
      <c r="W43" s="6">
        <v>108314.0966329305</v>
      </c>
      <c r="X43" s="7">
        <f>IF(V43=0,0,W43/V43)</f>
        <v>0</v>
      </c>
      <c r="Y43" s="3">
        <v>0</v>
      </c>
      <c r="Z43" s="3">
        <v>0</v>
      </c>
      <c r="AA43" s="4">
        <f>IF(Y43=0,0,Z43/Y43)</f>
        <v>0</v>
      </c>
      <c r="AB43" s="3">
        <v>0</v>
      </c>
      <c r="AC43" s="3">
        <v>0</v>
      </c>
      <c r="AD43" s="4">
        <f>IF(AB43=0,0,AC43/AB43)</f>
        <v>0</v>
      </c>
    </row>
    <row r="44" spans="1:30">
      <c r="B44" t="s">
        <v>33</v>
      </c>
      <c r="C44" s="3">
        <f>J44+M44+G44+P44</f>
        <v>0</v>
      </c>
      <c r="D44" s="3">
        <f>G44+J44</f>
        <v>0</v>
      </c>
      <c r="E44" s="3">
        <f>P44+M44</f>
        <v>0</v>
      </c>
      <c r="F44" s="3">
        <v>118.7820423897171</v>
      </c>
      <c r="G44" s="3">
        <v>33.21254770779109</v>
      </c>
      <c r="H44" s="4">
        <f>IF(F44=0,0,G44/F44)</f>
        <v>0</v>
      </c>
      <c r="I44" s="3">
        <v>193.9015574705648</v>
      </c>
      <c r="J44" s="6">
        <v>1.247128400560556</v>
      </c>
      <c r="K44" s="7">
        <f>IF(I44=0,0,J44/I44)</f>
        <v>0</v>
      </c>
      <c r="L44" s="3">
        <v>0</v>
      </c>
      <c r="M44" s="3">
        <v>0</v>
      </c>
      <c r="N44" s="4">
        <f>IF(L44=0,0,M44/L44)</f>
        <v>0</v>
      </c>
      <c r="O44" s="3">
        <v>0</v>
      </c>
      <c r="P44" s="3">
        <v>0</v>
      </c>
      <c r="Q44" s="4">
        <f>IF(O44=0,0,P44/O44)</f>
        <v>0</v>
      </c>
      <c r="S44" s="3">
        <v>1584.153661124499</v>
      </c>
      <c r="T44" s="3">
        <v>442.9438826615435</v>
      </c>
      <c r="U44" s="4">
        <f>IF(S44=0,0,T44/S44)</f>
        <v>0</v>
      </c>
      <c r="V44" s="3">
        <v>6053045.584847068</v>
      </c>
      <c r="W44" s="6">
        <v>44071.79961647</v>
      </c>
      <c r="X44" s="7">
        <f>IF(V44=0,0,W44/V44)</f>
        <v>0</v>
      </c>
      <c r="Y44" s="3">
        <v>0</v>
      </c>
      <c r="Z44" s="3">
        <v>0</v>
      </c>
      <c r="AA44" s="4">
        <f>IF(Y44=0,0,Z44/Y44)</f>
        <v>0</v>
      </c>
      <c r="AB44" s="3">
        <v>0</v>
      </c>
      <c r="AC44" s="3">
        <v>0</v>
      </c>
      <c r="AD44" s="4">
        <f>IF(AB44=0,0,AC44/AB44)</f>
        <v>0</v>
      </c>
    </row>
    <row r="45" spans="1:30">
      <c r="B45" t="s">
        <v>34</v>
      </c>
      <c r="C45" s="3">
        <f>J45+M45+G45+P45</f>
        <v>0</v>
      </c>
      <c r="D45" s="3">
        <f>G45+J45</f>
        <v>0</v>
      </c>
      <c r="E45" s="3">
        <f>P45+M45</f>
        <v>0</v>
      </c>
      <c r="F45" s="3">
        <v>93.70714146899384</v>
      </c>
      <c r="G45" s="3">
        <v>19.08556769415914</v>
      </c>
      <c r="H45" s="4">
        <f>IF(F45=0,0,G45/F45)</f>
        <v>0</v>
      </c>
      <c r="I45" s="3">
        <v>136.6145524202559</v>
      </c>
      <c r="J45" s="6">
        <v>0.9404859014340036</v>
      </c>
      <c r="K45" s="7">
        <f>IF(I45=0,0,J45/I45)</f>
        <v>0</v>
      </c>
      <c r="L45" s="3">
        <v>0</v>
      </c>
      <c r="M45" s="3">
        <v>0</v>
      </c>
      <c r="N45" s="4">
        <f>IF(L45=0,0,M45/L45)</f>
        <v>0</v>
      </c>
      <c r="O45" s="3">
        <v>0</v>
      </c>
      <c r="P45" s="3">
        <v>0</v>
      </c>
      <c r="Q45" s="4">
        <f>IF(O45=0,0,P45/O45)</f>
        <v>0</v>
      </c>
      <c r="S45" s="3">
        <v>1249.738666258772</v>
      </c>
      <c r="T45" s="3">
        <v>254.5373974808759</v>
      </c>
      <c r="U45" s="4">
        <f>IF(S45=0,0,T45/S45)</f>
        <v>0</v>
      </c>
      <c r="V45" s="3">
        <v>4890905.466101354</v>
      </c>
      <c r="W45" s="6">
        <v>36723.80325047113</v>
      </c>
      <c r="X45" s="7">
        <f>IF(V45=0,0,W45/V45)</f>
        <v>0</v>
      </c>
      <c r="Y45" s="3">
        <v>0</v>
      </c>
      <c r="Z45" s="3">
        <v>0</v>
      </c>
      <c r="AA45" s="4">
        <f>IF(Y45=0,0,Z45/Y45)</f>
        <v>0</v>
      </c>
      <c r="AB45" s="3">
        <v>0</v>
      </c>
      <c r="AC45" s="3">
        <v>0</v>
      </c>
      <c r="AD45" s="4">
        <f>IF(AB45=0,0,AC45/AB45)</f>
        <v>0</v>
      </c>
    </row>
    <row r="47" spans="1:30">
      <c r="A47" s="2" t="s">
        <v>39</v>
      </c>
    </row>
    <row r="48" spans="1:30">
      <c r="B48" t="s">
        <v>28</v>
      </c>
      <c r="C48" s="3">
        <f>C50+C51+C52+C53+C54</f>
        <v>0</v>
      </c>
      <c r="D48" s="3">
        <f>D50+D51+D52+D53+D54</f>
        <v>0</v>
      </c>
      <c r="E48" s="3">
        <f>E50+E51+E52+E53+E54</f>
        <v>0</v>
      </c>
      <c r="F48" s="3">
        <f>F50+F51+F52+F53+F54</f>
        <v>0</v>
      </c>
      <c r="G48" s="3">
        <f>G50+G51+G52+G53+G54</f>
        <v>0</v>
      </c>
      <c r="H48" s="4">
        <f>IF(F48=0,0,G48/F48)</f>
        <v>0</v>
      </c>
      <c r="I48" s="3">
        <f>I50+I51+I52+I53+I54</f>
        <v>0</v>
      </c>
      <c r="J48" s="6">
        <f>J50+J51+J52+J53+J54</f>
        <v>0</v>
      </c>
      <c r="K48" s="7">
        <f>IF(I48=0,0,J48/I48)</f>
        <v>0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0</v>
      </c>
      <c r="T48" s="3">
        <f>T50+T51+T52+T53+T54</f>
        <v>0</v>
      </c>
      <c r="U48" s="4">
        <f>IF(S48=0,0,T48/S48)</f>
        <v>0</v>
      </c>
      <c r="V48" s="3">
        <f>V50+V51+V52+V53+V54</f>
        <v>0</v>
      </c>
      <c r="W48" s="6">
        <f>W50+W51+W52+W53+W54</f>
        <v>0</v>
      </c>
      <c r="X48" s="7">
        <f>IF(V48=0,0,W48/V48)</f>
        <v>0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>
      <c r="A49" s="5" t="s">
        <v>29</v>
      </c>
    </row>
    <row r="50" spans="1:30">
      <c r="B50" t="s">
        <v>30</v>
      </c>
      <c r="C50" s="3">
        <f>J50+M50+G50+P50</f>
        <v>0</v>
      </c>
      <c r="D50" s="3">
        <f>G50+J50</f>
        <v>0</v>
      </c>
      <c r="E50" s="3">
        <f>P50+M50</f>
        <v>0</v>
      </c>
      <c r="F50" s="3">
        <v>155.6880585335985</v>
      </c>
      <c r="G50" s="3">
        <v>128.1371427284369</v>
      </c>
      <c r="H50" s="4">
        <f>IF(F50=0,0,G50/F50)</f>
        <v>0</v>
      </c>
      <c r="I50" s="3">
        <v>382.3073643284127</v>
      </c>
      <c r="J50" s="6">
        <v>12.60698597415583</v>
      </c>
      <c r="K50" s="7">
        <f>IF(I50=0,0,J50/I50)</f>
        <v>0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2076.356012722646</v>
      </c>
      <c r="T50" s="3">
        <v>1708.919291969157</v>
      </c>
      <c r="U50" s="4">
        <f>IF(S50=0,0,T50/S50)</f>
        <v>0</v>
      </c>
      <c r="V50" s="3">
        <v>9070418.669545408</v>
      </c>
      <c r="W50" s="6">
        <v>304695.9033628255</v>
      </c>
      <c r="X50" s="7">
        <f>IF(V50=0,0,W50/V50)</f>
        <v>0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>
      <c r="B51" t="s">
        <v>31</v>
      </c>
      <c r="C51" s="3">
        <f>J51+M51+G51+P51</f>
        <v>0</v>
      </c>
      <c r="D51" s="3">
        <f>G51+J51</f>
        <v>0</v>
      </c>
      <c r="E51" s="3">
        <f>P51+M51</f>
        <v>0</v>
      </c>
      <c r="F51" s="3">
        <v>148.0949547336612</v>
      </c>
      <c r="G51" s="3">
        <v>124.6860370304208</v>
      </c>
      <c r="H51" s="4">
        <f>IF(F51=0,0,G51/F51)</f>
        <v>0</v>
      </c>
      <c r="I51" s="3">
        <v>245.090682899663</v>
      </c>
      <c r="J51" s="6">
        <v>10.76043447512289</v>
      </c>
      <c r="K51" s="7">
        <f>IF(I51=0,0,J51/I51)</f>
        <v>0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1975.089500192884</v>
      </c>
      <c r="T51" s="3">
        <v>1662.893128279342</v>
      </c>
      <c r="U51" s="4">
        <f>IF(S51=0,0,T51/S51)</f>
        <v>0</v>
      </c>
      <c r="V51" s="3">
        <v>7100767.677214347</v>
      </c>
      <c r="W51" s="6">
        <v>346368.6063864464</v>
      </c>
      <c r="X51" s="7">
        <f>IF(V51=0,0,W51/V51)</f>
        <v>0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>
      <c r="B52" t="s">
        <v>32</v>
      </c>
      <c r="C52" s="3">
        <f>J52+M52+G52+P52</f>
        <v>0</v>
      </c>
      <c r="D52" s="3">
        <f>G52+J52</f>
        <v>0</v>
      </c>
      <c r="E52" s="3">
        <f>P52+M52</f>
        <v>0</v>
      </c>
      <c r="F52" s="3">
        <v>134.7923077663291</v>
      </c>
      <c r="G52" s="3">
        <v>117.3130733348106</v>
      </c>
      <c r="H52" s="4">
        <f>IF(F52=0,0,G52/F52)</f>
        <v>0</v>
      </c>
      <c r="I52" s="3">
        <v>200.4130880433794</v>
      </c>
      <c r="J52" s="6">
        <v>11.7730736107835</v>
      </c>
      <c r="K52" s="7">
        <f>IF(I52=0,0,J52/I52)</f>
        <v>0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1797.676850334541</v>
      </c>
      <c r="T52" s="3">
        <v>1564.562545669743</v>
      </c>
      <c r="U52" s="4">
        <f>IF(S52=0,0,T52/S52)</f>
        <v>0</v>
      </c>
      <c r="V52" s="3">
        <v>6292834.208210533</v>
      </c>
      <c r="W52" s="6">
        <v>402841.1074284222</v>
      </c>
      <c r="X52" s="7">
        <f>IF(V52=0,0,W52/V52)</f>
        <v>0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>
      <c r="B53" t="s">
        <v>33</v>
      </c>
      <c r="C53" s="3">
        <f>J53+M53+G53+P53</f>
        <v>0</v>
      </c>
      <c r="D53" s="3">
        <f>G53+J53</f>
        <v>0</v>
      </c>
      <c r="E53" s="3">
        <f>P53+M53</f>
        <v>0</v>
      </c>
      <c r="F53" s="3">
        <v>118.7820423897171</v>
      </c>
      <c r="G53" s="3">
        <v>77.08494856301644</v>
      </c>
      <c r="H53" s="4">
        <f>IF(F53=0,0,G53/F53)</f>
        <v>0</v>
      </c>
      <c r="I53" s="3">
        <v>193.9015574705648</v>
      </c>
      <c r="J53" s="6">
        <v>4.775947591036063</v>
      </c>
      <c r="K53" s="7">
        <f>IF(I53=0,0,J53/I53)</f>
        <v>0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1584.153661124499</v>
      </c>
      <c r="T53" s="3">
        <v>1028.054418217914</v>
      </c>
      <c r="U53" s="4">
        <f>IF(S53=0,0,T53/S53)</f>
        <v>0</v>
      </c>
      <c r="V53" s="3">
        <v>6053045.584847068</v>
      </c>
      <c r="W53" s="6">
        <v>171043.9846910052</v>
      </c>
      <c r="X53" s="7">
        <f>IF(V53=0,0,W53/V53)</f>
        <v>0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>
      <c r="B54" t="s">
        <v>34</v>
      </c>
      <c r="C54" s="3">
        <f>J54+M54+G54+P54</f>
        <v>0</v>
      </c>
      <c r="D54" s="3">
        <f>G54+J54</f>
        <v>0</v>
      </c>
      <c r="E54" s="3">
        <f>P54+M54</f>
        <v>0</v>
      </c>
      <c r="F54" s="3">
        <v>93.70714146899384</v>
      </c>
      <c r="G54" s="3">
        <v>50.34252342847255</v>
      </c>
      <c r="H54" s="4">
        <f>IF(F54=0,0,G54/F54)</f>
        <v>0</v>
      </c>
      <c r="I54" s="3">
        <v>136.6145524202559</v>
      </c>
      <c r="J54" s="6">
        <v>3.636206208529707</v>
      </c>
      <c r="K54" s="7">
        <f>IF(I54=0,0,J54/I54)</f>
        <v>0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1249.738666258772</v>
      </c>
      <c r="T54" s="3">
        <v>671.4002486824103</v>
      </c>
      <c r="U54" s="4">
        <f>IF(S54=0,0,T54/S54)</f>
        <v>0</v>
      </c>
      <c r="V54" s="3">
        <v>4890905.466101354</v>
      </c>
      <c r="W54" s="6">
        <v>143249.1869890932</v>
      </c>
      <c r="X54" s="7">
        <f>IF(V54=0,0,W54/V54)</f>
        <v>0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2026-08-25T07:03:30Z</dcterms:created>
  <dcterms:modified xsi:type="dcterms:W3CDTF">2026-08-25T07:03:30Z</dcterms:modified>
</cp:coreProperties>
</file>