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<sst xmlns="http://schemas.openxmlformats.org/spreadsheetml/2006/main" count="99" uniqueCount="43">
  <si>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</si>
  <si>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</si>
  <si>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</si>
  <si>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</si>
  <si>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</si>
  <si>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</si>
  <si>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</si>
  <si>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</si>
  <si>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</si>
  <si>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</si>
  <si>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</si>
  <si>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</si>
  <si>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</si>
  <si>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</si>
  <si>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</si>
  <si>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</si>
  <si>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</si>
  <si>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</si>
  <si>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</si>
  <si>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</si>
  <si>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</si>
  <si>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</si>
  <si>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</si>
  <si>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</si>
  <si>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</si>
  <si>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</si>
  <si>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</si>
  <si>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</si>
  <si>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</si>
  <si>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</si>
  <si>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</si>
  <si>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</si>
  <si>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</si>
  <si>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</si>
  <si>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</si>
  <si>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</si>
  <si>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</si>
  <si>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</si>
  <si>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</si>
  <si>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</si>
  <si>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</si>
  <si>
    <t>Nigeria -- Salt-- 25% NRV per average intake</t>
  </si>
  <si>
    <t>Nigeria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</si>
</sst>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8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15.87131876495009</v>
      </c>
      <c r="H5" s="4">
        <f>IF(F5=0,0,G5/F5)</f>
        <v>0</v>
      </c>
      <c r="I5" s="3">
        <v>4770.95717689731</v>
      </c>
      <c r="J5" s="3">
        <v>288.4841890280992</v>
      </c>
      <c r="K5" s="4">
        <f>IF(I5=0,0,J5/I5)</f>
        <v>0</v>
      </c>
      <c r="L5" s="3">
        <v>17865.36054925314</v>
      </c>
      <c r="M5" s="3">
        <v>21.65626037991047</v>
      </c>
      <c r="N5" s="4">
        <f>IF(L5=0,0,M5/L5)</f>
        <v>0</v>
      </c>
      <c r="O5" s="3">
        <v>498.0330422263939</v>
      </c>
      <c r="P5" s="3">
        <v>11.08514236060006</v>
      </c>
      <c r="Q5" s="4">
        <f>IF(O5=0,0,P5/O5)</f>
        <v>0</v>
      </c>
      <c r="S5" s="3">
        <v>4684.597214204819</v>
      </c>
      <c r="T5" s="3">
        <v>204.9059502197524</v>
      </c>
      <c r="U5" s="4">
        <f>IF(S5=0,0,T5/S5)</f>
        <v>0</v>
      </c>
      <c r="V5" s="3">
        <v>131693773.0318688</v>
      </c>
      <c r="W5" s="3">
        <v>6286849.024912</v>
      </c>
      <c r="X5" s="4">
        <f>IF(V5=0,0,W5/V5)</f>
        <v>0</v>
      </c>
      <c r="Y5" s="3">
        <v>3015958.720793084</v>
      </c>
      <c r="Z5" s="3">
        <v>79209.13417336997</v>
      </c>
      <c r="AA5" s="4">
        <f>IF(Y5=0,0,Z5/Y5)</f>
        <v>0</v>
      </c>
      <c r="AB5" s="3">
        <v>199267.9177921558</v>
      </c>
      <c r="AC5" s="3">
        <v>240.7198813628347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11.4178093054627</v>
      </c>
      <c r="H6" s="4">
        <f>IF(F6=0,0,G6/F6)</f>
        <v>0</v>
      </c>
      <c r="I6" s="3">
        <v>4315.385289601074</v>
      </c>
      <c r="J6" s="3">
        <v>254.1417034873897</v>
      </c>
      <c r="K6" s="4">
        <f>IF(I6=0,0,J6/I6)</f>
        <v>0</v>
      </c>
      <c r="L6" s="3">
        <v>14745.99462597537</v>
      </c>
      <c r="M6" s="3">
        <v>34.65160631671548</v>
      </c>
      <c r="N6" s="4">
        <f>IF(L6=0,0,M6/L6)</f>
        <v>0</v>
      </c>
      <c r="O6" s="3">
        <v>290.5430769057631</v>
      </c>
      <c r="P6" s="3">
        <v>6.229099230188528</v>
      </c>
      <c r="Q6" s="4">
        <f>IF(O6=0,0,P6/O6)</f>
        <v>0</v>
      </c>
      <c r="S6" s="3">
        <v>4138.352740079671</v>
      </c>
      <c r="T6" s="3">
        <v>147.4091157648745</v>
      </c>
      <c r="U6" s="4">
        <f>IF(S6=0,0,T6/S6)</f>
        <v>0</v>
      </c>
      <c r="V6" s="3">
        <v>123347857.654681</v>
      </c>
      <c r="W6" s="3">
        <v>5823243.772972032</v>
      </c>
      <c r="X6" s="4">
        <f>IF(V6=0,0,W6/V6)</f>
        <v>0</v>
      </c>
      <c r="Y6" s="3">
        <v>1789154.954169832</v>
      </c>
      <c r="Z6" s="3">
        <v>44197.44645132194</v>
      </c>
      <c r="AA6" s="4">
        <f>IF(Y6=0,0,Z6/Y6)</f>
        <v>0</v>
      </c>
      <c r="AB6" s="3">
        <v>164556.1108996349</v>
      </c>
      <c r="AC6" s="3">
        <v>385.1518101805414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9.581140009551017</v>
      </c>
      <c r="H7" s="4">
        <f>IF(F7=0,0,G7/F7)</f>
        <v>0</v>
      </c>
      <c r="I7" s="3">
        <v>4219.566052104662</v>
      </c>
      <c r="J7" s="3">
        <v>228.0467142938287</v>
      </c>
      <c r="K7" s="4">
        <f>IF(I7=0,0,J7/I7)</f>
        <v>0</v>
      </c>
      <c r="L7" s="3">
        <v>13471.87729543747</v>
      </c>
      <c r="M7" s="3">
        <v>12.99224385871738</v>
      </c>
      <c r="N7" s="4">
        <f>IF(L7=0,0,M7/L7)</f>
        <v>0</v>
      </c>
      <c r="O7" s="3">
        <v>365.4556715009266</v>
      </c>
      <c r="P7" s="3">
        <v>7.278149154235259</v>
      </c>
      <c r="Q7" s="4">
        <f>IF(O7=0,0,P7/O7)</f>
        <v>0</v>
      </c>
      <c r="S7" s="3">
        <v>3715.268142871963</v>
      </c>
      <c r="T7" s="3">
        <v>123.6968790634523</v>
      </c>
      <c r="U7" s="4">
        <f>IF(S7=0,0,T7/S7)</f>
        <v>0</v>
      </c>
      <c r="V7" s="3">
        <v>121037522.2666742</v>
      </c>
      <c r="W7" s="3">
        <v>5292505.302302927</v>
      </c>
      <c r="X7" s="4">
        <f>IF(V7=0,0,W7/V7)</f>
        <v>0</v>
      </c>
      <c r="Y7" s="3">
        <v>2253925.490084493</v>
      </c>
      <c r="Z7" s="3">
        <v>52180.88073959062</v>
      </c>
      <c r="AA7" s="4">
        <f>IF(Y7=0,0,Z7/Y7)</f>
        <v>0</v>
      </c>
      <c r="AB7" s="3">
        <v>150305.4939229549</v>
      </c>
      <c r="AC7" s="3">
        <v>144.4319288176775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8.370468320719199</v>
      </c>
      <c r="H8" s="4">
        <f>IF(F8=0,0,G8/F8)</f>
        <v>0</v>
      </c>
      <c r="I8" s="3">
        <v>3865.872986383962</v>
      </c>
      <c r="J8" s="3">
        <v>196.1613007511934</v>
      </c>
      <c r="K8" s="4">
        <f>IF(I8=0,0,J8/I8)</f>
        <v>0</v>
      </c>
      <c r="L8" s="3">
        <v>12349.08716881772</v>
      </c>
      <c r="M8" s="3">
        <v>21.6557056759987</v>
      </c>
      <c r="N8" s="4">
        <f>IF(L8=0,0,M8/L8)</f>
        <v>0</v>
      </c>
      <c r="O8" s="3">
        <v>301.3694049551027</v>
      </c>
      <c r="P8" s="3">
        <v>6.867203450250207</v>
      </c>
      <c r="Q8" s="4">
        <f>IF(O8=0,0,P8/O8)</f>
        <v>0</v>
      </c>
      <c r="S8" s="3">
        <v>3503.314763237015</v>
      </c>
      <c r="T8" s="3">
        <v>108.0665564369497</v>
      </c>
      <c r="U8" s="4">
        <f>IF(S8=0,0,T8/S8)</f>
        <v>0</v>
      </c>
      <c r="V8" s="3">
        <v>114934351.5045501</v>
      </c>
      <c r="W8" s="3">
        <v>4795059.589202598</v>
      </c>
      <c r="X8" s="4">
        <f>IF(V8=0,0,W8/V8)</f>
        <v>0</v>
      </c>
      <c r="Y8" s="3">
        <v>2008507.025186675</v>
      </c>
      <c r="Z8" s="3">
        <v>41119.49588235095</v>
      </c>
      <c r="AA8" s="4">
        <f>IF(Y8=0,0,Z8/Y8)</f>
        <v>0</v>
      </c>
      <c r="AB8" s="3">
        <v>137739.9161158149</v>
      </c>
      <c r="AC8" s="3">
        <v>240.7198813628347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2.991144416980329</v>
      </c>
      <c r="H9" s="4">
        <f>IF(F9=0,0,G9/F9)</f>
        <v>0</v>
      </c>
      <c r="I9" s="3">
        <v>3364.304643388201</v>
      </c>
      <c r="J9" s="3">
        <v>97.74300881745015</v>
      </c>
      <c r="K9" s="4">
        <f>IF(I9=0,0,J9/I9)</f>
        <v>0</v>
      </c>
      <c r="L9" s="3">
        <v>12093.93485421385</v>
      </c>
      <c r="M9" s="3">
        <v>-0.0004623169600963592</v>
      </c>
      <c r="N9" s="4">
        <f>IF(L9=0,0,M9/L9)</f>
        <v>0</v>
      </c>
      <c r="O9" s="3">
        <v>206.7182104708461</v>
      </c>
      <c r="P9" s="3">
        <v>0.3861584861821321</v>
      </c>
      <c r="Q9" s="4">
        <f>IF(O9=0,0,P9/O9)</f>
        <v>0</v>
      </c>
      <c r="S9" s="3">
        <v>2983.6261237209</v>
      </c>
      <c r="T9" s="3">
        <v>38.61703605622006</v>
      </c>
      <c r="U9" s="4">
        <f>IF(S9=0,0,T9/S9)</f>
        <v>0</v>
      </c>
      <c r="V9" s="3">
        <v>107054766.0433076</v>
      </c>
      <c r="W9" s="3">
        <v>2591914.266873717</v>
      </c>
      <c r="X9" s="4">
        <f>IF(V9=0,0,W9/V9)</f>
        <v>0</v>
      </c>
      <c r="Y9" s="3">
        <v>1264316.28918259</v>
      </c>
      <c r="Z9" s="3">
        <v>15630.21773305768</v>
      </c>
      <c r="AA9" s="4">
        <f>IF(Y9=0,0,Z9/Y9)</f>
        <v>0</v>
      </c>
      <c r="AB9" s="3">
        <v>134899.4215157334</v>
      </c>
      <c r="AC9" s="3">
        <v>0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151.0014963206652</v>
      </c>
      <c r="H14" s="4">
        <f>IF(F14=0,0,G14/F14)</f>
        <v>0</v>
      </c>
      <c r="I14" s="3">
        <v>4770.95717689731</v>
      </c>
      <c r="J14" s="3">
        <v>472.7620871103024</v>
      </c>
      <c r="K14" s="4">
        <f>IF(I14=0,0,J14/I14)</f>
        <v>0</v>
      </c>
      <c r="L14" s="3">
        <v>17865.36054925314</v>
      </c>
      <c r="M14" s="3">
        <v>34.64898118603602</v>
      </c>
      <c r="N14" s="4">
        <f>IF(L14=0,0,M14/L14)</f>
        <v>0</v>
      </c>
      <c r="O14" s="3">
        <v>498.0330422263939</v>
      </c>
      <c r="P14" s="3">
        <v>24.38299466858996</v>
      </c>
      <c r="Q14" s="4">
        <f>IF(O14=0,0,P14/O14)</f>
        <v>0</v>
      </c>
      <c r="S14" s="3">
        <v>4684.597214204819</v>
      </c>
      <c r="T14" s="3">
        <v>1949.498056615184</v>
      </c>
      <c r="U14" s="4">
        <f>IF(S14=0,0,T14/S14)</f>
        <v>0</v>
      </c>
      <c r="V14" s="3">
        <v>131693773.0318688</v>
      </c>
      <c r="W14" s="3">
        <v>10292269.28915246</v>
      </c>
      <c r="X14" s="4">
        <f>IF(V14=0,0,W14/V14)</f>
        <v>0</v>
      </c>
      <c r="Y14" s="3">
        <v>3015958.720793084</v>
      </c>
      <c r="Z14" s="3">
        <v>104986.9701885036</v>
      </c>
      <c r="AA14" s="4">
        <f>IF(Y14=0,0,Z14/Y14)</f>
        <v>0</v>
      </c>
      <c r="AB14" s="3">
        <v>199267.9177921558</v>
      </c>
      <c r="AC14" s="3">
        <v>385.1518101805414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121.1169850777707</v>
      </c>
      <c r="H15" s="4">
        <f>IF(F15=0,0,G15/F15)</f>
        <v>0</v>
      </c>
      <c r="I15" s="3">
        <v>4315.385289601074</v>
      </c>
      <c r="J15" s="3">
        <v>433.9890779116186</v>
      </c>
      <c r="K15" s="4">
        <f>IF(I15=0,0,J15/I15)</f>
        <v>0</v>
      </c>
      <c r="L15" s="3">
        <v>14745.99462597537</v>
      </c>
      <c r="M15" s="3">
        <v>60.64094548679329</v>
      </c>
      <c r="N15" s="4">
        <f>IF(L15=0,0,M15/L15)</f>
        <v>0</v>
      </c>
      <c r="O15" s="3">
        <v>290.5430769057631</v>
      </c>
      <c r="P15" s="3">
        <v>9.216909184085846</v>
      </c>
      <c r="Q15" s="4">
        <f>IF(O15=0,0,P15/O15)</f>
        <v>0</v>
      </c>
      <c r="S15" s="3">
        <v>4138.352740079671</v>
      </c>
      <c r="T15" s="3">
        <v>1563.675412399809</v>
      </c>
      <c r="U15" s="4">
        <f>IF(S15=0,0,T15/S15)</f>
        <v>0</v>
      </c>
      <c r="V15" s="3">
        <v>123347857.654681</v>
      </c>
      <c r="W15" s="3">
        <v>9963170.641968057</v>
      </c>
      <c r="X15" s="4">
        <f>IF(V15=0,0,W15/V15)</f>
        <v>0</v>
      </c>
      <c r="Y15" s="3">
        <v>1789154.954169832</v>
      </c>
      <c r="Z15" s="3">
        <v>60789.52373718261</v>
      </c>
      <c r="AA15" s="4">
        <f>IF(Y15=0,0,Z15/Y15)</f>
        <v>0</v>
      </c>
      <c r="AB15" s="3">
        <v>164556.1108996349</v>
      </c>
      <c r="AC15" s="3">
        <v>674.0156678159256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110.0570853730647</v>
      </c>
      <c r="H16" s="4">
        <f>IF(F16=0,0,G16/F16)</f>
        <v>0</v>
      </c>
      <c r="I16" s="3">
        <v>4219.566052104662</v>
      </c>
      <c r="J16" s="3">
        <v>424.8979814054901</v>
      </c>
      <c r="K16" s="4">
        <f>IF(I16=0,0,J16/I16)</f>
        <v>0</v>
      </c>
      <c r="L16" s="3">
        <v>13471.87729543747</v>
      </c>
      <c r="M16" s="3">
        <v>34.65294771550596</v>
      </c>
      <c r="N16" s="4">
        <f>IF(L16=0,0,M16/L16)</f>
        <v>0</v>
      </c>
      <c r="O16" s="3">
        <v>365.4556715009266</v>
      </c>
      <c r="P16" s="3">
        <v>11.07051426762395</v>
      </c>
      <c r="Q16" s="4">
        <f>IF(O16=0,0,P16/O16)</f>
        <v>0</v>
      </c>
      <c r="S16" s="3">
        <v>3715.268142871963</v>
      </c>
      <c r="T16" s="3">
        <v>1420.887072508819</v>
      </c>
      <c r="U16" s="4">
        <f>IF(S16=0,0,T16/S16)</f>
        <v>0</v>
      </c>
      <c r="V16" s="3">
        <v>121037522.2666742</v>
      </c>
      <c r="W16" s="3">
        <v>9880799.847412556</v>
      </c>
      <c r="X16" s="4">
        <f>IF(V16=0,0,W16/V16)</f>
        <v>0</v>
      </c>
      <c r="Y16" s="3">
        <v>2253925.490084493</v>
      </c>
      <c r="Z16" s="3">
        <v>76900.67124664085</v>
      </c>
      <c r="AA16" s="4">
        <f>IF(Y16=0,0,Z16/Y16)</f>
        <v>0</v>
      </c>
      <c r="AB16" s="3">
        <v>150305.4939229549</v>
      </c>
      <c r="AC16" s="3">
        <v>385.1518101805414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102.5231161409741</v>
      </c>
      <c r="H17" s="4">
        <f>IF(F17=0,0,G17/F17)</f>
        <v>0</v>
      </c>
      <c r="I17" s="3">
        <v>3865.872986383962</v>
      </c>
      <c r="J17" s="3">
        <v>388.4882704082239</v>
      </c>
      <c r="K17" s="4">
        <f>IF(I17=0,0,J17/I17)</f>
        <v>0</v>
      </c>
      <c r="L17" s="3">
        <v>12349.08716881772</v>
      </c>
      <c r="M17" s="3">
        <v>51.97644489405863</v>
      </c>
      <c r="N17" s="4">
        <f>IF(L17=0,0,M17/L17)</f>
        <v>0</v>
      </c>
      <c r="O17" s="3">
        <v>301.3694049551027</v>
      </c>
      <c r="P17" s="3">
        <v>7.346296363984933</v>
      </c>
      <c r="Q17" s="4">
        <f>IF(O17=0,0,P17/O17)</f>
        <v>0</v>
      </c>
      <c r="S17" s="3">
        <v>3503.314763237015</v>
      </c>
      <c r="T17" s="3">
        <v>1323.620100098366</v>
      </c>
      <c r="U17" s="4">
        <f>IF(S17=0,0,T17/S17)</f>
        <v>0</v>
      </c>
      <c r="V17" s="3">
        <v>114934351.5045501</v>
      </c>
      <c r="W17" s="3">
        <v>9508836.158850357</v>
      </c>
      <c r="X17" s="4">
        <f>IF(V17=0,0,W17/V17)</f>
        <v>0</v>
      </c>
      <c r="Y17" s="3">
        <v>2008507.025186675</v>
      </c>
      <c r="Z17" s="3">
        <v>63097.98666391079</v>
      </c>
      <c r="AA17" s="4">
        <f>IF(Y17=0,0,Z17/Y17)</f>
        <v>0</v>
      </c>
      <c r="AB17" s="3">
        <v>137739.9161158149</v>
      </c>
      <c r="AC17" s="3">
        <v>577.7277152707975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67.11521448847459</v>
      </c>
      <c r="H18" s="4">
        <f>IF(F18=0,0,G18/F18)</f>
        <v>0</v>
      </c>
      <c r="I18" s="3">
        <v>3364.304643388201</v>
      </c>
      <c r="J18" s="3">
        <v>311.6916622962449</v>
      </c>
      <c r="K18" s="4">
        <f>IF(I18=0,0,J18/I18)</f>
        <v>0</v>
      </c>
      <c r="L18" s="3">
        <v>12093.93485421385</v>
      </c>
      <c r="M18" s="3">
        <v>12.9946913396176</v>
      </c>
      <c r="N18" s="4">
        <f>IF(L18=0,0,M18/L18)</f>
        <v>0</v>
      </c>
      <c r="O18" s="3">
        <v>206.7182104708461</v>
      </c>
      <c r="P18" s="3">
        <v>6.771752544287941</v>
      </c>
      <c r="Q18" s="4">
        <f>IF(O18=0,0,P18/O18)</f>
        <v>0</v>
      </c>
      <c r="S18" s="3">
        <v>2983.6261237209</v>
      </c>
      <c r="T18" s="3">
        <v>866.487971329369</v>
      </c>
      <c r="U18" s="4">
        <f>IF(S18=0,0,T18/S18)</f>
        <v>0</v>
      </c>
      <c r="V18" s="3">
        <v>107054766.0433076</v>
      </c>
      <c r="W18" s="3">
        <v>8316107.188762859</v>
      </c>
      <c r="X18" s="4">
        <f>IF(V18=0,0,W18/V18)</f>
        <v>0</v>
      </c>
      <c r="Y18" s="3">
        <v>1264316.28918259</v>
      </c>
      <c r="Z18" s="3">
        <v>33568.89839284332</v>
      </c>
      <c r="AA18" s="4">
        <f>IF(Y18=0,0,Z18/Y18)</f>
        <v>0</v>
      </c>
      <c r="AB18" s="3">
        <v>134899.4215157334</v>
      </c>
      <c r="AC18" s="3">
        <v>144.4319288177066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153.5338348629944</v>
      </c>
      <c r="H23" s="4">
        <f>IF(F23=0,0,G23/F23)</f>
        <v>0</v>
      </c>
      <c r="I23" s="3">
        <v>1024.354560880719</v>
      </c>
      <c r="J23" s="3">
        <v>88.33088242235453</v>
      </c>
      <c r="K23" s="4">
        <f>IF(I23=0,0,J23/I23)</f>
        <v>0</v>
      </c>
      <c r="L23" s="3">
        <v>14912.92546688904</v>
      </c>
      <c r="M23" s="3">
        <v>26.44481612333097</v>
      </c>
      <c r="N23" s="4">
        <f>IF(L23=0,0,M23/L23)</f>
        <v>0</v>
      </c>
      <c r="O23" s="3">
        <v>513.4798818030744</v>
      </c>
      <c r="P23" s="3">
        <v>22.85650288579101</v>
      </c>
      <c r="Q23" s="4">
        <f>IF(O23=0,0,P23/O23)</f>
        <v>0</v>
      </c>
      <c r="S23" s="3">
        <v>12734.95565684622</v>
      </c>
      <c r="T23" s="3">
        <v>4737.225453182307</v>
      </c>
      <c r="U23" s="4">
        <f>IF(S23=0,0,T23/S23)</f>
        <v>0</v>
      </c>
      <c r="V23" s="3">
        <v>25179040.28609852</v>
      </c>
      <c r="W23" s="3">
        <v>1714774.840541836</v>
      </c>
      <c r="X23" s="4">
        <f>IF(V23=0,0,W23/V23)</f>
        <v>0</v>
      </c>
      <c r="Y23" s="3">
        <v>2561859.505516207</v>
      </c>
      <c r="Z23" s="3">
        <v>67249.54405402439</v>
      </c>
      <c r="AA23" s="4">
        <f>IF(Y23=0,0,Z23/Y23)</f>
        <v>0</v>
      </c>
      <c r="AB23" s="3">
        <v>167937.2280679461</v>
      </c>
      <c r="AC23" s="3">
        <v>293.7106592715718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149.5731184765907</v>
      </c>
      <c r="H24" s="4">
        <f>IF(F24=0,0,G24/F24)</f>
        <v>0</v>
      </c>
      <c r="I24" s="3">
        <v>969.191110200812</v>
      </c>
      <c r="J24" s="3">
        <v>89.2976849045162</v>
      </c>
      <c r="K24" s="4">
        <f>IF(I24=0,0,J24/I24)</f>
        <v>0</v>
      </c>
      <c r="L24" s="3">
        <v>15496.18877972349</v>
      </c>
      <c r="M24" s="3">
        <v>23.48799075463228</v>
      </c>
      <c r="N24" s="4">
        <f>IF(L24=0,0,M24/L24)</f>
        <v>0</v>
      </c>
      <c r="O24" s="3">
        <v>401.8379348471553</v>
      </c>
      <c r="P24" s="3">
        <v>9.53106138184009</v>
      </c>
      <c r="Q24" s="4">
        <f>IF(O24=0,0,P24/O24)</f>
        <v>0</v>
      </c>
      <c r="S24" s="3">
        <v>13022.28479122008</v>
      </c>
      <c r="T24" s="3">
        <v>4615.01912325346</v>
      </c>
      <c r="U24" s="4">
        <f>IF(S24=0,0,T24/S24)</f>
        <v>0</v>
      </c>
      <c r="V24" s="3">
        <v>24722331.14126323</v>
      </c>
      <c r="W24" s="3">
        <v>1817772.922921225</v>
      </c>
      <c r="X24" s="4">
        <f>IF(V24=0,0,W24/V24)</f>
        <v>0</v>
      </c>
      <c r="Y24" s="3">
        <v>2224473.065341928</v>
      </c>
      <c r="Z24" s="3">
        <v>67119.40463640727</v>
      </c>
      <c r="AA24" s="4">
        <f>IF(Y24=0,0,Z24/Y24)</f>
        <v>0</v>
      </c>
      <c r="AB24" s="3">
        <v>174496.7661250112</v>
      </c>
      <c r="AC24" s="3">
        <v>261.0761415747402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112.1956276633881</v>
      </c>
      <c r="H25" s="4">
        <f>IF(F25=0,0,G25/F25)</f>
        <v>0</v>
      </c>
      <c r="I25" s="3">
        <v>792.6603703485911</v>
      </c>
      <c r="J25" s="3">
        <v>82.14071415836807</v>
      </c>
      <c r="K25" s="4">
        <f>IF(I25=0,0,J25/I25)</f>
        <v>0</v>
      </c>
      <c r="L25" s="3">
        <v>13908.71537534086</v>
      </c>
      <c r="M25" s="3">
        <v>38.27359316949174</v>
      </c>
      <c r="N25" s="4">
        <f>IF(L25=0,0,M25/L25)</f>
        <v>0</v>
      </c>
      <c r="O25" s="3">
        <v>403.1015048057993</v>
      </c>
      <c r="P25" s="3">
        <v>10.76890095121635</v>
      </c>
      <c r="Q25" s="4">
        <f>IF(O25=0,0,P25/O25)</f>
        <v>0</v>
      </c>
      <c r="S25" s="3">
        <v>11788.75109364953</v>
      </c>
      <c r="T25" s="3">
        <v>3461.751499772323</v>
      </c>
      <c r="U25" s="4">
        <f>IF(S25=0,0,T25/S25)</f>
        <v>0</v>
      </c>
      <c r="V25" s="3">
        <v>22755823.62356573</v>
      </c>
      <c r="W25" s="3">
        <v>1927019.337703314</v>
      </c>
      <c r="X25" s="4">
        <f>IF(V25=0,0,W25/V25)</f>
        <v>0</v>
      </c>
      <c r="Y25" s="3">
        <v>2110145.586964646</v>
      </c>
      <c r="Z25" s="3">
        <v>64419.0117208364</v>
      </c>
      <c r="AA25" s="4">
        <f>IF(Y25=0,0,Z25/Y25)</f>
        <v>0</v>
      </c>
      <c r="AB25" s="3">
        <v>156580.4159094453</v>
      </c>
      <c r="AC25" s="3">
        <v>424.2487300589273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86.23155739396391</v>
      </c>
      <c r="H26" s="4">
        <f>IF(F26=0,0,G26/F26)</f>
        <v>0</v>
      </c>
      <c r="I26" s="3">
        <v>714.9995999658563</v>
      </c>
      <c r="J26" s="3">
        <v>76.49380549262557</v>
      </c>
      <c r="K26" s="4">
        <f>IF(I26=0,0,J26/I26)</f>
        <v>0</v>
      </c>
      <c r="L26" s="3">
        <v>12302.18440833913</v>
      </c>
      <c r="M26" s="3">
        <v>11.74589948335104</v>
      </c>
      <c r="N26" s="4">
        <f>IF(L26=0,0,M26/L26)</f>
        <v>0</v>
      </c>
      <c r="O26" s="3">
        <v>394.000120021803</v>
      </c>
      <c r="P26" s="3">
        <v>22.25297093115718</v>
      </c>
      <c r="Q26" s="4">
        <f>IF(O26=0,0,P26/O26)</f>
        <v>0</v>
      </c>
      <c r="S26" s="3">
        <v>10449.53311676904</v>
      </c>
      <c r="T26" s="3">
        <v>2660.640430943183</v>
      </c>
      <c r="U26" s="4">
        <f>IF(S26=0,0,T26/S26)</f>
        <v>0</v>
      </c>
      <c r="V26" s="3">
        <v>21415342.77124955</v>
      </c>
      <c r="W26" s="3">
        <v>1905259.878219113</v>
      </c>
      <c r="X26" s="4">
        <f>IF(V26=0,0,W26/V26)</f>
        <v>0</v>
      </c>
      <c r="Y26" s="3">
        <v>1934522.442889356</v>
      </c>
      <c r="Z26" s="3">
        <v>52804.06869844324</v>
      </c>
      <c r="AA26" s="4">
        <f>IF(Y26=0,0,Z26/Y26)</f>
        <v>0</v>
      </c>
      <c r="AB26" s="3">
        <v>138598.7966584856</v>
      </c>
      <c r="AC26" s="3">
        <v>130.5380707873555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70.86872059774323</v>
      </c>
      <c r="H27" s="4">
        <f>IF(F27=0,0,G27/F27)</f>
        <v>0</v>
      </c>
      <c r="I27" s="3">
        <v>607.5227834345628</v>
      </c>
      <c r="J27" s="3">
        <v>68.68674891451467</v>
      </c>
      <c r="K27" s="4">
        <f>IF(I27=0,0,J27/I27)</f>
        <v>0</v>
      </c>
      <c r="L27" s="3">
        <v>9346.35620700917</v>
      </c>
      <c r="M27" s="3">
        <v>14.68235077728704</v>
      </c>
      <c r="N27" s="4">
        <f>IF(L27=0,0,M27/L27)</f>
        <v>0</v>
      </c>
      <c r="O27" s="3">
        <v>287.6026494045061</v>
      </c>
      <c r="P27" s="3">
        <v>12.22552992425952</v>
      </c>
      <c r="Q27" s="4">
        <f>IF(O27=0,0,P27/O27)</f>
        <v>0</v>
      </c>
      <c r="S27" s="3">
        <v>9178.019131321482</v>
      </c>
      <c r="T27" s="3">
        <v>2186.626207504518</v>
      </c>
      <c r="U27" s="4">
        <f>IF(S27=0,0,T27/S27)</f>
        <v>0</v>
      </c>
      <c r="V27" s="3">
        <v>19855184.90001665</v>
      </c>
      <c r="W27" s="3">
        <v>1890523.589286022</v>
      </c>
      <c r="X27" s="4">
        <f>IF(V27=0,0,W27/V27)</f>
        <v>0</v>
      </c>
      <c r="Y27" s="3">
        <v>1414713.074069254</v>
      </c>
      <c r="Z27" s="3">
        <v>41774.75305533013</v>
      </c>
      <c r="AA27" s="4">
        <f>IF(Y27=0,0,Z27/Y27)</f>
        <v>0</v>
      </c>
      <c r="AB27" s="3">
        <v>105311.5886077074</v>
      </c>
      <c r="AC27" s="3">
        <v>163.1725884842017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31.81246083158365</v>
      </c>
      <c r="H32" s="4">
        <f>IF(F32=0,0,G32/F32)</f>
        <v>0</v>
      </c>
      <c r="I32" s="3">
        <v>1024.354560880719</v>
      </c>
      <c r="J32" s="3">
        <v>32.63575096227904</v>
      </c>
      <c r="K32" s="4">
        <f>IF(I32=0,0,J32/I32)</f>
        <v>0</v>
      </c>
      <c r="L32" s="3">
        <v>14912.92546688904</v>
      </c>
      <c r="M32" s="3">
        <v>0</v>
      </c>
      <c r="N32" s="4">
        <f>IF(L32=0,0,M32/L32)</f>
        <v>0</v>
      </c>
      <c r="O32" s="3">
        <v>513.4798818030744</v>
      </c>
      <c r="P32" s="3">
        <v>8.722601091425517</v>
      </c>
      <c r="Q32" s="4">
        <f>IF(O32=0,0,P32/O32)</f>
        <v>0</v>
      </c>
      <c r="S32" s="3">
        <v>12734.95565684622</v>
      </c>
      <c r="T32" s="3">
        <v>981.560835201064</v>
      </c>
      <c r="U32" s="4">
        <f>IF(S32=0,0,T32/S32)</f>
        <v>0</v>
      </c>
      <c r="V32" s="3">
        <v>25179040.28609852</v>
      </c>
      <c r="W32" s="3">
        <v>626176.2091555297</v>
      </c>
      <c r="X32" s="4">
        <f>IF(V32=0,0,W32/V32)</f>
        <v>0</v>
      </c>
      <c r="Y32" s="3">
        <v>2561859.505516207</v>
      </c>
      <c r="Z32" s="3">
        <v>20919.91138206981</v>
      </c>
      <c r="AA32" s="4">
        <f>IF(Y32=0,0,Z32/Y32)</f>
        <v>0</v>
      </c>
      <c r="AB32" s="3">
        <v>167937.2280679461</v>
      </c>
      <c r="AC32" s="3">
        <v>0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58.43364202621579</v>
      </c>
      <c r="H33" s="4">
        <f>IF(F33=0,0,G33/F33)</f>
        <v>0</v>
      </c>
      <c r="I33" s="3">
        <v>969.191110200812</v>
      </c>
      <c r="J33" s="3">
        <v>42.80664198110998</v>
      </c>
      <c r="K33" s="4">
        <f>IF(I33=0,0,J33/I33)</f>
        <v>0</v>
      </c>
      <c r="L33" s="3">
        <v>15496.18877972349</v>
      </c>
      <c r="M33" s="3">
        <v>2.936306209888309</v>
      </c>
      <c r="N33" s="4">
        <f>IF(L33=0,0,M33/L33)</f>
        <v>0</v>
      </c>
      <c r="O33" s="3">
        <v>401.8379348471553</v>
      </c>
      <c r="P33" s="3">
        <v>8.13947428184899</v>
      </c>
      <c r="Q33" s="4">
        <f>IF(O33=0,0,P33/O33)</f>
        <v>0</v>
      </c>
      <c r="S33" s="3">
        <v>13022.28479122008</v>
      </c>
      <c r="T33" s="3">
        <v>1802.94680046093</v>
      </c>
      <c r="U33" s="4">
        <f>IF(S33=0,0,T33/S33)</f>
        <v>0</v>
      </c>
      <c r="V33" s="3">
        <v>24722331.14126323</v>
      </c>
      <c r="W33" s="3">
        <v>861275.6073059924</v>
      </c>
      <c r="X33" s="4">
        <f>IF(V33=0,0,W33/V33)</f>
        <v>0</v>
      </c>
      <c r="Y33" s="3">
        <v>2224473.065341928</v>
      </c>
      <c r="Z33" s="3">
        <v>31623.87848113757</v>
      </c>
      <c r="AA33" s="4">
        <f>IF(Y33=0,0,Z33/Y33)</f>
        <v>0</v>
      </c>
      <c r="AB33" s="3">
        <v>174496.7661250112</v>
      </c>
      <c r="AC33" s="3">
        <v>32.63451769683161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70.32625266599533</v>
      </c>
      <c r="H34" s="4">
        <f>IF(F34=0,0,G34/F34)</f>
        <v>0</v>
      </c>
      <c r="I34" s="3">
        <v>792.6603703485911</v>
      </c>
      <c r="J34" s="3">
        <v>47.95391568597231</v>
      </c>
      <c r="K34" s="4">
        <f>IF(I34=0,0,J34/I34)</f>
        <v>0</v>
      </c>
      <c r="L34" s="3">
        <v>13908.71537534086</v>
      </c>
      <c r="M34" s="3">
        <v>5.870905510241165</v>
      </c>
      <c r="N34" s="4">
        <f>IF(L34=0,0,M34/L34)</f>
        <v>0</v>
      </c>
      <c r="O34" s="3">
        <v>403.1015048057993</v>
      </c>
      <c r="P34" s="3">
        <v>9.891393739559454</v>
      </c>
      <c r="Q34" s="4">
        <f>IF(O34=0,0,P34/O34)</f>
        <v>0</v>
      </c>
      <c r="S34" s="3">
        <v>11788.75109364953</v>
      </c>
      <c r="T34" s="3">
        <v>2169.888575072522</v>
      </c>
      <c r="U34" s="4">
        <f>IF(S34=0,0,T34/S34)</f>
        <v>0</v>
      </c>
      <c r="V34" s="3">
        <v>22755823.62356573</v>
      </c>
      <c r="W34" s="3">
        <v>1107541.703233991</v>
      </c>
      <c r="X34" s="4">
        <f>IF(V34=0,0,W34/V34)</f>
        <v>0</v>
      </c>
      <c r="Y34" s="3">
        <v>2110145.586964646</v>
      </c>
      <c r="Z34" s="3">
        <v>36861.99004025664</v>
      </c>
      <c r="AA34" s="4">
        <f>IF(Y34=0,0,Z34/Y34)</f>
        <v>0</v>
      </c>
      <c r="AB34" s="3">
        <v>156580.4159094453</v>
      </c>
      <c r="AC34" s="3">
        <v>65.26903539366322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79.01499632789695</v>
      </c>
      <c r="H35" s="4">
        <f>IF(F35=0,0,G35/F35)</f>
        <v>0</v>
      </c>
      <c r="I35" s="3">
        <v>714.9995999658563</v>
      </c>
      <c r="J35" s="3">
        <v>51.78356254564063</v>
      </c>
      <c r="K35" s="4">
        <f>IF(I35=0,0,J35/I35)</f>
        <v>0</v>
      </c>
      <c r="L35" s="3">
        <v>12302.18440833913</v>
      </c>
      <c r="M35" s="3">
        <v>8.809858777865767</v>
      </c>
      <c r="N35" s="4">
        <f>IF(L35=0,0,M35/L35)</f>
        <v>0</v>
      </c>
      <c r="O35" s="3">
        <v>394.000120021803</v>
      </c>
      <c r="P35" s="3">
        <v>5.777242891507689</v>
      </c>
      <c r="Q35" s="4">
        <f>IF(O35=0,0,P35/O35)</f>
        <v>0</v>
      </c>
      <c r="S35" s="3">
        <v>10449.53311676904</v>
      </c>
      <c r="T35" s="3">
        <v>2437.97630744804</v>
      </c>
      <c r="U35" s="4">
        <f>IF(S35=0,0,T35/S35)</f>
        <v>0</v>
      </c>
      <c r="V35" s="3">
        <v>21415342.77124955</v>
      </c>
      <c r="W35" s="3">
        <v>1268683.714705963</v>
      </c>
      <c r="X35" s="4">
        <f>IF(V35=0,0,W35/V35)</f>
        <v>0</v>
      </c>
      <c r="Y35" s="3">
        <v>1934522.442889356</v>
      </c>
      <c r="Z35" s="3">
        <v>35007.50333920214</v>
      </c>
      <c r="AA35" s="4">
        <f>IF(Y35=0,0,Z35/Y35)</f>
        <v>0</v>
      </c>
      <c r="AB35" s="3">
        <v>138598.7966584856</v>
      </c>
      <c r="AC35" s="3">
        <v>97.90355309052393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75.51235895096086</v>
      </c>
      <c r="H36" s="4">
        <f>IF(F36=0,0,G36/F36)</f>
        <v>0</v>
      </c>
      <c r="I36" s="3">
        <v>607.5227834345628</v>
      </c>
      <c r="J36" s="3">
        <v>50.0145283630623</v>
      </c>
      <c r="K36" s="4">
        <f>IF(I36=0,0,J36/I36)</f>
        <v>0</v>
      </c>
      <c r="L36" s="3">
        <v>9346.35620700917</v>
      </c>
      <c r="M36" s="3">
        <v>5.872467335732654</v>
      </c>
      <c r="N36" s="4">
        <f>IF(L36=0,0,M36/L36)</f>
        <v>0</v>
      </c>
      <c r="O36" s="3">
        <v>287.6026494045061</v>
      </c>
      <c r="P36" s="3">
        <v>14.46788222221856</v>
      </c>
      <c r="Q36" s="4">
        <f>IF(O36=0,0,P36/O36)</f>
        <v>0</v>
      </c>
      <c r="S36" s="3">
        <v>9178.019131321482</v>
      </c>
      <c r="T36" s="3">
        <v>2329.903823294328</v>
      </c>
      <c r="U36" s="4">
        <f>IF(S36=0,0,T36/S36)</f>
        <v>0</v>
      </c>
      <c r="V36" s="3">
        <v>19855184.90001665</v>
      </c>
      <c r="W36" s="3">
        <v>1355545.326938696</v>
      </c>
      <c r="X36" s="4">
        <f>IF(V36=0,0,W36/V36)</f>
        <v>0</v>
      </c>
      <c r="Y36" s="3">
        <v>1414713.074069254</v>
      </c>
      <c r="Z36" s="3">
        <v>30224.879741746</v>
      </c>
      <c r="AA36" s="4">
        <f>IF(Y36=0,0,Z36/Y36)</f>
        <v>0</v>
      </c>
      <c r="AB36" s="3">
        <v>105311.5886077074</v>
      </c>
      <c r="AC36" s="3">
        <v>65.26903539369232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M41+P41</f>
        <v>0</v>
      </c>
      <c r="F41" s="3">
        <v>155.3366697637048</v>
      </c>
      <c r="G41" s="3">
        <v>58.98240259960004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834.748379618052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M42+P42</f>
        <v>0</v>
      </c>
      <c r="F42" s="3">
        <v>147.7607036391234</v>
      </c>
      <c r="G42" s="3">
        <v>59.41247823140031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840.835024463559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M43+P43</f>
        <v>0</v>
      </c>
      <c r="F43" s="3">
        <v>134.4880808162132</v>
      </c>
      <c r="G43" s="3">
        <v>59.19812501773825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837.8013908731305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M44+P44</f>
        <v>0</v>
      </c>
      <c r="F44" s="3">
        <v>118.5139506930648</v>
      </c>
      <c r="G44" s="3">
        <v>27.88815467106953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394.6870743846359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M45+P45</f>
        <v>0</v>
      </c>
      <c r="F45" s="3">
        <v>93.49564395607489</v>
      </c>
      <c r="G45" s="3">
        <v>16.262542548974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230.1556132492594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M50+P50</f>
        <v>0</v>
      </c>
      <c r="F50" s="3">
        <v>155.3366697637048</v>
      </c>
      <c r="G50" s="3">
        <v>105.1172530897168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1487.671793945145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M51+P51</f>
        <v>0</v>
      </c>
      <c r="F51" s="3">
        <v>147.7607036391234</v>
      </c>
      <c r="G51" s="3">
        <v>102.7420072452102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1454.056130077464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M52+P52</f>
        <v>0</v>
      </c>
      <c r="F52" s="3">
        <v>134.4880808162132</v>
      </c>
      <c r="G52" s="3">
        <v>97.48822698814803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1379.702011507161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M53+P53</f>
        <v>0</v>
      </c>
      <c r="F53" s="3">
        <v>118.5139506930648</v>
      </c>
      <c r="G53" s="3">
        <v>62.28901992946243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881.5452772767835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M54+P54</f>
        <v>0</v>
      </c>
      <c r="F54" s="3">
        <v>93.49564395607489</v>
      </c>
      <c r="G54" s="3">
        <v>40.86638015373273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578.3613944274123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G59+J59</f>
        <v>0</v>
      </c>
      <c r="E59" s="3">
        <f>M59+P59</f>
        <v>0</v>
      </c>
      <c r="F59" s="3">
        <v>155.3366697637048</v>
      </c>
      <c r="G59" s="3">
        <v>98.37588727255856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1392.264622581062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G60+J60</f>
        <v>0</v>
      </c>
      <c r="E60" s="3">
        <f>M60+P60</f>
        <v>0</v>
      </c>
      <c r="F60" s="3">
        <v>147.7607036391234</v>
      </c>
      <c r="G60" s="3">
        <v>96.54985248064214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1366.42166745382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G61+J61</f>
        <v>0</v>
      </c>
      <c r="E61" s="3">
        <f>M61+P61</f>
        <v>0</v>
      </c>
      <c r="F61" s="3">
        <v>134.4880808162132</v>
      </c>
      <c r="G61" s="3">
        <v>92.2087189913087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1304.983781131581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G62+J62</f>
        <v>0</v>
      </c>
      <c r="E62" s="3">
        <f>M62+P62</f>
        <v>0</v>
      </c>
      <c r="F62" s="3">
        <v>118.5139506930648</v>
      </c>
      <c r="G62" s="3">
        <v>56.33344127694023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797.2589577853753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G63+J63</f>
        <v>0</v>
      </c>
      <c r="E63" s="3">
        <f>M63+P63</f>
        <v>0</v>
      </c>
      <c r="F63" s="3">
        <v>93.49564395607489</v>
      </c>
      <c r="G63" s="3">
        <v>36.20808203369917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512.4348360626602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  <row r="65" spans="1:30">
      <c r="A65" s="2" t="s">
        <v>41</v>
      </c>
    </row>
    <row r="66" spans="1:30">
      <c r="B66" t="s">
        <v>28</v>
      </c>
      <c r="C66" s="3">
        <f>C68+C69+C70+C71+C72</f>
        <v>0</v>
      </c>
      <c r="D66" s="3">
        <f>D68+D69+D70+D71+D72</f>
        <v>0</v>
      </c>
      <c r="E66" s="3">
        <f>E68+E69+E70+E71+E72</f>
        <v>0</v>
      </c>
      <c r="F66" s="3">
        <f>F68+F69+F70+F71+F72</f>
        <v>0</v>
      </c>
      <c r="G66" s="3">
        <f>G68+G69+G70+G71+G72</f>
        <v>0</v>
      </c>
      <c r="H66" s="4">
        <f>IF(F66=0,0,G66/F66)</f>
        <v>0</v>
      </c>
      <c r="I66" s="3">
        <f>I68+I69+I70+I71+I72</f>
        <v>0</v>
      </c>
      <c r="J66" s="3">
        <f>J68+J69+J70+J71+J72</f>
        <v>0</v>
      </c>
      <c r="K66" s="4">
        <f>IF(I66=0,0,J66/I66)</f>
        <v>0</v>
      </c>
      <c r="L66" s="3">
        <f>L68+L69+L70+L71+L72</f>
        <v>0</v>
      </c>
      <c r="M66" s="3">
        <f>M68+M69+M70+M71+M72</f>
        <v>0</v>
      </c>
      <c r="N66" s="4">
        <f>IF(L66=0,0,M66/L66)</f>
        <v>0</v>
      </c>
      <c r="O66" s="3">
        <f>O68+O69+O70+O71+O72</f>
        <v>0</v>
      </c>
      <c r="P66" s="3">
        <f>P68+P69+P70+P71+P72</f>
        <v>0</v>
      </c>
      <c r="Q66" s="4">
        <f>IF(O66=0,0,P66/O66)</f>
        <v>0</v>
      </c>
      <c r="S66" s="3">
        <f>S68+S69+S70+S71+S72</f>
        <v>0</v>
      </c>
      <c r="T66" s="3">
        <f>T68+T69+T70+T71+T72</f>
        <v>0</v>
      </c>
      <c r="U66" s="4">
        <f>IF(S66=0,0,T66/S66)</f>
        <v>0</v>
      </c>
      <c r="V66" s="3">
        <f>V68+V69+V70+V71+V72</f>
        <v>0</v>
      </c>
      <c r="W66" s="3">
        <f>W68+W69+W70+W71+W72</f>
        <v>0</v>
      </c>
      <c r="X66" s="4">
        <f>IF(V66=0,0,W66/V66)</f>
        <v>0</v>
      </c>
      <c r="Y66" s="3">
        <f>Y68+Y69+Y70+Y71+Y72</f>
        <v>0</v>
      </c>
      <c r="Z66" s="3">
        <f>Z68+Z69+Z70+Z71+Z72</f>
        <v>0</v>
      </c>
      <c r="AA66" s="4">
        <f>IF(Y66=0,0,Z66/Y66)</f>
        <v>0</v>
      </c>
      <c r="AB66" s="3">
        <f>AB68+AB69+AB70+AB71+AB72</f>
        <v>0</v>
      </c>
      <c r="AC66" s="3">
        <f>AC68+AC69+AC70+AC71+AC72</f>
        <v>0</v>
      </c>
      <c r="AD66" s="4">
        <f>IF(AB66=0,0,AC66/AB66)</f>
        <v>0</v>
      </c>
    </row>
    <row r="67" spans="1:30">
      <c r="A67" s="5" t="s">
        <v>29</v>
      </c>
    </row>
    <row r="68" spans="1:30">
      <c r="B68" t="s">
        <v>30</v>
      </c>
      <c r="C68" s="3">
        <f>J68+M68+G68+P68</f>
        <v>0</v>
      </c>
      <c r="D68" s="3">
        <f>G68</f>
        <v>0</v>
      </c>
      <c r="E68" s="3">
        <f>J68+M68+P68</f>
        <v>0</v>
      </c>
      <c r="F68" s="3">
        <v>412.7408750394843</v>
      </c>
      <c r="G68" s="3">
        <v>146.8879599840255</v>
      </c>
      <c r="H68" s="4">
        <f>IF(F68=0,0,G68/F68)</f>
        <v>0</v>
      </c>
      <c r="I68" s="3">
        <v>0</v>
      </c>
      <c r="J68" s="3">
        <v>0</v>
      </c>
      <c r="K68" s="4">
        <f>IF(I68=0,0,J68/I68)</f>
        <v>0</v>
      </c>
      <c r="L68" s="3">
        <v>0</v>
      </c>
      <c r="M68" s="3">
        <v>0</v>
      </c>
      <c r="N68" s="4">
        <f>IF(L68=0,0,M68/L68)</f>
        <v>0</v>
      </c>
      <c r="O68" s="3">
        <v>0</v>
      </c>
      <c r="P68" s="3">
        <v>0</v>
      </c>
      <c r="Q68" s="4">
        <f>IF(O68=0,0,P68/O68)</f>
        <v>0</v>
      </c>
      <c r="S68" s="3">
        <v>12734.95565684622</v>
      </c>
      <c r="T68" s="3">
        <v>4532.169625172734</v>
      </c>
      <c r="U68" s="4">
        <f>IF(S68=0,0,T68/S68)</f>
        <v>0</v>
      </c>
      <c r="V68" s="3">
        <v>0</v>
      </c>
      <c r="W68" s="3">
        <v>0</v>
      </c>
      <c r="X68" s="4">
        <f>IF(V68=0,0,W68/V68)</f>
        <v>0</v>
      </c>
      <c r="Y68" s="3">
        <v>0</v>
      </c>
      <c r="Z68" s="3">
        <v>0</v>
      </c>
      <c r="AA68" s="4">
        <f>IF(Y68=0,0,Z68/Y68)</f>
        <v>0</v>
      </c>
      <c r="AB68" s="3">
        <v>0</v>
      </c>
      <c r="AC68" s="3">
        <v>0</v>
      </c>
      <c r="AD68" s="4">
        <f>IF(AB68=0,0,AC68/AB68)</f>
        <v>0</v>
      </c>
    </row>
    <row r="69" spans="1:30">
      <c r="B69" t="s">
        <v>31</v>
      </c>
      <c r="C69" s="3">
        <f>J69+M69+G69+P69</f>
        <v>0</v>
      </c>
      <c r="D69" s="3">
        <f>G69</f>
        <v>0</v>
      </c>
      <c r="E69" s="3">
        <f>J69+M69+P69</f>
        <v>0</v>
      </c>
      <c r="F69" s="3">
        <v>422.0532339939541</v>
      </c>
      <c r="G69" s="3">
        <v>141.7344183926904</v>
      </c>
      <c r="H69" s="4">
        <f>IF(F69=0,0,G69/F69)</f>
        <v>0</v>
      </c>
      <c r="I69" s="3">
        <v>0</v>
      </c>
      <c r="J69" s="3">
        <v>0</v>
      </c>
      <c r="K69" s="4">
        <f>IF(I69=0,0,J69/I69)</f>
        <v>0</v>
      </c>
      <c r="L69" s="3">
        <v>0</v>
      </c>
      <c r="M69" s="3">
        <v>0</v>
      </c>
      <c r="N69" s="4">
        <f>IF(L69=0,0,M69/L69)</f>
        <v>0</v>
      </c>
      <c r="O69" s="3">
        <v>0</v>
      </c>
      <c r="P69" s="3">
        <v>0</v>
      </c>
      <c r="Q69" s="4">
        <f>IF(O69=0,0,P69/O69)</f>
        <v>0</v>
      </c>
      <c r="S69" s="3">
        <v>13022.28479122008</v>
      </c>
      <c r="T69" s="3">
        <v>4373.159147630166</v>
      </c>
      <c r="U69" s="4">
        <f>IF(S69=0,0,T69/S69)</f>
        <v>0</v>
      </c>
      <c r="V69" s="3">
        <v>0</v>
      </c>
      <c r="W69" s="3">
        <v>0</v>
      </c>
      <c r="X69" s="4">
        <f>IF(V69=0,0,W69/V69)</f>
        <v>0</v>
      </c>
      <c r="Y69" s="3">
        <v>0</v>
      </c>
      <c r="Z69" s="3">
        <v>0</v>
      </c>
      <c r="AA69" s="4">
        <f>IF(Y69=0,0,Z69/Y69)</f>
        <v>0</v>
      </c>
      <c r="AB69" s="3">
        <v>0</v>
      </c>
      <c r="AC69" s="3">
        <v>0</v>
      </c>
      <c r="AD69" s="4">
        <f>IF(AB69=0,0,AC69/AB69)</f>
        <v>0</v>
      </c>
    </row>
    <row r="70" spans="1:30">
      <c r="B70" t="s">
        <v>32</v>
      </c>
      <c r="C70" s="3">
        <f>J70+M70+G70+P70</f>
        <v>0</v>
      </c>
      <c r="D70" s="3">
        <f>G70</f>
        <v>0</v>
      </c>
      <c r="E70" s="3">
        <f>J70+M70+P70</f>
        <v>0</v>
      </c>
      <c r="F70" s="3">
        <v>382.0743136549376</v>
      </c>
      <c r="G70" s="3">
        <v>124.6559480289836</v>
      </c>
      <c r="H70" s="4">
        <f>IF(F70=0,0,G70/F70)</f>
        <v>0</v>
      </c>
      <c r="I70" s="3">
        <v>0</v>
      </c>
      <c r="J70" s="3">
        <v>0</v>
      </c>
      <c r="K70" s="4">
        <f>IF(I70=0,0,J70/I70)</f>
        <v>0</v>
      </c>
      <c r="L70" s="3">
        <v>0</v>
      </c>
      <c r="M70" s="3">
        <v>0</v>
      </c>
      <c r="N70" s="4">
        <f>IF(L70=0,0,M70/L70)</f>
        <v>0</v>
      </c>
      <c r="O70" s="3">
        <v>0</v>
      </c>
      <c r="P70" s="3">
        <v>0</v>
      </c>
      <c r="Q70" s="4">
        <f>IF(O70=0,0,P70/O70)</f>
        <v>0</v>
      </c>
      <c r="S70" s="3">
        <v>11788.75109364953</v>
      </c>
      <c r="T70" s="3">
        <v>3846.209732339612</v>
      </c>
      <c r="U70" s="4">
        <f>IF(S70=0,0,T70/S70)</f>
        <v>0</v>
      </c>
      <c r="V70" s="3">
        <v>0</v>
      </c>
      <c r="W70" s="3">
        <v>0</v>
      </c>
      <c r="X70" s="4">
        <f>IF(V70=0,0,W70/V70)</f>
        <v>0</v>
      </c>
      <c r="Y70" s="3">
        <v>0</v>
      </c>
      <c r="Z70" s="3">
        <v>0</v>
      </c>
      <c r="AA70" s="4">
        <f>IF(Y70=0,0,Z70/Y70)</f>
        <v>0</v>
      </c>
      <c r="AB70" s="3">
        <v>0</v>
      </c>
      <c r="AC70" s="3">
        <v>0</v>
      </c>
      <c r="AD70" s="4">
        <f>IF(AB70=0,0,AC70/AB70)</f>
        <v>0</v>
      </c>
    </row>
    <row r="71" spans="1:30">
      <c r="B71" t="s">
        <v>33</v>
      </c>
      <c r="C71" s="3">
        <f>J71+M71+G71+P71</f>
        <v>0</v>
      </c>
      <c r="D71" s="3">
        <f>G71</f>
        <v>0</v>
      </c>
      <c r="E71" s="3">
        <f>J71+M71+P71</f>
        <v>0</v>
      </c>
      <c r="F71" s="3">
        <v>338.6701578384149</v>
      </c>
      <c r="G71" s="3">
        <v>106.5823973125179</v>
      </c>
      <c r="H71" s="4">
        <f>IF(F71=0,0,G71/F71)</f>
        <v>0</v>
      </c>
      <c r="I71" s="3">
        <v>0</v>
      </c>
      <c r="J71" s="3">
        <v>0</v>
      </c>
      <c r="K71" s="4">
        <f>IF(I71=0,0,J71/I71)</f>
        <v>0</v>
      </c>
      <c r="L71" s="3">
        <v>0</v>
      </c>
      <c r="M71" s="3">
        <v>0</v>
      </c>
      <c r="N71" s="4">
        <f>IF(L71=0,0,M71/L71)</f>
        <v>0</v>
      </c>
      <c r="O71" s="3">
        <v>0</v>
      </c>
      <c r="P71" s="3">
        <v>0</v>
      </c>
      <c r="Q71" s="4">
        <f>IF(O71=0,0,P71/O71)</f>
        <v>0</v>
      </c>
      <c r="S71" s="3">
        <v>10449.53311676904</v>
      </c>
      <c r="T71" s="3">
        <v>3288.557508256084</v>
      </c>
      <c r="U71" s="4">
        <f>IF(S71=0,0,T71/S71)</f>
        <v>0</v>
      </c>
      <c r="V71" s="3">
        <v>0</v>
      </c>
      <c r="W71" s="3">
        <v>0</v>
      </c>
      <c r="X71" s="4">
        <f>IF(V71=0,0,W71/V71)</f>
        <v>0</v>
      </c>
      <c r="Y71" s="3">
        <v>0</v>
      </c>
      <c r="Z71" s="3">
        <v>0</v>
      </c>
      <c r="AA71" s="4">
        <f>IF(Y71=0,0,Z71/Y71)</f>
        <v>0</v>
      </c>
      <c r="AB71" s="3">
        <v>0</v>
      </c>
      <c r="AC71" s="3">
        <v>0</v>
      </c>
      <c r="AD71" s="4">
        <f>IF(AB71=0,0,AC71/AB71)</f>
        <v>0</v>
      </c>
    </row>
    <row r="72" spans="1:30">
      <c r="B72" t="s">
        <v>34</v>
      </c>
      <c r="C72" s="3">
        <f>J72+M72+G72+P72</f>
        <v>0</v>
      </c>
      <c r="D72" s="3">
        <f>G72</f>
        <v>0</v>
      </c>
      <c r="E72" s="3">
        <f>J72+M72+P72</f>
        <v>0</v>
      </c>
      <c r="F72" s="3">
        <v>297.4602934996698</v>
      </c>
      <c r="G72" s="3">
        <v>93.75383596516214</v>
      </c>
      <c r="H72" s="4">
        <f>IF(F72=0,0,G72/F72)</f>
        <v>0</v>
      </c>
      <c r="I72" s="3">
        <v>0</v>
      </c>
      <c r="J72" s="3">
        <v>0</v>
      </c>
      <c r="K72" s="4">
        <f>IF(I72=0,0,J72/I72)</f>
        <v>0</v>
      </c>
      <c r="L72" s="3">
        <v>0</v>
      </c>
      <c r="M72" s="3">
        <v>0</v>
      </c>
      <c r="N72" s="4">
        <f>IF(L72=0,0,M72/L72)</f>
        <v>0</v>
      </c>
      <c r="O72" s="3">
        <v>0</v>
      </c>
      <c r="P72" s="3">
        <v>0</v>
      </c>
      <c r="Q72" s="4">
        <f>IF(O72=0,0,P72/O72)</f>
        <v>0</v>
      </c>
      <c r="S72" s="3">
        <v>9178.019131321482</v>
      </c>
      <c r="T72" s="3">
        <v>2892.73734655274</v>
      </c>
      <c r="U72" s="4">
        <f>IF(S72=0,0,T72/S72)</f>
        <v>0</v>
      </c>
      <c r="V72" s="3">
        <v>0</v>
      </c>
      <c r="W72" s="3">
        <v>0</v>
      </c>
      <c r="X72" s="4">
        <f>IF(V72=0,0,W72/V72)</f>
        <v>0</v>
      </c>
      <c r="Y72" s="3">
        <v>0</v>
      </c>
      <c r="Z72" s="3">
        <v>0</v>
      </c>
      <c r="AA72" s="4">
        <f>IF(Y72=0,0,Z72/Y72)</f>
        <v>0</v>
      </c>
      <c r="AB72" s="3">
        <v>0</v>
      </c>
      <c r="AC72" s="3">
        <v>0</v>
      </c>
      <c r="AD72" s="4">
        <f>IF(AB72=0,0,AC72/AB72)</f>
        <v>0</v>
      </c>
    </row>
    <row r="74" spans="1:30">
      <c r="A74" s="2" t="s">
        <v>42</v>
      </c>
    </row>
    <row r="75" spans="1:30">
      <c r="B75" t="s">
        <v>28</v>
      </c>
      <c r="C75" s="3">
        <f>C77+C78+C79+C80+C81</f>
        <v>0</v>
      </c>
      <c r="D75" s="3">
        <f>D77+D78+D79+D80+D81</f>
        <v>0</v>
      </c>
      <c r="E75" s="3">
        <f>E77+E78+E79+E80+E81</f>
        <v>0</v>
      </c>
      <c r="F75" s="3">
        <f>F77+F78+F79+F80+F81</f>
        <v>0</v>
      </c>
      <c r="G75" s="3">
        <f>G77+G78+G79+G80+G81</f>
        <v>0</v>
      </c>
      <c r="H75" s="4">
        <f>IF(F75=0,0,G75/F75)</f>
        <v>0</v>
      </c>
      <c r="I75" s="3">
        <f>I77+I78+I79+I80+I81</f>
        <v>0</v>
      </c>
      <c r="J75" s="3">
        <f>J77+J78+J79+J80+J81</f>
        <v>0</v>
      </c>
      <c r="K75" s="4">
        <f>IF(I75=0,0,J75/I75)</f>
        <v>0</v>
      </c>
      <c r="L75" s="3">
        <f>L77+L78+L79+L80+L81</f>
        <v>0</v>
      </c>
      <c r="M75" s="3">
        <f>M77+M78+M79+M80+M81</f>
        <v>0</v>
      </c>
      <c r="N75" s="4">
        <f>IF(L75=0,0,M75/L75)</f>
        <v>0</v>
      </c>
      <c r="O75" s="3">
        <f>O77+O78+O79+O80+O81</f>
        <v>0</v>
      </c>
      <c r="P75" s="3">
        <f>P77+P78+P79+P80+P81</f>
        <v>0</v>
      </c>
      <c r="Q75" s="4">
        <f>IF(O75=0,0,P75/O75)</f>
        <v>0</v>
      </c>
      <c r="S75" s="3">
        <f>S77+S78+S79+S80+S81</f>
        <v>0</v>
      </c>
      <c r="T75" s="3">
        <f>T77+T78+T79+T80+T81</f>
        <v>0</v>
      </c>
      <c r="U75" s="4">
        <f>IF(S75=0,0,T75/S75)</f>
        <v>0</v>
      </c>
      <c r="V75" s="3">
        <f>V77+V78+V79+V80+V81</f>
        <v>0</v>
      </c>
      <c r="W75" s="3">
        <f>W77+W78+W79+W80+W81</f>
        <v>0</v>
      </c>
      <c r="X75" s="4">
        <f>IF(V75=0,0,W75/V75)</f>
        <v>0</v>
      </c>
      <c r="Y75" s="3">
        <f>Y77+Y78+Y79+Y80+Y81</f>
        <v>0</v>
      </c>
      <c r="Z75" s="3">
        <f>Z77+Z78+Z79+Z80+Z81</f>
        <v>0</v>
      </c>
      <c r="AA75" s="4">
        <f>IF(Y75=0,0,Z75/Y75)</f>
        <v>0</v>
      </c>
      <c r="AB75" s="3">
        <f>AB77+AB78+AB79+AB80+AB81</f>
        <v>0</v>
      </c>
      <c r="AC75" s="3">
        <f>AC77+AC78+AC79+AC80+AC81</f>
        <v>0</v>
      </c>
      <c r="AD75" s="4">
        <f>IF(AB75=0,0,AC75/AB75)</f>
        <v>0</v>
      </c>
    </row>
    <row r="76" spans="1:30">
      <c r="A76" s="5" t="s">
        <v>29</v>
      </c>
    </row>
    <row r="77" spans="1:30">
      <c r="B77" t="s">
        <v>30</v>
      </c>
      <c r="C77" s="3">
        <f>J77+M77+G77+P77</f>
        <v>0</v>
      </c>
      <c r="D77" s="3">
        <f>G77</f>
        <v>0</v>
      </c>
      <c r="E77" s="3">
        <f>J77+M77+P77</f>
        <v>0</v>
      </c>
      <c r="F77" s="3">
        <v>412.7408750394843</v>
      </c>
      <c r="G77" s="3">
        <v>270.6215288307627</v>
      </c>
      <c r="H77" s="4">
        <f>IF(F77=0,0,G77/F77)</f>
        <v>0</v>
      </c>
      <c r="I77" s="3">
        <v>0</v>
      </c>
      <c r="J77" s="3">
        <v>0</v>
      </c>
      <c r="K77" s="4">
        <f>IF(I77=0,0,J77/I77)</f>
        <v>0</v>
      </c>
      <c r="L77" s="3">
        <v>0</v>
      </c>
      <c r="M77" s="3">
        <v>0</v>
      </c>
      <c r="N77" s="4">
        <f>IF(L77=0,0,M77/L77)</f>
        <v>0</v>
      </c>
      <c r="O77" s="3">
        <v>0</v>
      </c>
      <c r="P77" s="3">
        <v>0</v>
      </c>
      <c r="Q77" s="4">
        <f>IF(O77=0,0,P77/O77)</f>
        <v>0</v>
      </c>
      <c r="S77" s="3">
        <v>12734.95565684622</v>
      </c>
      <c r="T77" s="3">
        <v>8349.919714440697</v>
      </c>
      <c r="U77" s="4">
        <f>IF(S77=0,0,T77/S77)</f>
        <v>0</v>
      </c>
      <c r="V77" s="3">
        <v>0</v>
      </c>
      <c r="W77" s="3">
        <v>0</v>
      </c>
      <c r="X77" s="4">
        <f>IF(V77=0,0,W77/V77)</f>
        <v>0</v>
      </c>
      <c r="Y77" s="3">
        <v>0</v>
      </c>
      <c r="Z77" s="3">
        <v>0</v>
      </c>
      <c r="AA77" s="4">
        <f>IF(Y77=0,0,Z77/Y77)</f>
        <v>0</v>
      </c>
      <c r="AB77" s="3">
        <v>0</v>
      </c>
      <c r="AC77" s="3">
        <v>0</v>
      </c>
      <c r="AD77" s="4">
        <f>IF(AB77=0,0,AC77/AB77)</f>
        <v>0</v>
      </c>
    </row>
    <row r="78" spans="1:30">
      <c r="B78" t="s">
        <v>31</v>
      </c>
      <c r="C78" s="3">
        <f>J78+M78+G78+P78</f>
        <v>0</v>
      </c>
      <c r="D78" s="3">
        <f>G78</f>
        <v>0</v>
      </c>
      <c r="E78" s="3">
        <f>J78+M78+P78</f>
        <v>0</v>
      </c>
      <c r="F78" s="3">
        <v>422.0532339939541</v>
      </c>
      <c r="G78" s="3">
        <v>268.8415075664349</v>
      </c>
      <c r="H78" s="4">
        <f>IF(F78=0,0,G78/F78)</f>
        <v>0</v>
      </c>
      <c r="I78" s="3">
        <v>0</v>
      </c>
      <c r="J78" s="3">
        <v>0</v>
      </c>
      <c r="K78" s="4">
        <f>IF(I78=0,0,J78/I78)</f>
        <v>0</v>
      </c>
      <c r="L78" s="3">
        <v>0</v>
      </c>
      <c r="M78" s="3">
        <v>0</v>
      </c>
      <c r="N78" s="4">
        <f>IF(L78=0,0,M78/L78)</f>
        <v>0</v>
      </c>
      <c r="O78" s="3">
        <v>0</v>
      </c>
      <c r="P78" s="3">
        <v>0</v>
      </c>
      <c r="Q78" s="4">
        <f>IF(O78=0,0,P78/O78)</f>
        <v>0</v>
      </c>
      <c r="S78" s="3">
        <v>13022.28479122008</v>
      </c>
      <c r="T78" s="3">
        <v>8294.99786579343</v>
      </c>
      <c r="U78" s="4">
        <f>IF(S78=0,0,T78/S78)</f>
        <v>0</v>
      </c>
      <c r="V78" s="3">
        <v>0</v>
      </c>
      <c r="W78" s="3">
        <v>0</v>
      </c>
      <c r="X78" s="4">
        <f>IF(V78=0,0,W78/V78)</f>
        <v>0</v>
      </c>
      <c r="Y78" s="3">
        <v>0</v>
      </c>
      <c r="Z78" s="3">
        <v>0</v>
      </c>
      <c r="AA78" s="4">
        <f>IF(Y78=0,0,Z78/Y78)</f>
        <v>0</v>
      </c>
      <c r="AB78" s="3">
        <v>0</v>
      </c>
      <c r="AC78" s="3">
        <v>0</v>
      </c>
      <c r="AD78" s="4">
        <f>IF(AB78=0,0,AC78/AB78)</f>
        <v>0</v>
      </c>
    </row>
    <row r="79" spans="1:30">
      <c r="B79" t="s">
        <v>32</v>
      </c>
      <c r="C79" s="3">
        <f>J79+M79+G79+P79</f>
        <v>0</v>
      </c>
      <c r="D79" s="3">
        <f>G79</f>
        <v>0</v>
      </c>
      <c r="E79" s="3">
        <f>J79+M79+P79</f>
        <v>0</v>
      </c>
      <c r="F79" s="3">
        <v>382.0743136549376</v>
      </c>
      <c r="G79" s="3">
        <v>239.83782878063</v>
      </c>
      <c r="H79" s="4">
        <f>IF(F79=0,0,G79/F79)</f>
        <v>0</v>
      </c>
      <c r="I79" s="3">
        <v>0</v>
      </c>
      <c r="J79" s="3">
        <v>0</v>
      </c>
      <c r="K79" s="4">
        <f>IF(I79=0,0,J79/I79)</f>
        <v>0</v>
      </c>
      <c r="L79" s="3">
        <v>0</v>
      </c>
      <c r="M79" s="3">
        <v>0</v>
      </c>
      <c r="N79" s="4">
        <f>IF(L79=0,0,M79/L79)</f>
        <v>0</v>
      </c>
      <c r="O79" s="3">
        <v>0</v>
      </c>
      <c r="P79" s="3">
        <v>0</v>
      </c>
      <c r="Q79" s="4">
        <f>IF(O79=0,0,P79/O79)</f>
        <v>0</v>
      </c>
      <c r="S79" s="3">
        <v>11788.75109364953</v>
      </c>
      <c r="T79" s="3">
        <v>7400.100884273723</v>
      </c>
      <c r="U79" s="4">
        <f>IF(S79=0,0,T79/S79)</f>
        <v>0</v>
      </c>
      <c r="V79" s="3">
        <v>0</v>
      </c>
      <c r="W79" s="3">
        <v>0</v>
      </c>
      <c r="X79" s="4">
        <f>IF(V79=0,0,W79/V79)</f>
        <v>0</v>
      </c>
      <c r="Y79" s="3">
        <v>0</v>
      </c>
      <c r="Z79" s="3">
        <v>0</v>
      </c>
      <c r="AA79" s="4">
        <f>IF(Y79=0,0,Z79/Y79)</f>
        <v>0</v>
      </c>
      <c r="AB79" s="3">
        <v>0</v>
      </c>
      <c r="AC79" s="3">
        <v>0</v>
      </c>
      <c r="AD79" s="4">
        <f>IF(AB79=0,0,AC79/AB79)</f>
        <v>0</v>
      </c>
    </row>
    <row r="80" spans="1:30">
      <c r="B80" t="s">
        <v>33</v>
      </c>
      <c r="C80" s="3">
        <f>J80+M80+G80+P80</f>
        <v>0</v>
      </c>
      <c r="D80" s="3">
        <f>G80</f>
        <v>0</v>
      </c>
      <c r="E80" s="3">
        <f>J80+M80+P80</f>
        <v>0</v>
      </c>
      <c r="F80" s="3">
        <v>338.6701578384149</v>
      </c>
      <c r="G80" s="3">
        <v>208.6917795068874</v>
      </c>
      <c r="H80" s="4">
        <f>IF(F80=0,0,G80/F80)</f>
        <v>0</v>
      </c>
      <c r="I80" s="3">
        <v>0</v>
      </c>
      <c r="J80" s="3">
        <v>0</v>
      </c>
      <c r="K80" s="4">
        <f>IF(I80=0,0,J80/I80)</f>
        <v>0</v>
      </c>
      <c r="L80" s="3">
        <v>0</v>
      </c>
      <c r="M80" s="3">
        <v>0</v>
      </c>
      <c r="N80" s="4">
        <f>IF(L80=0,0,M80/L80)</f>
        <v>0</v>
      </c>
      <c r="O80" s="3">
        <v>0</v>
      </c>
      <c r="P80" s="3">
        <v>0</v>
      </c>
      <c r="Q80" s="4">
        <f>IF(O80=0,0,P80/O80)</f>
        <v>0</v>
      </c>
      <c r="S80" s="3">
        <v>10449.53311676904</v>
      </c>
      <c r="T80" s="3">
        <v>6439.101912826773</v>
      </c>
      <c r="U80" s="4">
        <f>IF(S80=0,0,T80/S80)</f>
        <v>0</v>
      </c>
      <c r="V80" s="3">
        <v>0</v>
      </c>
      <c r="W80" s="3">
        <v>0</v>
      </c>
      <c r="X80" s="4">
        <f>IF(V80=0,0,W80/V80)</f>
        <v>0</v>
      </c>
      <c r="Y80" s="3">
        <v>0</v>
      </c>
      <c r="Z80" s="3">
        <v>0</v>
      </c>
      <c r="AA80" s="4">
        <f>IF(Y80=0,0,Z80/Y80)</f>
        <v>0</v>
      </c>
      <c r="AB80" s="3">
        <v>0</v>
      </c>
      <c r="AC80" s="3">
        <v>0</v>
      </c>
      <c r="AD80" s="4">
        <f>IF(AB80=0,0,AC80/AB80)</f>
        <v>0</v>
      </c>
    </row>
    <row r="81" spans="2:30">
      <c r="B81" t="s">
        <v>34</v>
      </c>
      <c r="C81" s="3">
        <f>J81+M81+G81+P81</f>
        <v>0</v>
      </c>
      <c r="D81" s="3">
        <f>G81</f>
        <v>0</v>
      </c>
      <c r="E81" s="3">
        <f>J81+M81+P81</f>
        <v>0</v>
      </c>
      <c r="F81" s="3">
        <v>297.4602934996698</v>
      </c>
      <c r="G81" s="3">
        <v>183.4401220978905</v>
      </c>
      <c r="H81" s="4">
        <f>IF(F81=0,0,G81/F81)</f>
        <v>0</v>
      </c>
      <c r="I81" s="3">
        <v>0</v>
      </c>
      <c r="J81" s="3">
        <v>0</v>
      </c>
      <c r="K81" s="4">
        <f>IF(I81=0,0,J81/I81)</f>
        <v>0</v>
      </c>
      <c r="L81" s="3">
        <v>0</v>
      </c>
      <c r="M81" s="3">
        <v>0</v>
      </c>
      <c r="N81" s="4">
        <f>IF(L81=0,0,M81/L81)</f>
        <v>0</v>
      </c>
      <c r="O81" s="3">
        <v>0</v>
      </c>
      <c r="P81" s="3">
        <v>0</v>
      </c>
      <c r="Q81" s="4">
        <f>IF(O81=0,0,P81/O81)</f>
        <v>0</v>
      </c>
      <c r="S81" s="3">
        <v>9178.019131321482</v>
      </c>
      <c r="T81" s="3">
        <v>5659.972059659975</v>
      </c>
      <c r="U81" s="4">
        <f>IF(S81=0,0,T81/S81)</f>
        <v>0</v>
      </c>
      <c r="V81" s="3">
        <v>0</v>
      </c>
      <c r="W81" s="3">
        <v>0</v>
      </c>
      <c r="X81" s="4">
        <f>IF(V81=0,0,W81/V81)</f>
        <v>0</v>
      </c>
      <c r="Y81" s="3">
        <v>0</v>
      </c>
      <c r="Z81" s="3">
        <v>0</v>
      </c>
      <c r="AA81" s="4">
        <f>IF(Y81=0,0,Z81/Y81)</f>
        <v>0</v>
      </c>
      <c r="AB81" s="3">
        <v>0</v>
      </c>
      <c r="AC81" s="3">
        <v>0</v>
      </c>
      <c r="AD81" s="4">
        <f>IF(AB81=0,0,AC81/AB81)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2026-09-26T00:52:48Z</dcterms:created>
  <dcterms:modified xsi:type="dcterms:W3CDTF">2026-09-26T00:52:48Z</dcterms:modified>
</cp:coreProperties>
</file>