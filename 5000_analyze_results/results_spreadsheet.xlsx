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Result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J57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K57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W57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X57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J66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K66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W66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X66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J75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K75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W75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  <comment ref="X75" authorId="0">
      <text>
        <r>
          <rPr>
            <sz val="8"/>
            <color indexed="81"/>
            <rFont val="Tahoma"/>
            <family val="2"/>
          </rPr>
          <t>Based on correlation between serum folate and hemoglobin</t>
        </r>
      </text>
    </comment>
  </commentList>
</comments>
</file>

<file path=xl/sharedStrings.xml><?xml version="1.0" encoding="utf-8"?>
<sst xmlns="http://schemas.openxmlformats.org/spreadsheetml/2006/main" count="99" uniqueCount="43">
  <si>
    <t>DALYs Averted by Fortification (1000s)</t>
  </si>
  <si>
    <t>DALYs Averted by Folate Fortification (1000s)</t>
  </si>
  <si>
    <t>DALYs Averted by Iron Fortification (1000s)</t>
  </si>
  <si>
    <t>Baseline NTD DALYs (1000s)</t>
  </si>
  <si>
    <t>NTD DALYs Averted by Folate Fortification (1000s)</t>
  </si>
  <si>
    <t>NTD DALYs Averted by Folate Fortification (%)</t>
  </si>
  <si>
    <t>Baseline Anemia DALYs (1000s)</t>
  </si>
  <si>
    <t>Anemia DALYs Averted (1000s)</t>
  </si>
  <si>
    <t>Anemia DALYs Averted (%)</t>
  </si>
  <si>
    <t>Baseline Child YLLs (1000s)</t>
  </si>
  <si>
    <t>Child YLLs Averted by Iron Fortification (1000s)</t>
  </si>
  <si>
    <t>Child YLLs Averted by Iron Fortification (%)</t>
  </si>
  <si>
    <t>Baseline Maternal Disorders DALYs (1000s)</t>
  </si>
  <si>
    <t>Maternal Disorders DALYs Averted by Iron Fortification (1000s)</t>
  </si>
  <si>
    <t>Maternal Disorders DALYs Averted by Iron Fortification (%)</t>
  </si>
  <si>
    <t>Baseline Annual NTD Cases</t>
  </si>
  <si>
    <t>Annual NTD Cases Averted</t>
  </si>
  <si>
    <t>Annual NTD Cases Averted (%)</t>
  </si>
  <si>
    <t>Baseline Prevalent Anemia Cases</t>
  </si>
  <si>
    <t>Prevalent Anemia Cases Averted</t>
  </si>
  <si>
    <t>Prevalent Anemia Cases Averted (%)</t>
  </si>
  <si>
    <t>Baseline Annual Maternal Disorders Cases</t>
  </si>
  <si>
    <t>Annual Maternal Disorders Cases Averted</t>
  </si>
  <si>
    <t>Annual Maternal Disorders Cases Averted (%)</t>
  </si>
  <si>
    <t>Baseline Annual Child Deaths</t>
  </si>
  <si>
    <t>Annual Child Deaths Averted</t>
  </si>
  <si>
    <t>Annual Child Deaths Averted (%)</t>
  </si>
  <si>
    <t>India -- Rice-- Current PDS fortification vs none</t>
  </si>
  <si>
    <t>National</t>
  </si>
  <si>
    <t>Wealth quintile</t>
  </si>
  <si>
    <t>Poorest</t>
  </si>
  <si>
    <t>Second</t>
  </si>
  <si>
    <t>Third</t>
  </si>
  <si>
    <t>Fourth</t>
  </si>
  <si>
    <t>Wealthiest</t>
  </si>
  <si>
    <t>India -- Rice-- Scaled-up PDS and industry fortification with increased folate vs none</t>
  </si>
  <si>
    <t>India -- Rice-- Scale-up beyond current PDS fortification</t>
  </si>
  <si>
    <t>Nigeria -- Bouillon</t>
  </si>
  <si>
    <t>Nigeria -- Rice</t>
  </si>
  <si>
    <t>Nigeria -- Wheat</t>
  </si>
  <si>
    <t>Ethiopia -- Salt-- 25% NRV per average intake</t>
  </si>
  <si>
    <t>Ethiopia -- Salt-- 100% NRV per average intake</t>
  </si>
  <si>
    <t>Ethiopia -- Salt-- DFS-IoFA preliminary standard 45 ppm</t>
  </si>
</sst>
</file>

<file path=xl/styles.xml><?xml version="1.0" encoding="utf-8"?>
<styleSheet xmlns="http://schemas.openxmlformats.org/spreadsheetml/2006/main">
  <numFmts count="2">
    <numFmt numFmtId="164" formatCode="_(* #,##0_);_(* (#,##0);_(* &quot;-&quot;??_);_(@_)"/>
    <numFmt numFmtId="165" formatCode="0.0%;-0.0%;&quot;-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3" fillId="2" borderId="0" xfId="0" applyNumberFormat="1" applyFont="1" applyFill="1"/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.7109375" customWidth="1"/>
    <col min="2" max="2" width="10.7109375" customWidth="1"/>
    <col min="3" max="17" width="15.7109375" customWidth="1"/>
    <col min="18" max="18" width="1.7109375" customWidth="1"/>
    <col min="19" max="30" width="15.7109375" customWidth="1"/>
  </cols>
  <sheetData>
    <row r="1" spans="1:3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/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</row>
    <row r="2" spans="1:30">
      <c r="A2" s="2" t="s">
        <v>27</v>
      </c>
    </row>
    <row r="3" spans="1:30">
      <c r="B3" t="s">
        <v>28</v>
      </c>
      <c r="C3" s="3">
        <f>C5+C6+C7+C8+C9</f>
        <v>0</v>
      </c>
      <c r="D3" s="3">
        <f>D5+D6+D7+D8+D9</f>
        <v>0</v>
      </c>
      <c r="E3" s="3">
        <f>E5+E6+E7+E8+E9</f>
        <v>0</v>
      </c>
      <c r="F3" s="3">
        <f>F5+F6+F7+F8+F9</f>
        <v>0</v>
      </c>
      <c r="G3" s="3">
        <f>G5+G6+G7+G8+G9</f>
        <v>0</v>
      </c>
      <c r="H3" s="4">
        <f>IF(F3=0,0,G3/F3)</f>
        <v>0</v>
      </c>
      <c r="I3" s="3">
        <f>I5+I6+I7+I8+I9</f>
        <v>0</v>
      </c>
      <c r="J3" s="3">
        <f>J5+J6+J7+J8+J9</f>
        <v>0</v>
      </c>
      <c r="K3" s="4">
        <f>IF(I3=0,0,J3/I3)</f>
        <v>0</v>
      </c>
      <c r="L3" s="3">
        <f>L5+L6+L7+L8+L9</f>
        <v>0</v>
      </c>
      <c r="M3" s="3">
        <f>M5+M6+M7+M8+M9</f>
        <v>0</v>
      </c>
      <c r="N3" s="4">
        <f>IF(L3=0,0,M3/L3)</f>
        <v>0</v>
      </c>
      <c r="O3" s="3">
        <f>O5+O6+O7+O8+O9</f>
        <v>0</v>
      </c>
      <c r="P3" s="3">
        <f>P5+P6+P7+P8+P9</f>
        <v>0</v>
      </c>
      <c r="Q3" s="4">
        <f>IF(O3=0,0,P3/O3)</f>
        <v>0</v>
      </c>
      <c r="S3" s="3">
        <f>S5+S6+S7+S8+S9</f>
        <v>0</v>
      </c>
      <c r="T3" s="3">
        <f>T5+T6+T7+T8+T9</f>
        <v>0</v>
      </c>
      <c r="U3" s="4">
        <f>IF(S3=0,0,T3/S3)</f>
        <v>0</v>
      </c>
      <c r="V3" s="3">
        <f>V5+V6+V7+V8+V9</f>
        <v>0</v>
      </c>
      <c r="W3" s="3">
        <f>W5+W6+W7+W8+W9</f>
        <v>0</v>
      </c>
      <c r="X3" s="4">
        <f>IF(V3=0,0,W3/V3)</f>
        <v>0</v>
      </c>
      <c r="Y3" s="3">
        <f>Y5+Y6+Y7+Y8+Y9</f>
        <v>0</v>
      </c>
      <c r="Z3" s="3">
        <f>Z5+Z6+Z7+Z8+Z9</f>
        <v>0</v>
      </c>
      <c r="AA3" s="4">
        <f>IF(Y3=0,0,Z3/Y3)</f>
        <v>0</v>
      </c>
      <c r="AB3" s="3">
        <f>AB5+AB6+AB7+AB8+AB9</f>
        <v>0</v>
      </c>
      <c r="AC3" s="3">
        <f>AC5+AC6+AC7+AC8+AC9</f>
        <v>0</v>
      </c>
      <c r="AD3" s="4">
        <f>IF(AB3=0,0,AC3/AB3)</f>
        <v>0</v>
      </c>
    </row>
    <row r="4" spans="1:30">
      <c r="A4" s="5" t="s">
        <v>29</v>
      </c>
    </row>
    <row r="5" spans="1:30">
      <c r="B5" t="s">
        <v>30</v>
      </c>
      <c r="C5" s="3">
        <f>J5+M5+G5+P5</f>
        <v>0</v>
      </c>
      <c r="D5" s="3">
        <f>G5</f>
        <v>0</v>
      </c>
      <c r="E5" s="3">
        <f>J5+M5+P5</f>
        <v>0</v>
      </c>
      <c r="F5" s="3">
        <v>362.8529849538489</v>
      </c>
      <c r="G5" s="3">
        <v>12.63948471625394</v>
      </c>
      <c r="H5" s="4">
        <f>IF(F5=0,0,G5/F5)</f>
        <v>0</v>
      </c>
      <c r="I5" s="3">
        <v>4771.261231090824</v>
      </c>
      <c r="J5" s="3">
        <v>227.1859901487203</v>
      </c>
      <c r="K5" s="4">
        <f>IF(I5=0,0,J5/I5)</f>
        <v>0</v>
      </c>
      <c r="L5" s="3">
        <v>17957.14040242062</v>
      </c>
      <c r="M5" s="3">
        <v>35.54582104085014</v>
      </c>
      <c r="N5" s="4">
        <f>IF(L5=0,0,M5/L5)</f>
        <v>0</v>
      </c>
      <c r="O5" s="3">
        <v>506.7963637284521</v>
      </c>
      <c r="P5" s="3">
        <v>10.85189016198792</v>
      </c>
      <c r="Q5" s="4">
        <f>IF(O5=0,0,P5/O5)</f>
        <v>0</v>
      </c>
      <c r="S5" s="3">
        <v>4684.597214204819</v>
      </c>
      <c r="T5" s="3">
        <v>163.1815014510039</v>
      </c>
      <c r="U5" s="4">
        <f>IF(S5=0,0,T5/S5)</f>
        <v>0</v>
      </c>
      <c r="V5" s="3">
        <v>131696392.1412486</v>
      </c>
      <c r="W5" s="3">
        <v>4954197.115261719</v>
      </c>
      <c r="X5" s="4">
        <f>IF(V5=0,0,W5/V5)</f>
        <v>0</v>
      </c>
      <c r="Y5" s="3">
        <v>3016543.050471412</v>
      </c>
      <c r="Z5" s="3">
        <v>65300.64503983082</v>
      </c>
      <c r="AA5" s="4">
        <f>IF(Y5=0,0,Z5/Y5)</f>
        <v>0</v>
      </c>
      <c r="AB5" s="3">
        <v>200318.014600175</v>
      </c>
      <c r="AC5" s="3">
        <v>395.0855589092826</v>
      </c>
      <c r="AD5" s="4">
        <f>IF(AB5=0,0,AC5/AB5)</f>
        <v>0</v>
      </c>
    </row>
    <row r="6" spans="1:30">
      <c r="B6" t="s">
        <v>31</v>
      </c>
      <c r="C6" s="3">
        <f>J6+M6+G6+P6</f>
        <v>0</v>
      </c>
      <c r="D6" s="3">
        <f>G6</f>
        <v>0</v>
      </c>
      <c r="E6" s="3">
        <f>J6+M6+P6</f>
        <v>0</v>
      </c>
      <c r="F6" s="3">
        <v>320.5427437766894</v>
      </c>
      <c r="G6" s="3">
        <v>9.074264240933234</v>
      </c>
      <c r="H6" s="4">
        <f>IF(F6=0,0,G6/F6)</f>
        <v>0</v>
      </c>
      <c r="I6" s="3">
        <v>4315.21265961095</v>
      </c>
      <c r="J6" s="3">
        <v>200.1507208357672</v>
      </c>
      <c r="K6" s="4">
        <f>IF(I6=0,0,J6/I6)</f>
        <v>0</v>
      </c>
      <c r="L6" s="3">
        <v>14810.98291993852</v>
      </c>
      <c r="M6" s="3">
        <v>22.54181500030495</v>
      </c>
      <c r="N6" s="4">
        <f>IF(L6=0,0,M6/L6)</f>
        <v>0</v>
      </c>
      <c r="O6" s="3">
        <v>297.573370209569</v>
      </c>
      <c r="P6" s="3">
        <v>5.52879167117807</v>
      </c>
      <c r="Q6" s="4">
        <f>IF(O6=0,0,P6/O6)</f>
        <v>0</v>
      </c>
      <c r="S6" s="3">
        <v>4138.352740079671</v>
      </c>
      <c r="T6" s="3">
        <v>117.1528821498905</v>
      </c>
      <c r="U6" s="4">
        <f>IF(S6=0,0,T6/S6)</f>
        <v>0</v>
      </c>
      <c r="V6" s="3">
        <v>123352422.8520256</v>
      </c>
      <c r="W6" s="3">
        <v>4586342.631177038</v>
      </c>
      <c r="X6" s="4">
        <f>IF(V6=0,0,W6/V6)</f>
        <v>0</v>
      </c>
      <c r="Y6" s="3">
        <v>1788522.531513863</v>
      </c>
      <c r="Z6" s="3">
        <v>35454.14311633771</v>
      </c>
      <c r="AA6" s="4">
        <f>IF(Y6=0,0,Z6/Y6)</f>
        <v>0</v>
      </c>
      <c r="AB6" s="3">
        <v>165227.6716058255</v>
      </c>
      <c r="AC6" s="3">
        <v>250.5420617473719</v>
      </c>
      <c r="AD6" s="4">
        <f>IF(AB6=0,0,AC6/AB6)</f>
        <v>0</v>
      </c>
    </row>
    <row r="7" spans="1:30">
      <c r="B7" t="s">
        <v>32</v>
      </c>
      <c r="C7" s="3">
        <f>J7+M7+G7+P7</f>
        <v>0</v>
      </c>
      <c r="D7" s="3">
        <f>G7</f>
        <v>0</v>
      </c>
      <c r="E7" s="3">
        <f>J7+M7+P7</f>
        <v>0</v>
      </c>
      <c r="F7" s="3">
        <v>287.7720482472399</v>
      </c>
      <c r="G7" s="3">
        <v>7.610121026612585</v>
      </c>
      <c r="H7" s="4">
        <f>IF(F7=0,0,G7/F7)</f>
        <v>0</v>
      </c>
      <c r="I7" s="3">
        <v>4220.065012527612</v>
      </c>
      <c r="J7" s="3">
        <v>179.5730775244622</v>
      </c>
      <c r="K7" s="4">
        <f>IF(I7=0,0,J7/I7)</f>
        <v>0</v>
      </c>
      <c r="L7" s="3">
        <v>13140.17641177926</v>
      </c>
      <c r="M7" s="3">
        <v>19.08397791088372</v>
      </c>
      <c r="N7" s="4">
        <f>IF(L7=0,0,M7/L7)</f>
        <v>0</v>
      </c>
      <c r="O7" s="3">
        <v>350.6722046220511</v>
      </c>
      <c r="P7" s="3">
        <v>5.737021489159204</v>
      </c>
      <c r="Q7" s="4">
        <f>IF(O7=0,0,P7/O7)</f>
        <v>0</v>
      </c>
      <c r="S7" s="3">
        <v>3715.268142871963</v>
      </c>
      <c r="T7" s="3">
        <v>98.25012674365871</v>
      </c>
      <c r="U7" s="4">
        <f>IF(S7=0,0,T7/S7)</f>
        <v>0</v>
      </c>
      <c r="V7" s="3">
        <v>121045766.1486471</v>
      </c>
      <c r="W7" s="3">
        <v>4167213.080229864</v>
      </c>
      <c r="X7" s="4">
        <f>IF(V7=0,0,W7/V7)</f>
        <v>0</v>
      </c>
      <c r="Y7" s="3">
        <v>2261372.687672075</v>
      </c>
      <c r="Z7" s="3">
        <v>40571.23593725264</v>
      </c>
      <c r="AA7" s="4">
        <f>IF(Y7=0,0,Z7/Y7)</f>
        <v>0</v>
      </c>
      <c r="AB7" s="3">
        <v>146579.1514136479</v>
      </c>
      <c r="AC7" s="3">
        <v>211.9971291708935</v>
      </c>
      <c r="AD7" s="4">
        <f>IF(AB7=0,0,AC7/AB7)</f>
        <v>0</v>
      </c>
    </row>
    <row r="8" spans="1:30">
      <c r="B8" t="s">
        <v>33</v>
      </c>
      <c r="C8" s="3">
        <f>J8+M8+G8+P8</f>
        <v>0</v>
      </c>
      <c r="D8" s="3">
        <f>G8</f>
        <v>0</v>
      </c>
      <c r="E8" s="3">
        <f>J8+M8+P8</f>
        <v>0</v>
      </c>
      <c r="F8" s="3">
        <v>271.3548595424364</v>
      </c>
      <c r="G8" s="3">
        <v>6.644413322735986</v>
      </c>
      <c r="H8" s="4">
        <f>IF(F8=0,0,G8/F8)</f>
        <v>0</v>
      </c>
      <c r="I8" s="3">
        <v>3866.462901477351</v>
      </c>
      <c r="J8" s="3">
        <v>154.7395009991927</v>
      </c>
      <c r="K8" s="4">
        <f>IF(I8=0,0,J8/I8)</f>
        <v>0</v>
      </c>
      <c r="L8" s="3">
        <v>12529.63951354596</v>
      </c>
      <c r="M8" s="3">
        <v>20.15707309016399</v>
      </c>
      <c r="N8" s="4">
        <f>IF(L8=0,0,M8/L8)</f>
        <v>0</v>
      </c>
      <c r="O8" s="3">
        <v>341.4996444598856</v>
      </c>
      <c r="P8" s="3">
        <v>7.39307320654695</v>
      </c>
      <c r="Q8" s="4">
        <f>IF(O8=0,0,P8/O8)</f>
        <v>0</v>
      </c>
      <c r="S8" s="3">
        <v>3503.314763237015</v>
      </c>
      <c r="T8" s="3">
        <v>85.78240067578145</v>
      </c>
      <c r="U8" s="4">
        <f>IF(S8=0,0,T8/S8)</f>
        <v>0</v>
      </c>
      <c r="V8" s="3">
        <v>114934295.1461658</v>
      </c>
      <c r="W8" s="3">
        <v>3777228.031282634</v>
      </c>
      <c r="X8" s="4">
        <f>IF(V8=0,0,W8/V8)</f>
        <v>0</v>
      </c>
      <c r="Y8" s="3">
        <v>2020070.981660255</v>
      </c>
      <c r="Z8" s="3">
        <v>33843.02836539201</v>
      </c>
      <c r="AA8" s="4">
        <f>IF(Y8=0,0,Z8/Y8)</f>
        <v>0</v>
      </c>
      <c r="AB8" s="3">
        <v>139766.3345807479</v>
      </c>
      <c r="AC8" s="3">
        <v>224.0424206010357</v>
      </c>
      <c r="AD8" s="4">
        <f>IF(AB8=0,0,AC8/AB8)</f>
        <v>0</v>
      </c>
    </row>
    <row r="9" spans="1:30">
      <c r="B9" t="s">
        <v>34</v>
      </c>
      <c r="C9" s="3">
        <f>J9+M9+G9+P9</f>
        <v>0</v>
      </c>
      <c r="D9" s="3">
        <f>G9</f>
        <v>0</v>
      </c>
      <c r="E9" s="3">
        <f>J9+M9+P9</f>
        <v>0</v>
      </c>
      <c r="F9" s="3">
        <v>231.1015430943892</v>
      </c>
      <c r="G9" s="3">
        <v>2.363675314597349</v>
      </c>
      <c r="H9" s="4">
        <f>IF(F9=0,0,G9/F9)</f>
        <v>0</v>
      </c>
      <c r="I9" s="3">
        <v>3364.297008165505</v>
      </c>
      <c r="J9" s="3">
        <v>76.93037308390997</v>
      </c>
      <c r="K9" s="4">
        <f>IF(I9=0,0,J9/I9)</f>
        <v>0</v>
      </c>
      <c r="L9" s="3">
        <v>11856.76378900309</v>
      </c>
      <c r="M9" s="3">
        <v>8.019407902264968</v>
      </c>
      <c r="N9" s="4">
        <f>IF(L9=0,0,M9/L9)</f>
        <v>0</v>
      </c>
      <c r="O9" s="3">
        <v>209.6942036708812</v>
      </c>
      <c r="P9" s="3">
        <v>1.723010447683686</v>
      </c>
      <c r="Q9" s="4">
        <f>IF(O9=0,0,P9/O9)</f>
        <v>0</v>
      </c>
      <c r="S9" s="3">
        <v>2983.6261237209</v>
      </c>
      <c r="T9" s="3">
        <v>30.5161243070811</v>
      </c>
      <c r="U9" s="4">
        <f>IF(S9=0,0,T9/S9)</f>
        <v>0</v>
      </c>
      <c r="V9" s="3">
        <v>107056308.1865083</v>
      </c>
      <c r="W9" s="3">
        <v>2040605.94067876</v>
      </c>
      <c r="X9" s="4">
        <f>IF(V9=0,0,W9/V9)</f>
        <v>0</v>
      </c>
      <c r="Y9" s="3">
        <v>1277060.928257236</v>
      </c>
      <c r="Z9" s="3">
        <v>11253.75676780124</v>
      </c>
      <c r="AA9" s="4">
        <f>IF(Y9=0,0,Z9/Y9)</f>
        <v>0</v>
      </c>
      <c r="AB9" s="3">
        <v>132271.7542529008</v>
      </c>
      <c r="AC9" s="3">
        <v>89.13515658321558</v>
      </c>
      <c r="AD9" s="4">
        <f>IF(AB9=0,0,AC9/AB9)</f>
        <v>0</v>
      </c>
    </row>
    <row r="11" spans="1:30">
      <c r="A11" s="2" t="s">
        <v>35</v>
      </c>
    </row>
    <row r="12" spans="1:30">
      <c r="B12" t="s">
        <v>28</v>
      </c>
      <c r="C12" s="3">
        <f>C14+C15+C16+C17+C18</f>
        <v>0</v>
      </c>
      <c r="D12" s="3">
        <f>D14+D15+D16+D17+D18</f>
        <v>0</v>
      </c>
      <c r="E12" s="3">
        <f>E14+E15+E16+E17+E18</f>
        <v>0</v>
      </c>
      <c r="F12" s="3">
        <f>F14+F15+F16+F17+F18</f>
        <v>0</v>
      </c>
      <c r="G12" s="3">
        <f>G14+G15+G16+G17+G18</f>
        <v>0</v>
      </c>
      <c r="H12" s="4">
        <f>IF(F12=0,0,G12/F12)</f>
        <v>0</v>
      </c>
      <c r="I12" s="3">
        <f>I14+I15+I16+I17+I18</f>
        <v>0</v>
      </c>
      <c r="J12" s="3">
        <f>J14+J15+J16+J17+J18</f>
        <v>0</v>
      </c>
      <c r="K12" s="4">
        <f>IF(I12=0,0,J12/I12)</f>
        <v>0</v>
      </c>
      <c r="L12" s="3">
        <f>L14+L15+L16+L17+L18</f>
        <v>0</v>
      </c>
      <c r="M12" s="3">
        <f>M14+M15+M16+M17+M18</f>
        <v>0</v>
      </c>
      <c r="N12" s="4">
        <f>IF(L12=0,0,M12/L12)</f>
        <v>0</v>
      </c>
      <c r="O12" s="3">
        <f>O14+O15+O16+O17+O18</f>
        <v>0</v>
      </c>
      <c r="P12" s="3">
        <f>P14+P15+P16+P17+P18</f>
        <v>0</v>
      </c>
      <c r="Q12" s="4">
        <f>IF(O12=0,0,P12/O12)</f>
        <v>0</v>
      </c>
      <c r="S12" s="3">
        <f>S14+S15+S16+S17+S18</f>
        <v>0</v>
      </c>
      <c r="T12" s="3">
        <f>T14+T15+T16+T17+T18</f>
        <v>0</v>
      </c>
      <c r="U12" s="4">
        <f>IF(S12=0,0,T12/S12)</f>
        <v>0</v>
      </c>
      <c r="V12" s="3">
        <f>V14+V15+V16+V17+V18</f>
        <v>0</v>
      </c>
      <c r="W12" s="3">
        <f>W14+W15+W16+W17+W18</f>
        <v>0</v>
      </c>
      <c r="X12" s="4">
        <f>IF(V12=0,0,W12/V12)</f>
        <v>0</v>
      </c>
      <c r="Y12" s="3">
        <f>Y14+Y15+Y16+Y17+Y18</f>
        <v>0</v>
      </c>
      <c r="Z12" s="3">
        <f>Z14+Z15+Z16+Z17+Z18</f>
        <v>0</v>
      </c>
      <c r="AA12" s="4">
        <f>IF(Y12=0,0,Z12/Y12)</f>
        <v>0</v>
      </c>
      <c r="AB12" s="3">
        <f>AB14+AB15+AB16+AB17+AB18</f>
        <v>0</v>
      </c>
      <c r="AC12" s="3">
        <f>AC14+AC15+AC16+AC17+AC18</f>
        <v>0</v>
      </c>
      <c r="AD12" s="4">
        <f>IF(AB12=0,0,AC12/AB12)</f>
        <v>0</v>
      </c>
    </row>
    <row r="13" spans="1:30">
      <c r="A13" s="5" t="s">
        <v>29</v>
      </c>
    </row>
    <row r="14" spans="1:30">
      <c r="B14" t="s">
        <v>30</v>
      </c>
      <c r="C14" s="3">
        <f>J14+M14+G14+P14</f>
        <v>0</v>
      </c>
      <c r="D14" s="3">
        <f>G14</f>
        <v>0</v>
      </c>
      <c r="E14" s="3">
        <f>J14+M14+P14</f>
        <v>0</v>
      </c>
      <c r="F14" s="3">
        <v>362.8529849538489</v>
      </c>
      <c r="G14" s="3">
        <v>138.7727230203952</v>
      </c>
      <c r="H14" s="4">
        <f>IF(F14=0,0,G14/F14)</f>
        <v>0</v>
      </c>
      <c r="I14" s="3">
        <v>4771.261231090824</v>
      </c>
      <c r="J14" s="3">
        <v>410.5630858778013</v>
      </c>
      <c r="K14" s="4">
        <f>IF(I14=0,0,J14/I14)</f>
        <v>0</v>
      </c>
      <c r="L14" s="3">
        <v>17957.14040242062</v>
      </c>
      <c r="M14" s="3">
        <v>63.07499882857129</v>
      </c>
      <c r="N14" s="4">
        <f>IF(L14=0,0,M14/L14)</f>
        <v>0</v>
      </c>
      <c r="O14" s="3">
        <v>506.7963637284521</v>
      </c>
      <c r="P14" s="3">
        <v>18.33294941794506</v>
      </c>
      <c r="Q14" s="4">
        <f>IF(O14=0,0,P14/O14)</f>
        <v>0</v>
      </c>
      <c r="S14" s="3">
        <v>4684.597214204819</v>
      </c>
      <c r="T14" s="3">
        <v>1791.619026509166</v>
      </c>
      <c r="U14" s="4">
        <f>IF(S14=0,0,T14/S14)</f>
        <v>0</v>
      </c>
      <c r="V14" s="3">
        <v>131696392.1412486</v>
      </c>
      <c r="W14" s="3">
        <v>8936622.490946293</v>
      </c>
      <c r="X14" s="4">
        <f>IF(V14=0,0,W14/V14)</f>
        <v>0</v>
      </c>
      <c r="Y14" s="3">
        <v>3016543.050471412</v>
      </c>
      <c r="Z14" s="3">
        <v>98133.72087477939</v>
      </c>
      <c r="AA14" s="4">
        <f>IF(Y14=0,0,Z14/Y14)</f>
        <v>0</v>
      </c>
      <c r="AB14" s="3">
        <v>200318.014600175</v>
      </c>
      <c r="AC14" s="3">
        <v>701.0359612354077</v>
      </c>
      <c r="AD14" s="4">
        <f>IF(AB14=0,0,AC14/AB14)</f>
        <v>0</v>
      </c>
    </row>
    <row r="15" spans="1:30">
      <c r="B15" t="s">
        <v>31</v>
      </c>
      <c r="C15" s="3">
        <f>J15+M15+G15+P15</f>
        <v>0</v>
      </c>
      <c r="D15" s="3">
        <f>G15</f>
        <v>0</v>
      </c>
      <c r="E15" s="3">
        <f>J15+M15+P15</f>
        <v>0</v>
      </c>
      <c r="F15" s="3">
        <v>320.5427437766894</v>
      </c>
      <c r="G15" s="3">
        <v>110.5955742937957</v>
      </c>
      <c r="H15" s="4">
        <f>IF(F15=0,0,G15/F15)</f>
        <v>0</v>
      </c>
      <c r="I15" s="3">
        <v>4315.21265961095</v>
      </c>
      <c r="J15" s="3">
        <v>375.2990678463755</v>
      </c>
      <c r="K15" s="4">
        <f>IF(I15=0,0,J15/I15)</f>
        <v>0</v>
      </c>
      <c r="L15" s="3">
        <v>14810.98291993852</v>
      </c>
      <c r="M15" s="3">
        <v>42.04843062482961</v>
      </c>
      <c r="N15" s="4">
        <f>IF(L15=0,0,M15/L15)</f>
        <v>0</v>
      </c>
      <c r="O15" s="3">
        <v>297.573370209569</v>
      </c>
      <c r="P15" s="3">
        <v>7.709001933475957</v>
      </c>
      <c r="Q15" s="4">
        <f>IF(O15=0,0,P15/O15)</f>
        <v>0</v>
      </c>
      <c r="S15" s="3">
        <v>4138.352740079671</v>
      </c>
      <c r="T15" s="3">
        <v>1427.839209607146</v>
      </c>
      <c r="U15" s="4">
        <f>IF(S15=0,0,T15/S15)</f>
        <v>0</v>
      </c>
      <c r="V15" s="3">
        <v>123352422.8520256</v>
      </c>
      <c r="W15" s="3">
        <v>8597531.617518365</v>
      </c>
      <c r="X15" s="4">
        <f>IF(V15=0,0,W15/V15)</f>
        <v>0</v>
      </c>
      <c r="Y15" s="3">
        <v>1788522.531513863</v>
      </c>
      <c r="Z15" s="3">
        <v>55237.1894686243</v>
      </c>
      <c r="AA15" s="4">
        <f>IF(Y15=0,0,Z15/Y15)</f>
        <v>0</v>
      </c>
      <c r="AB15" s="3">
        <v>165227.6716058255</v>
      </c>
      <c r="AC15" s="3">
        <v>467.3573074903106</v>
      </c>
      <c r="AD15" s="4">
        <f>IF(AB15=0,0,AC15/AB15)</f>
        <v>0</v>
      </c>
    </row>
    <row r="16" spans="1:30">
      <c r="B16" t="s">
        <v>32</v>
      </c>
      <c r="C16" s="3">
        <f>J16+M16+G16+P16</f>
        <v>0</v>
      </c>
      <c r="D16" s="3">
        <f>G16</f>
        <v>0</v>
      </c>
      <c r="E16" s="3">
        <f>J16+M16+P16</f>
        <v>0</v>
      </c>
      <c r="F16" s="3">
        <v>287.7720482472399</v>
      </c>
      <c r="G16" s="3">
        <v>98.44054470138161</v>
      </c>
      <c r="H16" s="4">
        <f>IF(F16=0,0,G16/F16)</f>
        <v>0</v>
      </c>
      <c r="I16" s="3">
        <v>4220.065012527612</v>
      </c>
      <c r="J16" s="3">
        <v>354.4944877227945</v>
      </c>
      <c r="K16" s="4">
        <f>IF(I16=0,0,J16/I16)</f>
        <v>0</v>
      </c>
      <c r="L16" s="3">
        <v>13140.17641177926</v>
      </c>
      <c r="M16" s="3">
        <v>35.56084806696512</v>
      </c>
      <c r="N16" s="4">
        <f>IF(L16=0,0,M16/L16)</f>
        <v>0</v>
      </c>
      <c r="O16" s="3">
        <v>350.6722046220511</v>
      </c>
      <c r="P16" s="3">
        <v>9.617395450303448</v>
      </c>
      <c r="Q16" s="4">
        <f>IF(O16=0,0,P16/O16)</f>
        <v>0</v>
      </c>
      <c r="S16" s="3">
        <v>3715.268142871963</v>
      </c>
      <c r="T16" s="3">
        <v>1270.912244339263</v>
      </c>
      <c r="U16" s="4">
        <f>IF(S16=0,0,T16/S16)</f>
        <v>0</v>
      </c>
      <c r="V16" s="3">
        <v>121045766.1486471</v>
      </c>
      <c r="W16" s="3">
        <v>8228006.325311571</v>
      </c>
      <c r="X16" s="4">
        <f>IF(V16=0,0,W16/V16)</f>
        <v>0</v>
      </c>
      <c r="Y16" s="3">
        <v>2261372.687672075</v>
      </c>
      <c r="Z16" s="3">
        <v>65375.18915517349</v>
      </c>
      <c r="AA16" s="4">
        <f>IF(Y16=0,0,Z16/Y16)</f>
        <v>0</v>
      </c>
      <c r="AB16" s="3">
        <v>146579.1514136479</v>
      </c>
      <c r="AC16" s="3">
        <v>395.0855589093699</v>
      </c>
      <c r="AD16" s="4">
        <f>IF(AB16=0,0,AC16/AB16)</f>
        <v>0</v>
      </c>
    </row>
    <row r="17" spans="1:30">
      <c r="B17" t="s">
        <v>33</v>
      </c>
      <c r="C17" s="3">
        <f>J17+M17+G17+P17</f>
        <v>0</v>
      </c>
      <c r="D17" s="3">
        <f>G17</f>
        <v>0</v>
      </c>
      <c r="E17" s="3">
        <f>J17+M17+P17</f>
        <v>0</v>
      </c>
      <c r="F17" s="3">
        <v>271.3548595424364</v>
      </c>
      <c r="G17" s="3">
        <v>89.47986825818086</v>
      </c>
      <c r="H17" s="4">
        <f>IF(F17=0,0,G17/F17)</f>
        <v>0</v>
      </c>
      <c r="I17" s="3">
        <v>3866.462901477351</v>
      </c>
      <c r="J17" s="3">
        <v>312.3209744080938</v>
      </c>
      <c r="K17" s="4">
        <f>IF(I17=0,0,J17/I17)</f>
        <v>0</v>
      </c>
      <c r="L17" s="3">
        <v>12529.63951354596</v>
      </c>
      <c r="M17" s="3">
        <v>39.23006427560561</v>
      </c>
      <c r="N17" s="4">
        <f>IF(L17=0,0,M17/L17)</f>
        <v>0</v>
      </c>
      <c r="O17" s="3">
        <v>341.4996444598856</v>
      </c>
      <c r="P17" s="3">
        <v>11.24601271898509</v>
      </c>
      <c r="Q17" s="4">
        <f>IF(O17=0,0,P17/O17)</f>
        <v>0</v>
      </c>
      <c r="S17" s="3">
        <v>3503.314763237015</v>
      </c>
      <c r="T17" s="3">
        <v>1155.225832365698</v>
      </c>
      <c r="U17" s="4">
        <f>IF(S17=0,0,T17/S17)</f>
        <v>0</v>
      </c>
      <c r="V17" s="3">
        <v>114934295.1461658</v>
      </c>
      <c r="W17" s="3">
        <v>7630273.285424486</v>
      </c>
      <c r="X17" s="4">
        <f>IF(V17=0,0,W17/V17)</f>
        <v>0</v>
      </c>
      <c r="Y17" s="3">
        <v>2020070.981660255</v>
      </c>
      <c r="Z17" s="3">
        <v>54883.70608296874</v>
      </c>
      <c r="AA17" s="4">
        <f>IF(Y17=0,0,Z17/Y17)</f>
        <v>0</v>
      </c>
      <c r="AB17" s="3">
        <v>139766.3345807479</v>
      </c>
      <c r="AC17" s="3">
        <v>436.0395497719001</v>
      </c>
      <c r="AD17" s="4">
        <f>IF(AB17=0,0,AC17/AB17)</f>
        <v>0</v>
      </c>
    </row>
    <row r="18" spans="1:30">
      <c r="B18" t="s">
        <v>34</v>
      </c>
      <c r="C18" s="3">
        <f>J18+M18+G18+P18</f>
        <v>0</v>
      </c>
      <c r="D18" s="3">
        <f>G18</f>
        <v>0</v>
      </c>
      <c r="E18" s="3">
        <f>J18+M18+P18</f>
        <v>0</v>
      </c>
      <c r="F18" s="3">
        <v>231.1015430943892</v>
      </c>
      <c r="G18" s="3">
        <v>52.18407847809815</v>
      </c>
      <c r="H18" s="4">
        <f>IF(F18=0,0,G18/F18)</f>
        <v>0</v>
      </c>
      <c r="I18" s="3">
        <v>3364.297008165505</v>
      </c>
      <c r="J18" s="3">
        <v>218.0978017526711</v>
      </c>
      <c r="K18" s="4">
        <f>IF(I18=0,0,J18/I18)</f>
        <v>0</v>
      </c>
      <c r="L18" s="3">
        <v>11856.76378900309</v>
      </c>
      <c r="M18" s="3">
        <v>19.72524969840236</v>
      </c>
      <c r="N18" s="4">
        <f>IF(L18=0,0,M18/L18)</f>
        <v>0</v>
      </c>
      <c r="O18" s="3">
        <v>209.6942036708812</v>
      </c>
      <c r="P18" s="3">
        <v>3.830092156491126</v>
      </c>
      <c r="Q18" s="4">
        <f>IF(O18=0,0,P18/O18)</f>
        <v>0</v>
      </c>
      <c r="S18" s="3">
        <v>2983.6261237209</v>
      </c>
      <c r="T18" s="3">
        <v>673.7202084624901</v>
      </c>
      <c r="U18" s="4">
        <f>IF(S18=0,0,T18/S18)</f>
        <v>0</v>
      </c>
      <c r="V18" s="3">
        <v>107056308.1865083</v>
      </c>
      <c r="W18" s="3">
        <v>5806564.047944084</v>
      </c>
      <c r="X18" s="4">
        <f>IF(V18=0,0,W18/V18)</f>
        <v>0</v>
      </c>
      <c r="Y18" s="3">
        <v>1277060.928257236</v>
      </c>
      <c r="Z18" s="3">
        <v>23613.65202132659</v>
      </c>
      <c r="AA18" s="4">
        <f>IF(Y18=0,0,Z18/Y18)</f>
        <v>0</v>
      </c>
      <c r="AB18" s="3">
        <v>132271.7542529008</v>
      </c>
      <c r="AC18" s="3">
        <v>219.2243040289613</v>
      </c>
      <c r="AD18" s="4">
        <f>IF(AB18=0,0,AC18/AB18)</f>
        <v>0</v>
      </c>
    </row>
    <row r="20" spans="1:30">
      <c r="A20" s="2" t="s">
        <v>36</v>
      </c>
    </row>
    <row r="21" spans="1:30">
      <c r="B21" t="s">
        <v>28</v>
      </c>
      <c r="C21" s="3">
        <f>C23+C24+C25+C26+C27</f>
        <v>0</v>
      </c>
      <c r="D21" s="3">
        <f>D23+D24+D25+D26+D27</f>
        <v>0</v>
      </c>
      <c r="E21" s="3">
        <f>E23+E24+E25+E26+E27</f>
        <v>0</v>
      </c>
      <c r="F21" s="3">
        <f>F23+F24+F25+F26+F27</f>
        <v>0</v>
      </c>
      <c r="G21" s="3">
        <f>G23+G24+G25+G26+G27</f>
        <v>0</v>
      </c>
      <c r="H21" s="4">
        <f>IF(F21=0,0,G21/F21)</f>
        <v>0</v>
      </c>
      <c r="I21" s="3">
        <f>I23+I24+I25+I26+I27</f>
        <v>0</v>
      </c>
      <c r="J21" s="3">
        <f>J23+J24+J25+J26+J27</f>
        <v>0</v>
      </c>
      <c r="K21" s="4">
        <f>IF(I21=0,0,J21/I21)</f>
        <v>0</v>
      </c>
      <c r="L21" s="3">
        <f>L23+L24+L25+L26+L27</f>
        <v>0</v>
      </c>
      <c r="M21" s="3">
        <f>M23+M24+M25+M26+M27</f>
        <v>0</v>
      </c>
      <c r="N21" s="4">
        <f>IF(L21=0,0,M21/L21)</f>
        <v>0</v>
      </c>
      <c r="O21" s="3">
        <f>O23+O24+O25+O26+O27</f>
        <v>0</v>
      </c>
      <c r="P21" s="3">
        <f>P23+P24+P25+P26+P27</f>
        <v>0</v>
      </c>
      <c r="Q21" s="4">
        <f>IF(O21=0,0,P21/O21)</f>
        <v>0</v>
      </c>
      <c r="S21" s="3">
        <f>S23+S24+S25+S26+S27</f>
        <v>0</v>
      </c>
      <c r="T21" s="3">
        <f>T23+T24+T25+T26+T27</f>
        <v>0</v>
      </c>
      <c r="U21" s="4">
        <f>IF(S21=0,0,T21/S21)</f>
        <v>0</v>
      </c>
      <c r="V21" s="3">
        <f>V23+V24+V25+V26+V27</f>
        <v>0</v>
      </c>
      <c r="W21" s="3">
        <f>W23+W24+W25+W26+W27</f>
        <v>0</v>
      </c>
      <c r="X21" s="4">
        <f>IF(V21=0,0,W21/V21)</f>
        <v>0</v>
      </c>
      <c r="Y21" s="3">
        <f>Y23+Y24+Y25+Y26+Y27</f>
        <v>0</v>
      </c>
      <c r="Z21" s="3">
        <f>Z23+Z24+Z25+Z26+Z27</f>
        <v>0</v>
      </c>
      <c r="AA21" s="4">
        <f>IF(Y21=0,0,Z21/Y21)</f>
        <v>0</v>
      </c>
      <c r="AB21" s="3">
        <f>AB23+AB24+AB25+AB26+AB27</f>
        <v>0</v>
      </c>
      <c r="AC21" s="3">
        <f>AC23+AC24+AC25+AC26+AC27</f>
        <v>0</v>
      </c>
      <c r="AD21" s="4">
        <f>IF(AB21=0,0,AC21/AB21)</f>
        <v>0</v>
      </c>
    </row>
    <row r="22" spans="1:30">
      <c r="A22" s="5" t="s">
        <v>29</v>
      </c>
    </row>
    <row r="23" spans="1:30">
      <c r="B23" t="s">
        <v>30</v>
      </c>
      <c r="C23" s="3">
        <f>J23+M23+G23+P23</f>
        <v>0</v>
      </c>
      <c r="D23" s="3">
        <f>G23</f>
        <v>0</v>
      </c>
      <c r="E23" s="3">
        <f>J23+M23+P23</f>
        <v>0</v>
      </c>
      <c r="F23" s="3">
        <v>350.2135002375949</v>
      </c>
      <c r="G23" s="3">
        <v>126.1332383041412</v>
      </c>
      <c r="H23" s="4">
        <f>IF(F23=0,0,G23/F23)</f>
        <v>0</v>
      </c>
      <c r="I23" s="3">
        <v>4544.075240942104</v>
      </c>
      <c r="J23" s="3">
        <v>183.377095729081</v>
      </c>
      <c r="K23" s="4">
        <f>IF(I23=0,0,J23/I23)</f>
        <v>0</v>
      </c>
      <c r="L23" s="3">
        <v>17921.59458137977</v>
      </c>
      <c r="M23" s="3">
        <v>27.52917778772116</v>
      </c>
      <c r="N23" s="4">
        <f>IF(L23=0,0,M23/L23)</f>
        <v>0</v>
      </c>
      <c r="O23" s="3">
        <v>495.9444735664641</v>
      </c>
      <c r="P23" s="3">
        <v>7.481059255957137</v>
      </c>
      <c r="Q23" s="4">
        <f>IF(O23=0,0,P23/O23)</f>
        <v>0</v>
      </c>
      <c r="S23" s="3">
        <v>4521.415712753815</v>
      </c>
      <c r="T23" s="3">
        <v>1628.437525058162</v>
      </c>
      <c r="U23" s="4">
        <f>IF(S23=0,0,T23/S23)</f>
        <v>0</v>
      </c>
      <c r="V23" s="3">
        <v>126742195.0259868</v>
      </c>
      <c r="W23" s="3">
        <v>3982425.375684574</v>
      </c>
      <c r="X23" s="4">
        <f>IF(V23=0,0,W23/V23)</f>
        <v>0</v>
      </c>
      <c r="Y23" s="3">
        <v>2951242.405431581</v>
      </c>
      <c r="Z23" s="3">
        <v>32833.07583494857</v>
      </c>
      <c r="AA23" s="4">
        <f>IF(Y23=0,0,Z23/Y23)</f>
        <v>0</v>
      </c>
      <c r="AB23" s="3">
        <v>199922.9290412657</v>
      </c>
      <c r="AC23" s="3">
        <v>305.9504023261252</v>
      </c>
      <c r="AD23" s="4">
        <f>IF(AB23=0,0,AC23/AB23)</f>
        <v>0</v>
      </c>
    </row>
    <row r="24" spans="1:30">
      <c r="B24" t="s">
        <v>31</v>
      </c>
      <c r="C24" s="3">
        <f>J24+M24+G24+P24</f>
        <v>0</v>
      </c>
      <c r="D24" s="3">
        <f>G24</f>
        <v>0</v>
      </c>
      <c r="E24" s="3">
        <f>J24+M24+P24</f>
        <v>0</v>
      </c>
      <c r="F24" s="3">
        <v>311.4684795357562</v>
      </c>
      <c r="G24" s="3">
        <v>101.5213100528625</v>
      </c>
      <c r="H24" s="4">
        <f>IF(F24=0,0,G24/F24)</f>
        <v>0</v>
      </c>
      <c r="I24" s="3">
        <v>4115.061938775183</v>
      </c>
      <c r="J24" s="3">
        <v>175.1483470106083</v>
      </c>
      <c r="K24" s="4">
        <f>IF(I24=0,0,J24/I24)</f>
        <v>0</v>
      </c>
      <c r="L24" s="3">
        <v>14788.44110493821</v>
      </c>
      <c r="M24" s="3">
        <v>19.50661562452465</v>
      </c>
      <c r="N24" s="4">
        <f>IF(L24=0,0,M24/L24)</f>
        <v>0</v>
      </c>
      <c r="O24" s="3">
        <v>292.0445785383909</v>
      </c>
      <c r="P24" s="3">
        <v>2.180210262297885</v>
      </c>
      <c r="Q24" s="4">
        <f>IF(O24=0,0,P24/O24)</f>
        <v>0</v>
      </c>
      <c r="S24" s="3">
        <v>4021.199857929781</v>
      </c>
      <c r="T24" s="3">
        <v>1310.686327457256</v>
      </c>
      <c r="U24" s="4">
        <f>IF(S24=0,0,T24/S24)</f>
        <v>0</v>
      </c>
      <c r="V24" s="3">
        <v>118766080.2208486</v>
      </c>
      <c r="W24" s="3">
        <v>4011188.986341327</v>
      </c>
      <c r="X24" s="4">
        <f>IF(V24=0,0,W24/V24)</f>
        <v>0</v>
      </c>
      <c r="Y24" s="3">
        <v>1753068.388397526</v>
      </c>
      <c r="Z24" s="3">
        <v>19783.04635228659</v>
      </c>
      <c r="AA24" s="4">
        <f>IF(Y24=0,0,Z24/Y24)</f>
        <v>0</v>
      </c>
      <c r="AB24" s="3">
        <v>164977.1295440781</v>
      </c>
      <c r="AC24" s="3">
        <v>216.8152457429387</v>
      </c>
      <c r="AD24" s="4">
        <f>IF(AB24=0,0,AC24/AB24)</f>
        <v>0</v>
      </c>
    </row>
    <row r="25" spans="1:30">
      <c r="B25" t="s">
        <v>32</v>
      </c>
      <c r="C25" s="3">
        <f>J25+M25+G25+P25</f>
        <v>0</v>
      </c>
      <c r="D25" s="3">
        <f>G25</f>
        <v>0</v>
      </c>
      <c r="E25" s="3">
        <f>J25+M25+P25</f>
        <v>0</v>
      </c>
      <c r="F25" s="3">
        <v>280.1619272206273</v>
      </c>
      <c r="G25" s="3">
        <v>90.83042367476904</v>
      </c>
      <c r="H25" s="4">
        <f>IF(F25=0,0,G25/F25)</f>
        <v>0</v>
      </c>
      <c r="I25" s="3">
        <v>4040.491935003149</v>
      </c>
      <c r="J25" s="3">
        <v>174.9214101983323</v>
      </c>
      <c r="K25" s="4">
        <f>IF(I25=0,0,J25/I25)</f>
        <v>0</v>
      </c>
      <c r="L25" s="3">
        <v>13121.09243386837</v>
      </c>
      <c r="M25" s="3">
        <v>16.47687015608139</v>
      </c>
      <c r="N25" s="4">
        <f>IF(L25=0,0,M25/L25)</f>
        <v>0</v>
      </c>
      <c r="O25" s="3">
        <v>344.935183132892</v>
      </c>
      <c r="P25" s="3">
        <v>3.880373961144243</v>
      </c>
      <c r="Q25" s="4">
        <f>IF(O25=0,0,P25/O25)</f>
        <v>0</v>
      </c>
      <c r="S25" s="3">
        <v>3617.018016128304</v>
      </c>
      <c r="T25" s="3">
        <v>1172.662117595605</v>
      </c>
      <c r="U25" s="4">
        <f>IF(S25=0,0,T25/S25)</f>
        <v>0</v>
      </c>
      <c r="V25" s="3">
        <v>116878553.0684172</v>
      </c>
      <c r="W25" s="3">
        <v>4060793.245081708</v>
      </c>
      <c r="X25" s="4">
        <f>IF(V25=0,0,W25/V25)</f>
        <v>0</v>
      </c>
      <c r="Y25" s="3">
        <v>2220801.451734822</v>
      </c>
      <c r="Z25" s="3">
        <v>24803.95321792085</v>
      </c>
      <c r="AA25" s="4">
        <f>IF(Y25=0,0,Z25/Y25)</f>
        <v>0</v>
      </c>
      <c r="AB25" s="3">
        <v>146367.154284477</v>
      </c>
      <c r="AC25" s="3">
        <v>183.0884297384764</v>
      </c>
      <c r="AD25" s="4">
        <f>IF(AB25=0,0,AC25/AB25)</f>
        <v>0</v>
      </c>
    </row>
    <row r="26" spans="1:30">
      <c r="B26" t="s">
        <v>33</v>
      </c>
      <c r="C26" s="3">
        <f>J26+M26+G26+P26</f>
        <v>0</v>
      </c>
      <c r="D26" s="3">
        <f>G26</f>
        <v>0</v>
      </c>
      <c r="E26" s="3">
        <f>J26+M26+P26</f>
        <v>0</v>
      </c>
      <c r="F26" s="3">
        <v>264.7104462197004</v>
      </c>
      <c r="G26" s="3">
        <v>82.83545493544487</v>
      </c>
      <c r="H26" s="4">
        <f>IF(F26=0,0,G26/F26)</f>
        <v>0</v>
      </c>
      <c r="I26" s="3">
        <v>3711.723400478158</v>
      </c>
      <c r="J26" s="3">
        <v>157.5814734089011</v>
      </c>
      <c r="K26" s="4">
        <f>IF(I26=0,0,J26/I26)</f>
        <v>0</v>
      </c>
      <c r="L26" s="3">
        <v>12509.4824404558</v>
      </c>
      <c r="M26" s="3">
        <v>19.07299118544161</v>
      </c>
      <c r="N26" s="4">
        <f>IF(L26=0,0,M26/L26)</f>
        <v>0</v>
      </c>
      <c r="O26" s="3">
        <v>334.1065712533387</v>
      </c>
      <c r="P26" s="3">
        <v>3.852939512438141</v>
      </c>
      <c r="Q26" s="4">
        <f>IF(O26=0,0,P26/O26)</f>
        <v>0</v>
      </c>
      <c r="S26" s="3">
        <v>3417.532362561234</v>
      </c>
      <c r="T26" s="3">
        <v>1069.443431689916</v>
      </c>
      <c r="U26" s="4">
        <f>IF(S26=0,0,T26/S26)</f>
        <v>0</v>
      </c>
      <c r="V26" s="3">
        <v>111157067.1148831</v>
      </c>
      <c r="W26" s="3">
        <v>3853045.254141852</v>
      </c>
      <c r="X26" s="4">
        <f>IF(V26=0,0,W26/V26)</f>
        <v>0</v>
      </c>
      <c r="Y26" s="3">
        <v>1986227.953294863</v>
      </c>
      <c r="Z26" s="3">
        <v>21040.67771757673</v>
      </c>
      <c r="AA26" s="4">
        <f>IF(Y26=0,0,Z26/Y26)</f>
        <v>0</v>
      </c>
      <c r="AB26" s="3">
        <v>139542.2921601469</v>
      </c>
      <c r="AC26" s="3">
        <v>211.9971291708644</v>
      </c>
      <c r="AD26" s="4">
        <f>IF(AB26=0,0,AC26/AB26)</f>
        <v>0</v>
      </c>
    </row>
    <row r="27" spans="1:30">
      <c r="B27" t="s">
        <v>34</v>
      </c>
      <c r="C27" s="3">
        <f>J27+M27+G27+P27</f>
        <v>0</v>
      </c>
      <c r="D27" s="3">
        <f>G27</f>
        <v>0</v>
      </c>
      <c r="E27" s="3">
        <f>J27+M27+P27</f>
        <v>0</v>
      </c>
      <c r="F27" s="3">
        <v>228.7378677797919</v>
      </c>
      <c r="G27" s="3">
        <v>49.8204031635008</v>
      </c>
      <c r="H27" s="4">
        <f>IF(F27=0,0,G27/F27)</f>
        <v>0</v>
      </c>
      <c r="I27" s="3">
        <v>3287.366635081595</v>
      </c>
      <c r="J27" s="3">
        <v>141.1674286687611</v>
      </c>
      <c r="K27" s="4">
        <f>IF(I27=0,0,J27/I27)</f>
        <v>0</v>
      </c>
      <c r="L27" s="3">
        <v>11848.74438110083</v>
      </c>
      <c r="M27" s="3">
        <v>11.70584179613739</v>
      </c>
      <c r="N27" s="4">
        <f>IF(L27=0,0,M27/L27)</f>
        <v>0</v>
      </c>
      <c r="O27" s="3">
        <v>207.9711932231975</v>
      </c>
      <c r="P27" s="3">
        <v>2.10708170880744</v>
      </c>
      <c r="Q27" s="4">
        <f>IF(O27=0,0,P27/O27)</f>
        <v>0</v>
      </c>
      <c r="S27" s="3">
        <v>2953.109999413819</v>
      </c>
      <c r="T27" s="3">
        <v>643.204084155409</v>
      </c>
      <c r="U27" s="4">
        <f>IF(S27=0,0,T27/S27)</f>
        <v>0</v>
      </c>
      <c r="V27" s="3">
        <v>105015702.2458295</v>
      </c>
      <c r="W27" s="3">
        <v>3765958.107265323</v>
      </c>
      <c r="X27" s="4">
        <f>IF(V27=0,0,W27/V27)</f>
        <v>0</v>
      </c>
      <c r="Y27" s="3">
        <v>1265807.171489435</v>
      </c>
      <c r="Z27" s="3">
        <v>12359.89525352535</v>
      </c>
      <c r="AA27" s="4">
        <f>IF(Y27=0,0,Z27/Y27)</f>
        <v>0</v>
      </c>
      <c r="AB27" s="3">
        <v>132182.6190963176</v>
      </c>
      <c r="AC27" s="3">
        <v>130.0891474457458</v>
      </c>
      <c r="AD27" s="4">
        <f>IF(AB27=0,0,AC27/AB27)</f>
        <v>0</v>
      </c>
    </row>
    <row r="29" spans="1:30">
      <c r="A29" s="2" t="s">
        <v>37</v>
      </c>
    </row>
    <row r="30" spans="1:30">
      <c r="B30" t="s">
        <v>28</v>
      </c>
      <c r="C30" s="3">
        <f>C32+C33+C34+C35+C36</f>
        <v>0</v>
      </c>
      <c r="D30" s="3">
        <f>D32+D33+D34+D35+D36</f>
        <v>0</v>
      </c>
      <c r="E30" s="3">
        <f>E32+E33+E34+E35+E36</f>
        <v>0</v>
      </c>
      <c r="F30" s="3">
        <f>F32+F33+F34+F35+F36</f>
        <v>0</v>
      </c>
      <c r="G30" s="3">
        <f>G32+G33+G34+G35+G36</f>
        <v>0</v>
      </c>
      <c r="H30" s="4">
        <f>IF(F30=0,0,G30/F30)</f>
        <v>0</v>
      </c>
      <c r="I30" s="3">
        <f>I32+I33+I34+I35+I36</f>
        <v>0</v>
      </c>
      <c r="J30" s="3">
        <f>J32+J33+J34+J35+J36</f>
        <v>0</v>
      </c>
      <c r="K30" s="4">
        <f>IF(I30=0,0,J30/I30)</f>
        <v>0</v>
      </c>
      <c r="L30" s="3">
        <f>L32+L33+L34+L35+L36</f>
        <v>0</v>
      </c>
      <c r="M30" s="3">
        <f>M32+M33+M34+M35+M36</f>
        <v>0</v>
      </c>
      <c r="N30" s="4">
        <f>IF(L30=0,0,M30/L30)</f>
        <v>0</v>
      </c>
      <c r="O30" s="3">
        <f>O32+O33+O34+O35+O36</f>
        <v>0</v>
      </c>
      <c r="P30" s="3">
        <f>P32+P33+P34+P35+P36</f>
        <v>0</v>
      </c>
      <c r="Q30" s="4">
        <f>IF(O30=0,0,P30/O30)</f>
        <v>0</v>
      </c>
      <c r="S30" s="3">
        <f>S32+S33+S34+S35+S36</f>
        <v>0</v>
      </c>
      <c r="T30" s="3">
        <f>T32+T33+T34+T35+T36</f>
        <v>0</v>
      </c>
      <c r="U30" s="4">
        <f>IF(S30=0,0,T30/S30)</f>
        <v>0</v>
      </c>
      <c r="V30" s="3">
        <f>V32+V33+V34+V35+V36</f>
        <v>0</v>
      </c>
      <c r="W30" s="3">
        <f>W32+W33+W34+W35+W36</f>
        <v>0</v>
      </c>
      <c r="X30" s="4">
        <f>IF(V30=0,0,W30/V30)</f>
        <v>0</v>
      </c>
      <c r="Y30" s="3">
        <f>Y32+Y33+Y34+Y35+Y36</f>
        <v>0</v>
      </c>
      <c r="Z30" s="3">
        <f>Z32+Z33+Z34+Z35+Z36</f>
        <v>0</v>
      </c>
      <c r="AA30" s="4">
        <f>IF(Y30=0,0,Z30/Y30)</f>
        <v>0</v>
      </c>
      <c r="AB30" s="3">
        <f>AB32+AB33+AB34+AB35+AB36</f>
        <v>0</v>
      </c>
      <c r="AC30" s="3">
        <f>AC32+AC33+AC34+AC35+AC36</f>
        <v>0</v>
      </c>
      <c r="AD30" s="4">
        <f>IF(AB30=0,0,AC30/AB30)</f>
        <v>0</v>
      </c>
    </row>
    <row r="31" spans="1:30">
      <c r="A31" s="5" t="s">
        <v>29</v>
      </c>
    </row>
    <row r="32" spans="1:30">
      <c r="B32" t="s">
        <v>30</v>
      </c>
      <c r="C32" s="3">
        <f>J32+M32+G32+P32</f>
        <v>0</v>
      </c>
      <c r="D32" s="3">
        <f>G32</f>
        <v>0</v>
      </c>
      <c r="E32" s="3">
        <f>J32+M32+P32</f>
        <v>0</v>
      </c>
      <c r="F32" s="3">
        <v>412.7408750394843</v>
      </c>
      <c r="G32" s="3">
        <v>203.0197823281202</v>
      </c>
      <c r="H32" s="4">
        <f>IF(F32=0,0,G32/F32)</f>
        <v>0</v>
      </c>
      <c r="I32" s="3">
        <v>1024.476057384201</v>
      </c>
      <c r="J32" s="3">
        <v>151.6692552821839</v>
      </c>
      <c r="K32" s="4">
        <f>IF(I32=0,0,J32/I32)</f>
        <v>0</v>
      </c>
      <c r="L32" s="3">
        <v>15352.83741703859</v>
      </c>
      <c r="M32" s="3">
        <v>69.56725985433347</v>
      </c>
      <c r="N32" s="4">
        <f>IF(L32=0,0,M32/L32)</f>
        <v>0</v>
      </c>
      <c r="O32" s="3">
        <v>503.5634310516943</v>
      </c>
      <c r="P32" s="3">
        <v>21.01036396919185</v>
      </c>
      <c r="Q32" s="4">
        <f>IF(O32=0,0,P32/O32)</f>
        <v>0</v>
      </c>
      <c r="S32" s="3">
        <v>12734.95565684622</v>
      </c>
      <c r="T32" s="3">
        <v>6264.094694192449</v>
      </c>
      <c r="U32" s="4">
        <f>IF(S32=0,0,T32/S32)</f>
        <v>0</v>
      </c>
      <c r="V32" s="3">
        <v>25177467.03377928</v>
      </c>
      <c r="W32" s="3">
        <v>2945174.443318196</v>
      </c>
      <c r="X32" s="4">
        <f>IF(V32=0,0,W32/V32)</f>
        <v>0</v>
      </c>
      <c r="Y32" s="3">
        <v>2561085.175981381</v>
      </c>
      <c r="Z32" s="3">
        <v>116196.6057628184</v>
      </c>
      <c r="AA32" s="4">
        <f>IF(Y32=0,0,Z32/Y32)</f>
        <v>0</v>
      </c>
      <c r="AB32" s="3">
        <v>172903.801774421</v>
      </c>
      <c r="AC32" s="3">
        <v>772.255639909883</v>
      </c>
      <c r="AD32" s="4">
        <f>IF(AB32=0,0,AC32/AB32)</f>
        <v>0</v>
      </c>
    </row>
    <row r="33" spans="1:30">
      <c r="B33" t="s">
        <v>31</v>
      </c>
      <c r="C33" s="3">
        <f>J33+M33+G33+P33</f>
        <v>0</v>
      </c>
      <c r="D33" s="3">
        <f>G33</f>
        <v>0</v>
      </c>
      <c r="E33" s="3">
        <f>J33+M33+P33</f>
        <v>0</v>
      </c>
      <c r="F33" s="3">
        <v>422.0532339939541</v>
      </c>
      <c r="G33" s="3">
        <v>198.5663656707619</v>
      </c>
      <c r="H33" s="4">
        <f>IF(F33=0,0,G33/F33)</f>
        <v>0</v>
      </c>
      <c r="I33" s="3">
        <v>968.8874507802924</v>
      </c>
      <c r="J33" s="3">
        <v>150.8926468475667</v>
      </c>
      <c r="K33" s="4">
        <f>IF(I33=0,0,J33/I33)</f>
        <v>0</v>
      </c>
      <c r="L33" s="3">
        <v>15897.14811387405</v>
      </c>
      <c r="M33" s="3">
        <v>66.02582374739833</v>
      </c>
      <c r="N33" s="4">
        <f>IF(L33=0,0,M33/L33)</f>
        <v>0</v>
      </c>
      <c r="O33" s="3">
        <v>427.6878840211459</v>
      </c>
      <c r="P33" s="3">
        <v>21.73464126741991</v>
      </c>
      <c r="Q33" s="4">
        <f>IF(O33=0,0,P33/O33)</f>
        <v>0</v>
      </c>
      <c r="S33" s="3">
        <v>13022.28479122008</v>
      </c>
      <c r="T33" s="3">
        <v>6126.686293225393</v>
      </c>
      <c r="U33" s="4">
        <f>IF(S33=0,0,T33/S33)</f>
        <v>0</v>
      </c>
      <c r="V33" s="3">
        <v>24716781.60947407</v>
      </c>
      <c r="W33" s="3">
        <v>3073981.15008124</v>
      </c>
      <c r="X33" s="4">
        <f>IF(V33=0,0,W33/V33)</f>
        <v>0</v>
      </c>
      <c r="Y33" s="3">
        <v>2216806.226901517</v>
      </c>
      <c r="Z33" s="3">
        <v>113084.6469390318</v>
      </c>
      <c r="AA33" s="4">
        <f>IF(Y33=0,0,Z33/Y33)</f>
        <v>0</v>
      </c>
      <c r="AB33" s="3">
        <v>179047.6330362356</v>
      </c>
      <c r="AC33" s="3">
        <v>733.1540885220165</v>
      </c>
      <c r="AD33" s="4">
        <f>IF(AB33=0,0,AC33/AB33)</f>
        <v>0</v>
      </c>
    </row>
    <row r="34" spans="1:30">
      <c r="B34" t="s">
        <v>32</v>
      </c>
      <c r="C34" s="3">
        <f>J34+M34+G34+P34</f>
        <v>0</v>
      </c>
      <c r="D34" s="3">
        <f>G34</f>
        <v>0</v>
      </c>
      <c r="E34" s="3">
        <f>J34+M34+P34</f>
        <v>0</v>
      </c>
      <c r="F34" s="3">
        <v>382.0743136549376</v>
      </c>
      <c r="G34" s="3">
        <v>154.1818427005811</v>
      </c>
      <c r="H34" s="4">
        <f>IF(F34=0,0,G34/F34)</f>
        <v>0</v>
      </c>
      <c r="I34" s="3">
        <v>792.6568327877751</v>
      </c>
      <c r="J34" s="3">
        <v>138.7460097809298</v>
      </c>
      <c r="K34" s="4">
        <f>IF(I34=0,0,J34/I34)</f>
        <v>0</v>
      </c>
      <c r="L34" s="3">
        <v>14099.36149543928</v>
      </c>
      <c r="M34" s="3">
        <v>48.02046110171266</v>
      </c>
      <c r="N34" s="4">
        <f>IF(L34=0,0,M34/L34)</f>
        <v>0</v>
      </c>
      <c r="O34" s="3">
        <v>410.8336896551561</v>
      </c>
      <c r="P34" s="3">
        <v>20.00392896381795</v>
      </c>
      <c r="Q34" s="4">
        <f>IF(O34=0,0,P34/O34)</f>
        <v>0</v>
      </c>
      <c r="S34" s="3">
        <v>11788.75109364953</v>
      </c>
      <c r="T34" s="3">
        <v>4757.219477462471</v>
      </c>
      <c r="U34" s="4">
        <f>IF(S34=0,0,T34/S34)</f>
        <v>0</v>
      </c>
      <c r="V34" s="3">
        <v>22756394.15398703</v>
      </c>
      <c r="W34" s="3">
        <v>3255095.686233584</v>
      </c>
      <c r="X34" s="4">
        <f>IF(V34=0,0,W34/V34)</f>
        <v>0</v>
      </c>
      <c r="Y34" s="3">
        <v>2114085.557833027</v>
      </c>
      <c r="Z34" s="3">
        <v>104646.7324492342</v>
      </c>
      <c r="AA34" s="4">
        <f>IF(Y34=0,0,Z34/Y34)</f>
        <v>0</v>
      </c>
      <c r="AB34" s="3">
        <v>158763.7032537926</v>
      </c>
      <c r="AC34" s="3">
        <v>532.758637659339</v>
      </c>
      <c r="AD34" s="4">
        <f>IF(AB34=0,0,AC34/AB34)</f>
        <v>0</v>
      </c>
    </row>
    <row r="35" spans="1:30">
      <c r="B35" t="s">
        <v>33</v>
      </c>
      <c r="C35" s="3">
        <f>J35+M35+G35+P35</f>
        <v>0</v>
      </c>
      <c r="D35" s="3">
        <f>G35</f>
        <v>0</v>
      </c>
      <c r="E35" s="3">
        <f>J35+M35+P35</f>
        <v>0</v>
      </c>
      <c r="F35" s="3">
        <v>338.6701578384149</v>
      </c>
      <c r="G35" s="3">
        <v>120.7918882652273</v>
      </c>
      <c r="H35" s="4">
        <f>IF(F35=0,0,G35/F35)</f>
        <v>0</v>
      </c>
      <c r="I35" s="3">
        <v>714.5868735320346</v>
      </c>
      <c r="J35" s="3">
        <v>127.9421658211542</v>
      </c>
      <c r="K35" s="4">
        <f>IF(I35=0,0,J35/I35)</f>
        <v>0</v>
      </c>
      <c r="L35" s="3">
        <v>12459.036398116</v>
      </c>
      <c r="M35" s="3">
        <v>33.00900104676187</v>
      </c>
      <c r="N35" s="4">
        <f>IF(L35=0,0,M35/L35)</f>
        <v>0</v>
      </c>
      <c r="O35" s="3">
        <v>388.5202631627004</v>
      </c>
      <c r="P35" s="3">
        <v>16.30620732857898</v>
      </c>
      <c r="Q35" s="4">
        <f>IF(O35=0,0,P35/O35)</f>
        <v>0</v>
      </c>
      <c r="S35" s="3">
        <v>10449.53311676904</v>
      </c>
      <c r="T35" s="3">
        <v>3726.985704086702</v>
      </c>
      <c r="U35" s="4">
        <f>IF(S35=0,0,T35/S35)</f>
        <v>0</v>
      </c>
      <c r="V35" s="3">
        <v>21413420.36871202</v>
      </c>
      <c r="W35" s="3">
        <v>3188030.275738072</v>
      </c>
      <c r="X35" s="4">
        <f>IF(V35=0,0,W35/V35)</f>
        <v>0</v>
      </c>
      <c r="Y35" s="3">
        <v>1925897.452986733</v>
      </c>
      <c r="Z35" s="3">
        <v>86993.32044937275</v>
      </c>
      <c r="AA35" s="4">
        <f>IF(Y35=0,0,Z35/Y35)</f>
        <v>0</v>
      </c>
      <c r="AB35" s="3">
        <v>140314.2879239626</v>
      </c>
      <c r="AC35" s="3">
        <v>366.5770442610374</v>
      </c>
      <c r="AD35" s="4">
        <f>IF(AB35=0,0,AC35/AB35)</f>
        <v>0</v>
      </c>
    </row>
    <row r="36" spans="1:30">
      <c r="B36" t="s">
        <v>34</v>
      </c>
      <c r="C36" s="3">
        <f>J36+M36+G36+P36</f>
        <v>0</v>
      </c>
      <c r="D36" s="3">
        <f>G36</f>
        <v>0</v>
      </c>
      <c r="E36" s="3">
        <f>J36+M36+P36</f>
        <v>0</v>
      </c>
      <c r="F36" s="3">
        <v>297.4602934996698</v>
      </c>
      <c r="G36" s="3">
        <v>100.604253937639</v>
      </c>
      <c r="H36" s="4">
        <f>IF(F36=0,0,G36/F36)</f>
        <v>0</v>
      </c>
      <c r="I36" s="3">
        <v>607.1996095192959</v>
      </c>
      <c r="J36" s="3">
        <v>115.4369858740715</v>
      </c>
      <c r="K36" s="4">
        <f>IF(I36=0,0,J36/I36)</f>
        <v>0</v>
      </c>
      <c r="L36" s="3">
        <v>9475.405513778041</v>
      </c>
      <c r="M36" s="3">
        <v>26.1176055910252</v>
      </c>
      <c r="N36" s="4">
        <f>IF(L36=0,0,M36/L36)</f>
        <v>0</v>
      </c>
      <c r="O36" s="3">
        <v>285.742923347472</v>
      </c>
      <c r="P36" s="3">
        <v>14.29403973296256</v>
      </c>
      <c r="Q36" s="4">
        <f>IF(O36=0,0,P36/O36)</f>
        <v>0</v>
      </c>
      <c r="S36" s="3">
        <v>9178.019131321482</v>
      </c>
      <c r="T36" s="3">
        <v>3104.104270417525</v>
      </c>
      <c r="U36" s="4">
        <f>IF(S36=0,0,T36/S36)</f>
        <v>0</v>
      </c>
      <c r="V36" s="3">
        <v>19850211.7121278</v>
      </c>
      <c r="W36" s="3">
        <v>3182528.287519272</v>
      </c>
      <c r="X36" s="4">
        <f>IF(V36=0,0,W36/V36)</f>
        <v>0</v>
      </c>
      <c r="Y36" s="3">
        <v>1405792.016991551</v>
      </c>
      <c r="Z36" s="3">
        <v>72425.83938977448</v>
      </c>
      <c r="AA36" s="4">
        <f>IF(Y36=0,0,Z36/Y36)</f>
        <v>0</v>
      </c>
      <c r="AB36" s="3">
        <v>106730.9429757299</v>
      </c>
      <c r="AC36" s="3">
        <v>290.0031727931782</v>
      </c>
      <c r="AD36" s="4">
        <f>IF(AB36=0,0,AC36/AB36)</f>
        <v>0</v>
      </c>
    </row>
    <row r="38" spans="1:30">
      <c r="A38" s="2" t="s">
        <v>38</v>
      </c>
    </row>
    <row r="39" spans="1:30">
      <c r="B39" t="s">
        <v>28</v>
      </c>
      <c r="C39" s="3">
        <f>C41+C42+C43+C44+C45</f>
        <v>0</v>
      </c>
      <c r="D39" s="3">
        <f>D41+D42+D43+D44+D45</f>
        <v>0</v>
      </c>
      <c r="E39" s="3">
        <f>E41+E42+E43+E44+E45</f>
        <v>0</v>
      </c>
      <c r="F39" s="3">
        <f>F41+F42+F43+F44+F45</f>
        <v>0</v>
      </c>
      <c r="G39" s="3">
        <f>G41+G42+G43+G44+G45</f>
        <v>0</v>
      </c>
      <c r="H39" s="4">
        <f>IF(F39=0,0,G39/F39)</f>
        <v>0</v>
      </c>
      <c r="I39" s="3">
        <f>I41+I42+I43+I44+I45</f>
        <v>0</v>
      </c>
      <c r="J39" s="3">
        <f>J41+J42+J43+J44+J45</f>
        <v>0</v>
      </c>
      <c r="K39" s="4">
        <f>IF(I39=0,0,J39/I39)</f>
        <v>0</v>
      </c>
      <c r="L39" s="3">
        <f>L41+L42+L43+L44+L45</f>
        <v>0</v>
      </c>
      <c r="M39" s="3">
        <f>M41+M42+M43+M44+M45</f>
        <v>0</v>
      </c>
      <c r="N39" s="4">
        <f>IF(L39=0,0,M39/L39)</f>
        <v>0</v>
      </c>
      <c r="O39" s="3">
        <f>O41+O42+O43+O44+O45</f>
        <v>0</v>
      </c>
      <c r="P39" s="3">
        <f>P41+P42+P43+P44+P45</f>
        <v>0</v>
      </c>
      <c r="Q39" s="4">
        <f>IF(O39=0,0,P39/O39)</f>
        <v>0</v>
      </c>
      <c r="S39" s="3">
        <f>S41+S42+S43+S44+S45</f>
        <v>0</v>
      </c>
      <c r="T39" s="3">
        <f>T41+T42+T43+T44+T45</f>
        <v>0</v>
      </c>
      <c r="U39" s="4">
        <f>IF(S39=0,0,T39/S39)</f>
        <v>0</v>
      </c>
      <c r="V39" s="3">
        <f>V41+V42+V43+V44+V45</f>
        <v>0</v>
      </c>
      <c r="W39" s="3">
        <f>W41+W42+W43+W44+W45</f>
        <v>0</v>
      </c>
      <c r="X39" s="4">
        <f>IF(V39=0,0,W39/V39)</f>
        <v>0</v>
      </c>
      <c r="Y39" s="3">
        <f>Y41+Y42+Y43+Y44+Y45</f>
        <v>0</v>
      </c>
      <c r="Z39" s="3">
        <f>Z41+Z42+Z43+Z44+Z45</f>
        <v>0</v>
      </c>
      <c r="AA39" s="4">
        <f>IF(Y39=0,0,Z39/Y39)</f>
        <v>0</v>
      </c>
      <c r="AB39" s="3">
        <f>AB41+AB42+AB43+AB44+AB45</f>
        <v>0</v>
      </c>
      <c r="AC39" s="3">
        <f>AC41+AC42+AC43+AC44+AC45</f>
        <v>0</v>
      </c>
      <c r="AD39" s="4">
        <f>IF(AB39=0,0,AC39/AB39)</f>
        <v>0</v>
      </c>
    </row>
    <row r="40" spans="1:30">
      <c r="A40" s="5" t="s">
        <v>29</v>
      </c>
    </row>
    <row r="41" spans="1:30">
      <c r="B41" t="s">
        <v>30</v>
      </c>
      <c r="C41" s="3">
        <f>J41+M41+G41+P41</f>
        <v>0</v>
      </c>
      <c r="D41" s="3">
        <f>G41</f>
        <v>0</v>
      </c>
      <c r="E41" s="3">
        <f>J41+M41+P41</f>
        <v>0</v>
      </c>
      <c r="F41" s="3">
        <v>412.7408750394843</v>
      </c>
      <c r="G41" s="3">
        <v>88.917209540012</v>
      </c>
      <c r="H41" s="4">
        <f>IF(F41=0,0,G41/F41)</f>
        <v>0</v>
      </c>
      <c r="I41" s="3">
        <v>1024.476057384201</v>
      </c>
      <c r="J41" s="3">
        <v>37.42618266519206</v>
      </c>
      <c r="K41" s="4">
        <f>IF(I41=0,0,J41/I41)</f>
        <v>0</v>
      </c>
      <c r="L41" s="3">
        <v>15352.83741703859</v>
      </c>
      <c r="M41" s="3">
        <v>8.513003026653081</v>
      </c>
      <c r="N41" s="4">
        <f>IF(L41=0,0,M41/L41)</f>
        <v>0</v>
      </c>
      <c r="O41" s="3">
        <v>503.5634310516943</v>
      </c>
      <c r="P41" s="3">
        <v>4.035215178299462</v>
      </c>
      <c r="Q41" s="4">
        <f>IF(O41=0,0,P41/O41)</f>
        <v>0</v>
      </c>
      <c r="S41" s="3">
        <v>12734.95565684622</v>
      </c>
      <c r="T41" s="3">
        <v>2743.505160505925</v>
      </c>
      <c r="U41" s="4">
        <f>IF(S41=0,0,T41/S41)</f>
        <v>0</v>
      </c>
      <c r="V41" s="3">
        <v>25177467.03377928</v>
      </c>
      <c r="W41" s="3">
        <v>716915.3751159273</v>
      </c>
      <c r="X41" s="4">
        <f>IF(V41=0,0,W41/V41)</f>
        <v>0</v>
      </c>
      <c r="Y41" s="3">
        <v>2561085.175981381</v>
      </c>
      <c r="Z41" s="3">
        <v>26434.5692036259</v>
      </c>
      <c r="AA41" s="4">
        <f>IF(Y41=0,0,Z41/Y41)</f>
        <v>0</v>
      </c>
      <c r="AB41" s="3">
        <v>172903.801774421</v>
      </c>
      <c r="AC41" s="3">
        <v>94.49541585397674</v>
      </c>
      <c r="AD41" s="4">
        <f>IF(AB41=0,0,AC41/AB41)</f>
        <v>0</v>
      </c>
    </row>
    <row r="42" spans="1:30">
      <c r="B42" t="s">
        <v>31</v>
      </c>
      <c r="C42" s="3">
        <f>J42+M42+G42+P42</f>
        <v>0</v>
      </c>
      <c r="D42" s="3">
        <f>G42</f>
        <v>0</v>
      </c>
      <c r="E42" s="3">
        <f>J42+M42+P42</f>
        <v>0</v>
      </c>
      <c r="F42" s="3">
        <v>422.0532339939541</v>
      </c>
      <c r="G42" s="3">
        <v>119.3410127560627</v>
      </c>
      <c r="H42" s="4">
        <f>IF(F42=0,0,G42/F42)</f>
        <v>0</v>
      </c>
      <c r="I42" s="3">
        <v>968.8874507802924</v>
      </c>
      <c r="J42" s="3">
        <v>48.89668702791759</v>
      </c>
      <c r="K42" s="4">
        <f>IF(I42=0,0,J42/I42)</f>
        <v>0</v>
      </c>
      <c r="L42" s="3">
        <v>15897.14811387405</v>
      </c>
      <c r="M42" s="3">
        <v>12.76530790260248</v>
      </c>
      <c r="N42" s="4">
        <f>IF(L42=0,0,M42/L42)</f>
        <v>0</v>
      </c>
      <c r="O42" s="3">
        <v>427.6878840211459</v>
      </c>
      <c r="P42" s="3">
        <v>6.028749298481445</v>
      </c>
      <c r="Q42" s="4">
        <f>IF(O42=0,0,P42/O42)</f>
        <v>0</v>
      </c>
      <c r="S42" s="3">
        <v>13022.28479122008</v>
      </c>
      <c r="T42" s="3">
        <v>3682.219516897101</v>
      </c>
      <c r="U42" s="4">
        <f>IF(S42=0,0,T42/S42)</f>
        <v>0</v>
      </c>
      <c r="V42" s="3">
        <v>24716781.60947407</v>
      </c>
      <c r="W42" s="3">
        <v>982157.0316114575</v>
      </c>
      <c r="X42" s="4">
        <f>IF(V42=0,0,W42/V42)</f>
        <v>0</v>
      </c>
      <c r="Y42" s="3">
        <v>2216806.226901517</v>
      </c>
      <c r="Z42" s="3">
        <v>34210.39940629248</v>
      </c>
      <c r="AA42" s="4">
        <f>IF(Y42=0,0,Z42/Y42)</f>
        <v>0</v>
      </c>
      <c r="AB42" s="3">
        <v>179047.6330362356</v>
      </c>
      <c r="AC42" s="3">
        <v>141.743123780936</v>
      </c>
      <c r="AD42" s="4">
        <f>IF(AB42=0,0,AC42/AB42)</f>
        <v>0</v>
      </c>
    </row>
    <row r="43" spans="1:30">
      <c r="B43" t="s">
        <v>32</v>
      </c>
      <c r="C43" s="3">
        <f>J43+M43+G43+P43</f>
        <v>0</v>
      </c>
      <c r="D43" s="3">
        <f>G43</f>
        <v>0</v>
      </c>
      <c r="E43" s="3">
        <f>J43+M43+P43</f>
        <v>0</v>
      </c>
      <c r="F43" s="3">
        <v>382.0743136549376</v>
      </c>
      <c r="G43" s="3">
        <v>119.4634252945786</v>
      </c>
      <c r="H43" s="4">
        <f>IF(F43=0,0,G43/F43)</f>
        <v>0</v>
      </c>
      <c r="I43" s="3">
        <v>792.6568327877751</v>
      </c>
      <c r="J43" s="3">
        <v>54.5890911232098</v>
      </c>
      <c r="K43" s="4">
        <f>IF(I43=0,0,J43/I43)</f>
        <v>0</v>
      </c>
      <c r="L43" s="3">
        <v>14099.36149543928</v>
      </c>
      <c r="M43" s="3">
        <v>13.51587385891005</v>
      </c>
      <c r="N43" s="4">
        <f>IF(L43=0,0,M43/L43)</f>
        <v>0</v>
      </c>
      <c r="O43" s="3">
        <v>410.8336896551561</v>
      </c>
      <c r="P43" s="3">
        <v>7.356626560289995</v>
      </c>
      <c r="Q43" s="4">
        <f>IF(O43=0,0,P43/O43)</f>
        <v>0</v>
      </c>
      <c r="S43" s="3">
        <v>11788.75109364953</v>
      </c>
      <c r="T43" s="3">
        <v>3685.99650712055</v>
      </c>
      <c r="U43" s="4">
        <f>IF(S43=0,0,T43/S43)</f>
        <v>0</v>
      </c>
      <c r="V43" s="3">
        <v>22756394.15398703</v>
      </c>
      <c r="W43" s="3">
        <v>1261498.724129144</v>
      </c>
      <c r="X43" s="4">
        <f>IF(V43=0,0,W43/V43)</f>
        <v>0</v>
      </c>
      <c r="Y43" s="3">
        <v>2114085.557833027</v>
      </c>
      <c r="Z43" s="3">
        <v>40224.46724295756</v>
      </c>
      <c r="AA43" s="4">
        <f>IF(Y43=0,0,Z43/Y43)</f>
        <v>0</v>
      </c>
      <c r="AB43" s="3">
        <v>158763.7032537926</v>
      </c>
      <c r="AC43" s="3">
        <v>149.8892803200579</v>
      </c>
      <c r="AD43" s="4">
        <f>IF(AB43=0,0,AC43/AB43)</f>
        <v>0</v>
      </c>
    </row>
    <row r="44" spans="1:30">
      <c r="B44" t="s">
        <v>33</v>
      </c>
      <c r="C44" s="3">
        <f>J44+M44+G44+P44</f>
        <v>0</v>
      </c>
      <c r="D44" s="3">
        <f>G44</f>
        <v>0</v>
      </c>
      <c r="E44" s="3">
        <f>J44+M44+P44</f>
        <v>0</v>
      </c>
      <c r="F44" s="3">
        <v>338.6701578384149</v>
      </c>
      <c r="G44" s="3">
        <v>117.3536742164378</v>
      </c>
      <c r="H44" s="4">
        <f>IF(F44=0,0,G44/F44)</f>
        <v>0</v>
      </c>
      <c r="I44" s="3">
        <v>714.5868735320346</v>
      </c>
      <c r="J44" s="3">
        <v>58.87230459435971</v>
      </c>
      <c r="K44" s="4">
        <f>IF(I44=0,0,J44/I44)</f>
        <v>0</v>
      </c>
      <c r="L44" s="3">
        <v>12459.036398116</v>
      </c>
      <c r="M44" s="3">
        <v>13.5043200882338</v>
      </c>
      <c r="N44" s="4">
        <f>IF(L44=0,0,M44/L44)</f>
        <v>0</v>
      </c>
      <c r="O44" s="3">
        <v>388.5202631627004</v>
      </c>
      <c r="P44" s="3">
        <v>7.537730635970249</v>
      </c>
      <c r="Q44" s="4">
        <f>IF(O44=0,0,P44/O44)</f>
        <v>0</v>
      </c>
      <c r="S44" s="3">
        <v>10449.53311676904</v>
      </c>
      <c r="T44" s="3">
        <v>3620.900976118114</v>
      </c>
      <c r="U44" s="4">
        <f>IF(S44=0,0,T44/S44)</f>
        <v>0</v>
      </c>
      <c r="V44" s="3">
        <v>21413420.36871202</v>
      </c>
      <c r="W44" s="3">
        <v>1446105.459525652</v>
      </c>
      <c r="X44" s="4">
        <f>IF(V44=0,0,W44/V44)</f>
        <v>0</v>
      </c>
      <c r="Y44" s="3">
        <v>1925897.452986733</v>
      </c>
      <c r="Z44" s="3">
        <v>38916.56609589816</v>
      </c>
      <c r="AA44" s="4">
        <f>IF(Y44=0,0,Z44/Y44)</f>
        <v>0</v>
      </c>
      <c r="AB44" s="3">
        <v>140314.2879239626</v>
      </c>
      <c r="AC44" s="3">
        <v>149.8892803200579</v>
      </c>
      <c r="AD44" s="4">
        <f>IF(AB44=0,0,AC44/AB44)</f>
        <v>0</v>
      </c>
    </row>
    <row r="45" spans="1:30">
      <c r="B45" t="s">
        <v>34</v>
      </c>
      <c r="C45" s="3">
        <f>J45+M45+G45+P45</f>
        <v>0</v>
      </c>
      <c r="D45" s="3">
        <f>G45</f>
        <v>0</v>
      </c>
      <c r="E45" s="3">
        <f>J45+M45+P45</f>
        <v>0</v>
      </c>
      <c r="F45" s="3">
        <v>297.4602934996698</v>
      </c>
      <c r="G45" s="3">
        <v>106.3158412713952</v>
      </c>
      <c r="H45" s="4">
        <f>IF(F45=0,0,G45/F45)</f>
        <v>0</v>
      </c>
      <c r="I45" s="3">
        <v>607.1996095192959</v>
      </c>
      <c r="J45" s="3">
        <v>56.87764650202414</v>
      </c>
      <c r="K45" s="4">
        <f>IF(I45=0,0,J45/I45)</f>
        <v>0</v>
      </c>
      <c r="L45" s="3">
        <v>9475.405513778041</v>
      </c>
      <c r="M45" s="3">
        <v>12.91396182483621</v>
      </c>
      <c r="N45" s="4">
        <f>IF(L45=0,0,M45/L45)</f>
        <v>0</v>
      </c>
      <c r="O45" s="3">
        <v>285.742923347472</v>
      </c>
      <c r="P45" s="3">
        <v>6.662558508813381</v>
      </c>
      <c r="Q45" s="4">
        <f>IF(O45=0,0,P45/O45)</f>
        <v>0</v>
      </c>
      <c r="S45" s="3">
        <v>9178.019131321482</v>
      </c>
      <c r="T45" s="3">
        <v>3280.333027549058</v>
      </c>
      <c r="U45" s="4">
        <f>IF(S45=0,0,T45/S45)</f>
        <v>0</v>
      </c>
      <c r="V45" s="3">
        <v>19850211.7121278</v>
      </c>
      <c r="W45" s="3">
        <v>1545620.805538651</v>
      </c>
      <c r="X45" s="4">
        <f>IF(V45=0,0,W45/V45)</f>
        <v>0</v>
      </c>
      <c r="Y45" s="3">
        <v>1405792.016991551</v>
      </c>
      <c r="Z45" s="3">
        <v>34472.30498424848</v>
      </c>
      <c r="AA45" s="4">
        <f>IF(Y45=0,0,Z45/Y45)</f>
        <v>0</v>
      </c>
      <c r="AB45" s="3">
        <v>106730.9429757299</v>
      </c>
      <c r="AC45" s="3">
        <v>143.3723550887371</v>
      </c>
      <c r="AD45" s="4">
        <f>IF(AB45=0,0,AC45/AB45)</f>
        <v>0</v>
      </c>
    </row>
    <row r="47" spans="1:30">
      <c r="A47" s="2" t="s">
        <v>39</v>
      </c>
    </row>
    <row r="48" spans="1:30">
      <c r="B48" t="s">
        <v>28</v>
      </c>
      <c r="C48" s="3">
        <f>C50+C51+C52+C53+C54</f>
        <v>0</v>
      </c>
      <c r="D48" s="3">
        <f>D50+D51+D52+D53+D54</f>
        <v>0</v>
      </c>
      <c r="E48" s="3">
        <f>E50+E51+E52+E53+E54</f>
        <v>0</v>
      </c>
      <c r="F48" s="3">
        <f>F50+F51+F52+F53+F54</f>
        <v>0</v>
      </c>
      <c r="G48" s="3">
        <f>G50+G51+G52+G53+G54</f>
        <v>0</v>
      </c>
      <c r="H48" s="4">
        <f>IF(F48=0,0,G48/F48)</f>
        <v>0</v>
      </c>
      <c r="I48" s="3">
        <f>I50+I51+I52+I53+I54</f>
        <v>0</v>
      </c>
      <c r="J48" s="3">
        <f>J50+J51+J52+J53+J54</f>
        <v>0</v>
      </c>
      <c r="K48" s="4">
        <f>IF(I48=0,0,J48/I48)</f>
        <v>0</v>
      </c>
      <c r="L48" s="3">
        <f>L50+L51+L52+L53+L54</f>
        <v>0</v>
      </c>
      <c r="M48" s="3">
        <f>M50+M51+M52+M53+M54</f>
        <v>0</v>
      </c>
      <c r="N48" s="4">
        <f>IF(L48=0,0,M48/L48)</f>
        <v>0</v>
      </c>
      <c r="O48" s="3">
        <f>O50+O51+O52+O53+O54</f>
        <v>0</v>
      </c>
      <c r="P48" s="3">
        <f>P50+P51+P52+P53+P54</f>
        <v>0</v>
      </c>
      <c r="Q48" s="4">
        <f>IF(O48=0,0,P48/O48)</f>
        <v>0</v>
      </c>
      <c r="S48" s="3">
        <f>S50+S51+S52+S53+S54</f>
        <v>0</v>
      </c>
      <c r="T48" s="3">
        <f>T50+T51+T52+T53+T54</f>
        <v>0</v>
      </c>
      <c r="U48" s="4">
        <f>IF(S48=0,0,T48/S48)</f>
        <v>0</v>
      </c>
      <c r="V48" s="3">
        <f>V50+V51+V52+V53+V54</f>
        <v>0</v>
      </c>
      <c r="W48" s="3">
        <f>W50+W51+W52+W53+W54</f>
        <v>0</v>
      </c>
      <c r="X48" s="4">
        <f>IF(V48=0,0,W48/V48)</f>
        <v>0</v>
      </c>
      <c r="Y48" s="3">
        <f>Y50+Y51+Y52+Y53+Y54</f>
        <v>0</v>
      </c>
      <c r="Z48" s="3">
        <f>Z50+Z51+Z52+Z53+Z54</f>
        <v>0</v>
      </c>
      <c r="AA48" s="4">
        <f>IF(Y48=0,0,Z48/Y48)</f>
        <v>0</v>
      </c>
      <c r="AB48" s="3">
        <f>AB50+AB51+AB52+AB53+AB54</f>
        <v>0</v>
      </c>
      <c r="AC48" s="3">
        <f>AC50+AC51+AC52+AC53+AC54</f>
        <v>0</v>
      </c>
      <c r="AD48" s="4">
        <f>IF(AB48=0,0,AC48/AB48)</f>
        <v>0</v>
      </c>
    </row>
    <row r="49" spans="1:30">
      <c r="A49" s="5" t="s">
        <v>29</v>
      </c>
    </row>
    <row r="50" spans="1:30">
      <c r="B50" t="s">
        <v>30</v>
      </c>
      <c r="C50" s="3">
        <f>J50+M50+G50+P50</f>
        <v>0</v>
      </c>
      <c r="D50" s="3">
        <f>G50</f>
        <v>0</v>
      </c>
      <c r="E50" s="3">
        <f>J50+M50+P50</f>
        <v>0</v>
      </c>
      <c r="F50" s="3">
        <v>412.7408750394843</v>
      </c>
      <c r="G50" s="3">
        <v>23.42409718172002</v>
      </c>
      <c r="H50" s="4">
        <f>IF(F50=0,0,G50/F50)</f>
        <v>0</v>
      </c>
      <c r="I50" s="3">
        <v>1026.204299813583</v>
      </c>
      <c r="J50" s="3">
        <v>6.332670651874505</v>
      </c>
      <c r="K50" s="4">
        <f>IF(I50=0,0,J50/I50)</f>
        <v>0</v>
      </c>
      <c r="L50" s="3">
        <v>15352.83741703859</v>
      </c>
      <c r="M50" s="3">
        <v>0.5863035025261343</v>
      </c>
      <c r="N50" s="4">
        <f>IF(L50=0,0,M50/L50)</f>
        <v>0</v>
      </c>
      <c r="O50" s="3">
        <v>503.5634310516943</v>
      </c>
      <c r="P50" s="3">
        <v>0.7976752452995279</v>
      </c>
      <c r="Q50" s="4">
        <f>IF(O50=0,0,P50/O50)</f>
        <v>0</v>
      </c>
      <c r="S50" s="3">
        <v>12734.95565684622</v>
      </c>
      <c r="T50" s="3">
        <v>722.7412087119392</v>
      </c>
      <c r="U50" s="4">
        <f>IF(S50=0,0,T50/S50)</f>
        <v>0</v>
      </c>
      <c r="V50" s="3">
        <v>25286285.18025935</v>
      </c>
      <c r="W50" s="3">
        <v>124252.6863578595</v>
      </c>
      <c r="X50" s="4">
        <f>IF(V50=0,0,W50/V50)</f>
        <v>0</v>
      </c>
      <c r="Y50" s="3">
        <v>2561085.175981381</v>
      </c>
      <c r="Z50" s="3">
        <v>4301.107752270065</v>
      </c>
      <c r="AA50" s="4">
        <f>IF(Y50=0,0,Z50/Y50)</f>
        <v>0</v>
      </c>
      <c r="AB50" s="3">
        <v>172903.801774421</v>
      </c>
      <c r="AC50" s="3">
        <v>6.516925231320783</v>
      </c>
      <c r="AD50" s="4">
        <f>IF(AB50=0,0,AC50/AB50)</f>
        <v>0</v>
      </c>
    </row>
    <row r="51" spans="1:30">
      <c r="B51" t="s">
        <v>31</v>
      </c>
      <c r="C51" s="3">
        <f>J51+M51+G51+P51</f>
        <v>0</v>
      </c>
      <c r="D51" s="3">
        <f>G51</f>
        <v>0</v>
      </c>
      <c r="E51" s="3">
        <f>J51+M51+P51</f>
        <v>0</v>
      </c>
      <c r="F51" s="3">
        <v>422.0532339939548</v>
      </c>
      <c r="G51" s="3">
        <v>32.39383284579316</v>
      </c>
      <c r="H51" s="4">
        <f>IF(F51=0,0,G51/F51)</f>
        <v>0</v>
      </c>
      <c r="I51" s="3">
        <v>971.1037573173985</v>
      </c>
      <c r="J51" s="3">
        <v>8.271399086192949</v>
      </c>
      <c r="K51" s="4">
        <f>IF(I51=0,0,J51/I51)</f>
        <v>0</v>
      </c>
      <c r="L51" s="3">
        <v>15897.14811387405</v>
      </c>
      <c r="M51" s="3">
        <v>2.204028858903795</v>
      </c>
      <c r="N51" s="4">
        <f>IF(L51=0,0,M51/L51)</f>
        <v>0</v>
      </c>
      <c r="O51" s="3">
        <v>427.6878840211459</v>
      </c>
      <c r="P51" s="3">
        <v>0.7658804311889107</v>
      </c>
      <c r="Q51" s="4">
        <f>IF(O51=0,0,P51/O51)</f>
        <v>0</v>
      </c>
      <c r="S51" s="3">
        <v>13022.2847912201</v>
      </c>
      <c r="T51" s="3">
        <v>999.4988376351139</v>
      </c>
      <c r="U51" s="4">
        <f>IF(S51=0,0,T51/S51)</f>
        <v>0</v>
      </c>
      <c r="V51" s="3">
        <v>24859901.01601297</v>
      </c>
      <c r="W51" s="3">
        <v>171453.208100237</v>
      </c>
      <c r="X51" s="4">
        <f>IF(V51=0,0,W51/V51)</f>
        <v>0</v>
      </c>
      <c r="Y51" s="3">
        <v>2216806.226901517</v>
      </c>
      <c r="Z51" s="3">
        <v>5397.532345701009</v>
      </c>
      <c r="AA51" s="4">
        <f>IF(Y51=0,0,Z51/Y51)</f>
        <v>0</v>
      </c>
      <c r="AB51" s="3">
        <v>179047.6330362356</v>
      </c>
      <c r="AC51" s="3">
        <v>24.43846961739473</v>
      </c>
      <c r="AD51" s="4">
        <f>IF(AB51=0,0,AC51/AB51)</f>
        <v>0</v>
      </c>
    </row>
    <row r="52" spans="1:30">
      <c r="B52" t="s">
        <v>32</v>
      </c>
      <c r="C52" s="3">
        <f>J52+M52+G52+P52</f>
        <v>0</v>
      </c>
      <c r="D52" s="3">
        <f>G52</f>
        <v>0</v>
      </c>
      <c r="E52" s="3">
        <f>J52+M52+P52</f>
        <v>0</v>
      </c>
      <c r="F52" s="3">
        <v>382.0743136549376</v>
      </c>
      <c r="G52" s="3">
        <v>45.49713331928587</v>
      </c>
      <c r="H52" s="4">
        <f>IF(F52=0,0,G52/F52)</f>
        <v>0</v>
      </c>
      <c r="I52" s="3">
        <v>795.3294661601195</v>
      </c>
      <c r="J52" s="3">
        <v>9.250773828173406</v>
      </c>
      <c r="K52" s="4">
        <f>IF(I52=0,0,J52/I52)</f>
        <v>0</v>
      </c>
      <c r="L52" s="3">
        <v>14099.36149543928</v>
      </c>
      <c r="M52" s="3">
        <v>2.494237892366946</v>
      </c>
      <c r="N52" s="4">
        <f>IF(L52=0,0,M52/L52)</f>
        <v>0</v>
      </c>
      <c r="O52" s="3">
        <v>410.8336896551561</v>
      </c>
      <c r="P52" s="3">
        <v>0.6260496127711959</v>
      </c>
      <c r="Q52" s="4">
        <f>IF(O52=0,0,P52/O52)</f>
        <v>0</v>
      </c>
      <c r="S52" s="3">
        <v>11788.75109364953</v>
      </c>
      <c r="T52" s="3">
        <v>1403.795965881249</v>
      </c>
      <c r="U52" s="4">
        <f>IF(S52=0,0,T52/S52)</f>
        <v>0</v>
      </c>
      <c r="V52" s="3">
        <v>22936296.40445412</v>
      </c>
      <c r="W52" s="3">
        <v>221609.0820698142</v>
      </c>
      <c r="X52" s="4">
        <f>IF(V52=0,0,W52/V52)</f>
        <v>0</v>
      </c>
      <c r="Y52" s="3">
        <v>2114085.557833027</v>
      </c>
      <c r="Z52" s="3">
        <v>6329.655924388207</v>
      </c>
      <c r="AA52" s="4">
        <f>IF(Y52=0,0,Z52/Y52)</f>
        <v>0</v>
      </c>
      <c r="AB52" s="3">
        <v>158763.7032537926</v>
      </c>
      <c r="AC52" s="3">
        <v>27.69693223305512</v>
      </c>
      <c r="AD52" s="4">
        <f>IF(AB52=0,0,AC52/AB52)</f>
        <v>0</v>
      </c>
    </row>
    <row r="53" spans="1:30">
      <c r="B53" t="s">
        <v>33</v>
      </c>
      <c r="C53" s="3">
        <f>J53+M53+G53+P53</f>
        <v>0</v>
      </c>
      <c r="D53" s="3">
        <f>G53</f>
        <v>0</v>
      </c>
      <c r="E53" s="3">
        <f>J53+M53+P53</f>
        <v>0</v>
      </c>
      <c r="F53" s="3">
        <v>338.6701578384149</v>
      </c>
      <c r="G53" s="3">
        <v>48.79942009843676</v>
      </c>
      <c r="H53" s="4">
        <f>IF(F53=0,0,G53/F53)</f>
        <v>0</v>
      </c>
      <c r="I53" s="3">
        <v>717.4492241565633</v>
      </c>
      <c r="J53" s="3">
        <v>9.464455356970662</v>
      </c>
      <c r="K53" s="4">
        <f>IF(I53=0,0,J53/I53)</f>
        <v>0</v>
      </c>
      <c r="L53" s="3">
        <v>12459.036398116</v>
      </c>
      <c r="M53" s="3">
        <v>2.502058168889955</v>
      </c>
      <c r="N53" s="4">
        <f>IF(L53=0,0,M53/L53)</f>
        <v>0</v>
      </c>
      <c r="O53" s="3">
        <v>388.5202631627004</v>
      </c>
      <c r="P53" s="3">
        <v>1.11741603567038</v>
      </c>
      <c r="Q53" s="4">
        <f>IF(O53=0,0,P53/O53)</f>
        <v>0</v>
      </c>
      <c r="S53" s="3">
        <v>10449.53311676904</v>
      </c>
      <c r="T53" s="3">
        <v>1505.686711968985</v>
      </c>
      <c r="U53" s="4">
        <f>IF(S53=0,0,T53/S53)</f>
        <v>0</v>
      </c>
      <c r="V53" s="3">
        <v>21610890.70116934</v>
      </c>
      <c r="W53" s="3">
        <v>242173.5070957839</v>
      </c>
      <c r="X53" s="4">
        <f>IF(V53=0,0,W53/V53)</f>
        <v>0</v>
      </c>
      <c r="Y53" s="3">
        <v>1925897.452986733</v>
      </c>
      <c r="Z53" s="3">
        <v>5809.098253916716</v>
      </c>
      <c r="AA53" s="4">
        <f>IF(Y53=0,0,Z53/Y53)</f>
        <v>0</v>
      </c>
      <c r="AB53" s="3">
        <v>140314.2879239626</v>
      </c>
      <c r="AC53" s="3">
        <v>27.69693223305512</v>
      </c>
      <c r="AD53" s="4">
        <f>IF(AB53=0,0,AC53/AB53)</f>
        <v>0</v>
      </c>
    </row>
    <row r="54" spans="1:30">
      <c r="B54" t="s">
        <v>34</v>
      </c>
      <c r="C54" s="3">
        <f>J54+M54+G54+P54</f>
        <v>0</v>
      </c>
      <c r="D54" s="3">
        <f>G54</f>
        <v>0</v>
      </c>
      <c r="E54" s="3">
        <f>J54+M54+P54</f>
        <v>0</v>
      </c>
      <c r="F54" s="3">
        <v>297.4602934996698</v>
      </c>
      <c r="G54" s="3">
        <v>50.94083911201337</v>
      </c>
      <c r="H54" s="4">
        <f>IF(F54=0,0,G54/F54)</f>
        <v>0</v>
      </c>
      <c r="I54" s="3">
        <v>610.1638407046684</v>
      </c>
      <c r="J54" s="3">
        <v>9.162136177603854</v>
      </c>
      <c r="K54" s="4">
        <f>IF(I54=0,0,J54/I54)</f>
        <v>0</v>
      </c>
      <c r="L54" s="3">
        <v>9475.405513778041</v>
      </c>
      <c r="M54" s="3">
        <v>2.647848884297535</v>
      </c>
      <c r="N54" s="4">
        <f>IF(L54=0,0,M54/L54)</f>
        <v>0</v>
      </c>
      <c r="O54" s="3">
        <v>285.742923347472</v>
      </c>
      <c r="P54" s="3">
        <v>0.7667368651648867</v>
      </c>
      <c r="Q54" s="4">
        <f>IF(O54=0,0,P54/O54)</f>
        <v>0</v>
      </c>
      <c r="S54" s="3">
        <v>9178.019131321482</v>
      </c>
      <c r="T54" s="3">
        <v>1571.759344532979</v>
      </c>
      <c r="U54" s="4">
        <f>IF(S54=0,0,T54/S54)</f>
        <v>0</v>
      </c>
      <c r="V54" s="3">
        <v>20059051.99524085</v>
      </c>
      <c r="W54" s="3">
        <v>259185.2599577568</v>
      </c>
      <c r="X54" s="4">
        <f>IF(V54=0,0,W54/V54)</f>
        <v>0</v>
      </c>
      <c r="Y54" s="3">
        <v>1405792.016991551</v>
      </c>
      <c r="Z54" s="3">
        <v>5319.448695129715</v>
      </c>
      <c r="AA54" s="4">
        <f>IF(Y54=0,0,Z54/Y54)</f>
        <v>0</v>
      </c>
      <c r="AB54" s="3">
        <v>106730.9429757299</v>
      </c>
      <c r="AC54" s="3">
        <v>29.32616354089987</v>
      </c>
      <c r="AD54" s="4">
        <f>IF(AB54=0,0,AC54/AB54)</f>
        <v>0</v>
      </c>
    </row>
    <row r="56" spans="1:30">
      <c r="A56" s="2" t="s">
        <v>40</v>
      </c>
    </row>
    <row r="57" spans="1:30">
      <c r="B57" t="s">
        <v>28</v>
      </c>
      <c r="C57" s="3">
        <f>C59+C60+C61+C62+C63</f>
        <v>0</v>
      </c>
      <c r="D57" s="3">
        <f>D59+D60+D61+D62+D63</f>
        <v>0</v>
      </c>
      <c r="E57" s="3">
        <f>E59+E60+E61+E62+E63</f>
        <v>0</v>
      </c>
      <c r="F57" s="3">
        <f>F59+F60+F61+F62+F63</f>
        <v>0</v>
      </c>
      <c r="G57" s="3">
        <f>G59+G60+G61+G62+G63</f>
        <v>0</v>
      </c>
      <c r="H57" s="4">
        <f>IF(F57=0,0,G57/F57)</f>
        <v>0</v>
      </c>
      <c r="I57" s="3">
        <f>I59+I60+I61+I62+I63</f>
        <v>0</v>
      </c>
      <c r="J57" s="6">
        <f>J59+J60+J61+J62+J63</f>
        <v>0</v>
      </c>
      <c r="K57" s="7">
        <f>IF(I57=0,0,J57/I57)</f>
        <v>0</v>
      </c>
      <c r="L57" s="3">
        <f>L59+L60+L61+L62+L63</f>
        <v>0</v>
      </c>
      <c r="M57" s="3">
        <f>M59+M60+M61+M62+M63</f>
        <v>0</v>
      </c>
      <c r="N57" s="4">
        <f>IF(L57=0,0,M57/L57)</f>
        <v>0</v>
      </c>
      <c r="O57" s="3">
        <f>O59+O60+O61+O62+O63</f>
        <v>0</v>
      </c>
      <c r="P57" s="3">
        <f>P59+P60+P61+P62+P63</f>
        <v>0</v>
      </c>
      <c r="Q57" s="4">
        <f>IF(O57=0,0,P57/O57)</f>
        <v>0</v>
      </c>
      <c r="S57" s="3">
        <f>S59+S60+S61+S62+S63</f>
        <v>0</v>
      </c>
      <c r="T57" s="3">
        <f>T59+T60+T61+T62+T63</f>
        <v>0</v>
      </c>
      <c r="U57" s="4">
        <f>IF(S57=0,0,T57/S57)</f>
        <v>0</v>
      </c>
      <c r="V57" s="3">
        <f>V59+V60+V61+V62+V63</f>
        <v>0</v>
      </c>
      <c r="W57" s="6">
        <f>W59+W60+W61+W62+W63</f>
        <v>0</v>
      </c>
      <c r="X57" s="7">
        <f>IF(V57=0,0,W57/V57)</f>
        <v>0</v>
      </c>
      <c r="Y57" s="3">
        <f>Y59+Y60+Y61+Y62+Y63</f>
        <v>0</v>
      </c>
      <c r="Z57" s="3">
        <f>Z59+Z60+Z61+Z62+Z63</f>
        <v>0</v>
      </c>
      <c r="AA57" s="4">
        <f>IF(Y57=0,0,Z57/Y57)</f>
        <v>0</v>
      </c>
      <c r="AB57" s="3">
        <f>AB59+AB60+AB61+AB62+AB63</f>
        <v>0</v>
      </c>
      <c r="AC57" s="3">
        <f>AC59+AC60+AC61+AC62+AC63</f>
        <v>0</v>
      </c>
      <c r="AD57" s="4">
        <f>IF(AB57=0,0,AC57/AB57)</f>
        <v>0</v>
      </c>
    </row>
    <row r="58" spans="1:30">
      <c r="A58" s="5" t="s">
        <v>29</v>
      </c>
    </row>
    <row r="59" spans="1:30">
      <c r="B59" t="s">
        <v>30</v>
      </c>
      <c r="C59" s="3">
        <f>J59+M59+G59+P59</f>
        <v>0</v>
      </c>
      <c r="D59" s="3">
        <f>G59+J59</f>
        <v>0</v>
      </c>
      <c r="E59" s="3">
        <f>M59+P59</f>
        <v>0</v>
      </c>
      <c r="F59" s="3">
        <v>155.3366697637048</v>
      </c>
      <c r="G59" s="3">
        <v>51.92733117123122</v>
      </c>
      <c r="H59" s="4">
        <f>IF(F59=0,0,G59/F59)</f>
        <v>0</v>
      </c>
      <c r="I59" s="3">
        <v>382.3073643284127</v>
      </c>
      <c r="J59" s="6">
        <v>7.051351267046877</v>
      </c>
      <c r="K59" s="7">
        <f>IF(I59=0,0,J59/I59)</f>
        <v>0</v>
      </c>
      <c r="L59" s="3">
        <v>0</v>
      </c>
      <c r="M59" s="3">
        <v>0</v>
      </c>
      <c r="N59" s="4">
        <f>IF(L59=0,0,M59/L59)</f>
        <v>0</v>
      </c>
      <c r="O59" s="3">
        <v>0</v>
      </c>
      <c r="P59" s="3">
        <v>0</v>
      </c>
      <c r="Q59" s="4">
        <f>IF(O59=0,0,P59/O59)</f>
        <v>0</v>
      </c>
      <c r="S59" s="3">
        <v>2198.402026122217</v>
      </c>
      <c r="T59" s="3">
        <v>734.9014899804904</v>
      </c>
      <c r="U59" s="4">
        <f>IF(S59=0,0,T59/S59)</f>
        <v>0</v>
      </c>
      <c r="V59" s="3">
        <v>9070418.669545408</v>
      </c>
      <c r="W59" s="6">
        <v>167025.0117590204</v>
      </c>
      <c r="X59" s="7">
        <f>IF(V59=0,0,W59/V59)</f>
        <v>0</v>
      </c>
      <c r="Y59" s="3">
        <v>0</v>
      </c>
      <c r="Z59" s="3">
        <v>0</v>
      </c>
      <c r="AA59" s="4">
        <f>IF(Y59=0,0,Z59/Y59)</f>
        <v>0</v>
      </c>
      <c r="AB59" s="3">
        <v>0</v>
      </c>
      <c r="AC59" s="3">
        <v>0</v>
      </c>
      <c r="AD59" s="4">
        <f>IF(AB59=0,0,AC59/AB59)</f>
        <v>0</v>
      </c>
    </row>
    <row r="60" spans="1:30">
      <c r="B60" t="s">
        <v>31</v>
      </c>
      <c r="C60" s="3">
        <f>J60+M60+G60+P60</f>
        <v>0</v>
      </c>
      <c r="D60" s="3">
        <f>G60+J60</f>
        <v>0</v>
      </c>
      <c r="E60" s="3">
        <f>M60+P60</f>
        <v>0</v>
      </c>
      <c r="F60" s="3">
        <v>147.7607036391234</v>
      </c>
      <c r="G60" s="3">
        <v>52.79180338461813</v>
      </c>
      <c r="H60" s="4">
        <f>IF(F60=0,0,G60/F60)</f>
        <v>0</v>
      </c>
      <c r="I60" s="3">
        <v>245.090682899663</v>
      </c>
      <c r="J60" s="6">
        <v>6.16437173703697</v>
      </c>
      <c r="K60" s="7">
        <f>IF(I60=0,0,J60/I60)</f>
        <v>0</v>
      </c>
      <c r="L60" s="3">
        <v>0</v>
      </c>
      <c r="M60" s="3">
        <v>0</v>
      </c>
      <c r="N60" s="4">
        <f>IF(L60=0,0,M60/L60)</f>
        <v>0</v>
      </c>
      <c r="O60" s="3">
        <v>0</v>
      </c>
      <c r="P60" s="3">
        <v>0</v>
      </c>
      <c r="Q60" s="4">
        <f>IF(O60=0,0,P60/O60)</f>
        <v>0</v>
      </c>
      <c r="S60" s="3">
        <v>2091.183174942721</v>
      </c>
      <c r="T60" s="3">
        <v>747.1359319079959</v>
      </c>
      <c r="U60" s="4">
        <f>IF(S60=0,0,T60/S60)</f>
        <v>0</v>
      </c>
      <c r="V60" s="3">
        <v>7100767.677214347</v>
      </c>
      <c r="W60" s="6">
        <v>194405.0614645267</v>
      </c>
      <c r="X60" s="7">
        <f>IF(V60=0,0,W60/V60)</f>
        <v>0</v>
      </c>
      <c r="Y60" s="3">
        <v>0</v>
      </c>
      <c r="Z60" s="3">
        <v>0</v>
      </c>
      <c r="AA60" s="4">
        <f>IF(Y60=0,0,Z60/Y60)</f>
        <v>0</v>
      </c>
      <c r="AB60" s="3">
        <v>0</v>
      </c>
      <c r="AC60" s="3">
        <v>0</v>
      </c>
      <c r="AD60" s="4">
        <f>IF(AB60=0,0,AC60/AB60)</f>
        <v>0</v>
      </c>
    </row>
    <row r="61" spans="1:30">
      <c r="B61" t="s">
        <v>32</v>
      </c>
      <c r="C61" s="3">
        <f>J61+M61+G61+P61</f>
        <v>0</v>
      </c>
      <c r="D61" s="3">
        <f>G61+J61</f>
        <v>0</v>
      </c>
      <c r="E61" s="3">
        <f>M61+P61</f>
        <v>0</v>
      </c>
      <c r="F61" s="3">
        <v>134.4880808162132</v>
      </c>
      <c r="G61" s="3">
        <v>52.90475626033849</v>
      </c>
      <c r="H61" s="4">
        <f>IF(F61=0,0,G61/F61)</f>
        <v>0</v>
      </c>
      <c r="I61" s="3">
        <v>200.4130880433794</v>
      </c>
      <c r="J61" s="6">
        <v>6.801510224238125</v>
      </c>
      <c r="K61" s="7">
        <f>IF(I61=0,0,J61/I61)</f>
        <v>0</v>
      </c>
      <c r="L61" s="3">
        <v>0</v>
      </c>
      <c r="M61" s="3">
        <v>0</v>
      </c>
      <c r="N61" s="4">
        <f>IF(L61=0,0,M61/L61)</f>
        <v>0</v>
      </c>
      <c r="O61" s="3">
        <v>0</v>
      </c>
      <c r="P61" s="3">
        <v>0</v>
      </c>
      <c r="Q61" s="4">
        <f>IF(O61=0,0,P61/O61)</f>
        <v>0</v>
      </c>
      <c r="S61" s="3">
        <v>1903.342396907326</v>
      </c>
      <c r="T61" s="3">
        <v>748.7344973415004</v>
      </c>
      <c r="U61" s="4">
        <f>IF(S61=0,0,T61/S61)</f>
        <v>0</v>
      </c>
      <c r="V61" s="3">
        <v>6292834.208210533</v>
      </c>
      <c r="W61" s="6">
        <v>227563.8985600341</v>
      </c>
      <c r="X61" s="7">
        <f>IF(V61=0,0,W61/V61)</f>
        <v>0</v>
      </c>
      <c r="Y61" s="3">
        <v>0</v>
      </c>
      <c r="Z61" s="3">
        <v>0</v>
      </c>
      <c r="AA61" s="4">
        <f>IF(Y61=0,0,Z61/Y61)</f>
        <v>0</v>
      </c>
      <c r="AB61" s="3">
        <v>0</v>
      </c>
      <c r="AC61" s="3">
        <v>0</v>
      </c>
      <c r="AD61" s="4">
        <f>IF(AB61=0,0,AC61/AB61)</f>
        <v>0</v>
      </c>
    </row>
    <row r="62" spans="1:30">
      <c r="B62" t="s">
        <v>33</v>
      </c>
      <c r="C62" s="3">
        <f>J62+M62+G62+P62</f>
        <v>0</v>
      </c>
      <c r="D62" s="3">
        <f>G62+J62</f>
        <v>0</v>
      </c>
      <c r="E62" s="3">
        <f>M62+P62</f>
        <v>0</v>
      </c>
      <c r="F62" s="3">
        <v>118.5139506930648</v>
      </c>
      <c r="G62" s="3">
        <v>23.699202858531</v>
      </c>
      <c r="H62" s="4">
        <f>IF(F62=0,0,G62/F62)</f>
        <v>0</v>
      </c>
      <c r="I62" s="3">
        <v>193.9015574705648</v>
      </c>
      <c r="J62" s="6">
        <v>2.625191036125732</v>
      </c>
      <c r="K62" s="7">
        <f>IF(I62=0,0,J62/I62)</f>
        <v>0</v>
      </c>
      <c r="L62" s="3">
        <v>0</v>
      </c>
      <c r="M62" s="3">
        <v>0</v>
      </c>
      <c r="N62" s="4">
        <f>IF(L62=0,0,M62/L62)</f>
        <v>0</v>
      </c>
      <c r="O62" s="3">
        <v>0</v>
      </c>
      <c r="P62" s="3">
        <v>0</v>
      </c>
      <c r="Q62" s="4">
        <f>IF(O62=0,0,P62/O62)</f>
        <v>0</v>
      </c>
      <c r="S62" s="3">
        <v>1677.268540156761</v>
      </c>
      <c r="T62" s="3">
        <v>335.4029390544426</v>
      </c>
      <c r="U62" s="4">
        <f>IF(S62=0,0,T62/S62)</f>
        <v>0</v>
      </c>
      <c r="V62" s="3">
        <v>6053045.584847068</v>
      </c>
      <c r="W62" s="6">
        <v>93146.59233288839</v>
      </c>
      <c r="X62" s="7">
        <f>IF(V62=0,0,W62/V62)</f>
        <v>0</v>
      </c>
      <c r="Y62" s="3">
        <v>0</v>
      </c>
      <c r="Z62" s="3">
        <v>0</v>
      </c>
      <c r="AA62" s="4">
        <f>IF(Y62=0,0,Z62/Y62)</f>
        <v>0</v>
      </c>
      <c r="AB62" s="3">
        <v>0</v>
      </c>
      <c r="AC62" s="3">
        <v>0</v>
      </c>
      <c r="AD62" s="4">
        <f>IF(AB62=0,0,AC62/AB62)</f>
        <v>0</v>
      </c>
    </row>
    <row r="63" spans="1:30">
      <c r="B63" t="s">
        <v>34</v>
      </c>
      <c r="C63" s="3">
        <f>J63+M63+G63+P63</f>
        <v>0</v>
      </c>
      <c r="D63" s="3">
        <f>G63+J63</f>
        <v>0</v>
      </c>
      <c r="E63" s="3">
        <f>M63+P63</f>
        <v>0</v>
      </c>
      <c r="F63" s="3">
        <v>93.49564395607489</v>
      </c>
      <c r="G63" s="3">
        <v>13.70139980823128</v>
      </c>
      <c r="H63" s="4">
        <f>IF(F63=0,0,G63/F63)</f>
        <v>0</v>
      </c>
      <c r="I63" s="3">
        <v>136.6145524202559</v>
      </c>
      <c r="J63" s="6">
        <v>1.998294804040721</v>
      </c>
      <c r="K63" s="7">
        <f>IF(I63=0,0,J63/I63)</f>
        <v>0</v>
      </c>
      <c r="L63" s="3">
        <v>0</v>
      </c>
      <c r="M63" s="3">
        <v>0</v>
      </c>
      <c r="N63" s="4">
        <f>IF(L63=0,0,M63/L63)</f>
        <v>0</v>
      </c>
      <c r="O63" s="3">
        <v>0</v>
      </c>
      <c r="P63" s="3">
        <v>0</v>
      </c>
      <c r="Q63" s="4">
        <f>IF(O63=0,0,P63/O63)</f>
        <v>0</v>
      </c>
      <c r="S63" s="3">
        <v>1323.196985098892</v>
      </c>
      <c r="T63" s="3">
        <v>193.909043788218</v>
      </c>
      <c r="U63" s="4">
        <f>IF(S63=0,0,T63/S63)</f>
        <v>0</v>
      </c>
      <c r="V63" s="3">
        <v>4890905.466101354</v>
      </c>
      <c r="W63" s="6">
        <v>78240.83772586659</v>
      </c>
      <c r="X63" s="7">
        <f>IF(V63=0,0,W63/V63)</f>
        <v>0</v>
      </c>
      <c r="Y63" s="3">
        <v>0</v>
      </c>
      <c r="Z63" s="3">
        <v>0</v>
      </c>
      <c r="AA63" s="4">
        <f>IF(Y63=0,0,Z63/Y63)</f>
        <v>0</v>
      </c>
      <c r="AB63" s="3">
        <v>0</v>
      </c>
      <c r="AC63" s="3">
        <v>0</v>
      </c>
      <c r="AD63" s="4">
        <f>IF(AB63=0,0,AC63/AB63)</f>
        <v>0</v>
      </c>
    </row>
    <row r="65" spans="1:30">
      <c r="A65" s="2" t="s">
        <v>41</v>
      </c>
    </row>
    <row r="66" spans="1:30">
      <c r="B66" t="s">
        <v>28</v>
      </c>
      <c r="C66" s="3">
        <f>C68+C69+C70+C71+C72</f>
        <v>0</v>
      </c>
      <c r="D66" s="3">
        <f>D68+D69+D70+D71+D72</f>
        <v>0</v>
      </c>
      <c r="E66" s="3">
        <f>E68+E69+E70+E71+E72</f>
        <v>0</v>
      </c>
      <c r="F66" s="3">
        <f>F68+F69+F70+F71+F72</f>
        <v>0</v>
      </c>
      <c r="G66" s="3">
        <f>G68+G69+G70+G71+G72</f>
        <v>0</v>
      </c>
      <c r="H66" s="4">
        <f>IF(F66=0,0,G66/F66)</f>
        <v>0</v>
      </c>
      <c r="I66" s="3">
        <f>I68+I69+I70+I71+I72</f>
        <v>0</v>
      </c>
      <c r="J66" s="6">
        <f>J68+J69+J70+J71+J72</f>
        <v>0</v>
      </c>
      <c r="K66" s="7">
        <f>IF(I66=0,0,J66/I66)</f>
        <v>0</v>
      </c>
      <c r="L66" s="3">
        <f>L68+L69+L70+L71+L72</f>
        <v>0</v>
      </c>
      <c r="M66" s="3">
        <f>M68+M69+M70+M71+M72</f>
        <v>0</v>
      </c>
      <c r="N66" s="4">
        <f>IF(L66=0,0,M66/L66)</f>
        <v>0</v>
      </c>
      <c r="O66" s="3">
        <f>O68+O69+O70+O71+O72</f>
        <v>0</v>
      </c>
      <c r="P66" s="3">
        <f>P68+P69+P70+P71+P72</f>
        <v>0</v>
      </c>
      <c r="Q66" s="4">
        <f>IF(O66=0,0,P66/O66)</f>
        <v>0</v>
      </c>
      <c r="S66" s="3">
        <f>S68+S69+S70+S71+S72</f>
        <v>0</v>
      </c>
      <c r="T66" s="3">
        <f>T68+T69+T70+T71+T72</f>
        <v>0</v>
      </c>
      <c r="U66" s="4">
        <f>IF(S66=0,0,T66/S66)</f>
        <v>0</v>
      </c>
      <c r="V66" s="3">
        <f>V68+V69+V70+V71+V72</f>
        <v>0</v>
      </c>
      <c r="W66" s="6">
        <f>W68+W69+W70+W71+W72</f>
        <v>0</v>
      </c>
      <c r="X66" s="7">
        <f>IF(V66=0,0,W66/V66)</f>
        <v>0</v>
      </c>
      <c r="Y66" s="3">
        <f>Y68+Y69+Y70+Y71+Y72</f>
        <v>0</v>
      </c>
      <c r="Z66" s="3">
        <f>Z68+Z69+Z70+Z71+Z72</f>
        <v>0</v>
      </c>
      <c r="AA66" s="4">
        <f>IF(Y66=0,0,Z66/Y66)</f>
        <v>0</v>
      </c>
      <c r="AB66" s="3">
        <f>AB68+AB69+AB70+AB71+AB72</f>
        <v>0</v>
      </c>
      <c r="AC66" s="3">
        <f>AC68+AC69+AC70+AC71+AC72</f>
        <v>0</v>
      </c>
      <c r="AD66" s="4">
        <f>IF(AB66=0,0,AC66/AB66)</f>
        <v>0</v>
      </c>
    </row>
    <row r="67" spans="1:30">
      <c r="A67" s="5" t="s">
        <v>29</v>
      </c>
    </row>
    <row r="68" spans="1:30">
      <c r="B68" t="s">
        <v>30</v>
      </c>
      <c r="C68" s="3">
        <f>J68+M68+G68+P68</f>
        <v>0</v>
      </c>
      <c r="D68" s="3">
        <f>G68+J68</f>
        <v>0</v>
      </c>
      <c r="E68" s="3">
        <f>M68+P68</f>
        <v>0</v>
      </c>
      <c r="F68" s="3">
        <v>155.3366697637048</v>
      </c>
      <c r="G68" s="3">
        <v>98.78915154595843</v>
      </c>
      <c r="H68" s="4">
        <f>IF(F68=0,0,G68/F68)</f>
        <v>0</v>
      </c>
      <c r="I68" s="3">
        <v>382.3073643284127</v>
      </c>
      <c r="J68" s="6">
        <v>25.04314403465664</v>
      </c>
      <c r="K68" s="7">
        <f>IF(I68=0,0,J68/I68)</f>
        <v>0</v>
      </c>
      <c r="L68" s="3">
        <v>0</v>
      </c>
      <c r="M68" s="3">
        <v>0</v>
      </c>
      <c r="N68" s="4">
        <f>IF(L68=0,0,M68/L68)</f>
        <v>0</v>
      </c>
      <c r="O68" s="3">
        <v>0</v>
      </c>
      <c r="P68" s="3">
        <v>0</v>
      </c>
      <c r="Q68" s="4">
        <f>IF(O68=0,0,P68/O68)</f>
        <v>0</v>
      </c>
      <c r="S68" s="3">
        <v>2198.402026122217</v>
      </c>
      <c r="T68" s="3">
        <v>1398.113344697664</v>
      </c>
      <c r="U68" s="4">
        <f>IF(S68=0,0,T68/S68)</f>
        <v>0</v>
      </c>
      <c r="V68" s="3">
        <v>9070418.669545408</v>
      </c>
      <c r="W68" s="6">
        <v>624818.6004041024</v>
      </c>
      <c r="X68" s="7">
        <f>IF(V68=0,0,W68/V68)</f>
        <v>0</v>
      </c>
      <c r="Y68" s="3">
        <v>0</v>
      </c>
      <c r="Z68" s="3">
        <v>0</v>
      </c>
      <c r="AA68" s="4">
        <f>IF(Y68=0,0,Z68/Y68)</f>
        <v>0</v>
      </c>
      <c r="AB68" s="3">
        <v>0</v>
      </c>
      <c r="AC68" s="3">
        <v>0</v>
      </c>
      <c r="AD68" s="4">
        <f>IF(AB68=0,0,AC68/AB68)</f>
        <v>0</v>
      </c>
    </row>
    <row r="69" spans="1:30">
      <c r="B69" t="s">
        <v>31</v>
      </c>
      <c r="C69" s="3">
        <f>J69+M69+G69+P69</f>
        <v>0</v>
      </c>
      <c r="D69" s="3">
        <f>G69+J69</f>
        <v>0</v>
      </c>
      <c r="E69" s="3">
        <f>M69+P69</f>
        <v>0</v>
      </c>
      <c r="F69" s="3">
        <v>147.7607036391234</v>
      </c>
      <c r="G69" s="3">
        <v>97.13343978236543</v>
      </c>
      <c r="H69" s="4">
        <f>IF(F69=0,0,G69/F69)</f>
        <v>0</v>
      </c>
      <c r="I69" s="3">
        <v>245.090682899663</v>
      </c>
      <c r="J69" s="6">
        <v>20.88002309512856</v>
      </c>
      <c r="K69" s="7">
        <f>IF(I69=0,0,J69/I69)</f>
        <v>0</v>
      </c>
      <c r="L69" s="3">
        <v>0</v>
      </c>
      <c r="M69" s="3">
        <v>0</v>
      </c>
      <c r="N69" s="4">
        <f>IF(L69=0,0,M69/L69)</f>
        <v>0</v>
      </c>
      <c r="O69" s="3">
        <v>0</v>
      </c>
      <c r="P69" s="3">
        <v>0</v>
      </c>
      <c r="Q69" s="4">
        <f>IF(O69=0,0,P69/O69)</f>
        <v>0</v>
      </c>
      <c r="S69" s="3">
        <v>2091.183174942721</v>
      </c>
      <c r="T69" s="3">
        <v>1374.680886017467</v>
      </c>
      <c r="U69" s="4">
        <f>IF(S69=0,0,T69/S69)</f>
        <v>0</v>
      </c>
      <c r="V69" s="3">
        <v>7100767.677214347</v>
      </c>
      <c r="W69" s="6">
        <v>693698.8487645769</v>
      </c>
      <c r="X69" s="7">
        <f>IF(V69=0,0,W69/V69)</f>
        <v>0</v>
      </c>
      <c r="Y69" s="3">
        <v>0</v>
      </c>
      <c r="Z69" s="3">
        <v>0</v>
      </c>
      <c r="AA69" s="4">
        <f>IF(Y69=0,0,Z69/Y69)</f>
        <v>0</v>
      </c>
      <c r="AB69" s="3">
        <v>0</v>
      </c>
      <c r="AC69" s="3">
        <v>0</v>
      </c>
      <c r="AD69" s="4">
        <f>IF(AB69=0,0,AC69/AB69)</f>
        <v>0</v>
      </c>
    </row>
    <row r="70" spans="1:30">
      <c r="B70" t="s">
        <v>32</v>
      </c>
      <c r="C70" s="3">
        <f>J70+M70+G70+P70</f>
        <v>0</v>
      </c>
      <c r="D70" s="3">
        <f>G70+J70</f>
        <v>0</v>
      </c>
      <c r="E70" s="3">
        <f>M70+P70</f>
        <v>0</v>
      </c>
      <c r="F70" s="3">
        <v>134.4880808162132</v>
      </c>
      <c r="G70" s="3">
        <v>92.60233179008993</v>
      </c>
      <c r="H70" s="4">
        <f>IF(F70=0,0,G70/F70)</f>
        <v>0</v>
      </c>
      <c r="I70" s="3">
        <v>200.4130880433794</v>
      </c>
      <c r="J70" s="6">
        <v>22.29461296479261</v>
      </c>
      <c r="K70" s="7">
        <f>IF(I70=0,0,J70/I70)</f>
        <v>0</v>
      </c>
      <c r="L70" s="3">
        <v>0</v>
      </c>
      <c r="M70" s="3">
        <v>0</v>
      </c>
      <c r="N70" s="4">
        <f>IF(L70=0,0,M70/L70)</f>
        <v>0</v>
      </c>
      <c r="O70" s="3">
        <v>0</v>
      </c>
      <c r="P70" s="3">
        <v>0</v>
      </c>
      <c r="Q70" s="4">
        <f>IF(O70=0,0,P70/O70)</f>
        <v>0</v>
      </c>
      <c r="S70" s="3">
        <v>1903.342396907326</v>
      </c>
      <c r="T70" s="3">
        <v>1310.554385778021</v>
      </c>
      <c r="U70" s="4">
        <f>IF(S70=0,0,T70/S70)</f>
        <v>0</v>
      </c>
      <c r="V70" s="3">
        <v>6292834.208210533</v>
      </c>
      <c r="W70" s="6">
        <v>788440.6003954103</v>
      </c>
      <c r="X70" s="7">
        <f>IF(V70=0,0,W70/V70)</f>
        <v>0</v>
      </c>
      <c r="Y70" s="3">
        <v>0</v>
      </c>
      <c r="Z70" s="3">
        <v>0</v>
      </c>
      <c r="AA70" s="4">
        <f>IF(Y70=0,0,Z70/Y70)</f>
        <v>0</v>
      </c>
      <c r="AB70" s="3">
        <v>0</v>
      </c>
      <c r="AC70" s="3">
        <v>0</v>
      </c>
      <c r="AD70" s="4">
        <f>IF(AB70=0,0,AC70/AB70)</f>
        <v>0</v>
      </c>
    </row>
    <row r="71" spans="1:30">
      <c r="B71" t="s">
        <v>33</v>
      </c>
      <c r="C71" s="3">
        <f>J71+M71+G71+P71</f>
        <v>0</v>
      </c>
      <c r="D71" s="3">
        <f>G71+J71</f>
        <v>0</v>
      </c>
      <c r="E71" s="3">
        <f>M71+P71</f>
        <v>0</v>
      </c>
      <c r="F71" s="3">
        <v>118.5139506930648</v>
      </c>
      <c r="G71" s="3">
        <v>56.58851159007293</v>
      </c>
      <c r="H71" s="4">
        <f>IF(F71=0,0,G71/F71)</f>
        <v>0</v>
      </c>
      <c r="I71" s="3">
        <v>193.9015574705648</v>
      </c>
      <c r="J71" s="6">
        <v>9.68772199998633</v>
      </c>
      <c r="K71" s="7">
        <f>IF(I71=0,0,J71/I71)</f>
        <v>0</v>
      </c>
      <c r="L71" s="3">
        <v>0</v>
      </c>
      <c r="M71" s="3">
        <v>0</v>
      </c>
      <c r="N71" s="4">
        <f>IF(L71=0,0,M71/L71)</f>
        <v>0</v>
      </c>
      <c r="O71" s="3">
        <v>0</v>
      </c>
      <c r="P71" s="3">
        <v>0</v>
      </c>
      <c r="Q71" s="4">
        <f>IF(O71=0,0,P71/O71)</f>
        <v>0</v>
      </c>
      <c r="S71" s="3">
        <v>1677.268540156761</v>
      </c>
      <c r="T71" s="3">
        <v>800.868840075549</v>
      </c>
      <c r="U71" s="4">
        <f>IF(S71=0,0,T71/S71)</f>
        <v>0</v>
      </c>
      <c r="V71" s="3">
        <v>6053045.584847068</v>
      </c>
      <c r="W71" s="6">
        <v>352143.6781484308</v>
      </c>
      <c r="X71" s="7">
        <f>IF(V71=0,0,W71/V71)</f>
        <v>0</v>
      </c>
      <c r="Y71" s="3">
        <v>0</v>
      </c>
      <c r="Z71" s="3">
        <v>0</v>
      </c>
      <c r="AA71" s="4">
        <f>IF(Y71=0,0,Z71/Y71)</f>
        <v>0</v>
      </c>
      <c r="AB71" s="3">
        <v>0</v>
      </c>
      <c r="AC71" s="3">
        <v>0</v>
      </c>
      <c r="AD71" s="4">
        <f>IF(AB71=0,0,AC71/AB71)</f>
        <v>0</v>
      </c>
    </row>
    <row r="72" spans="1:30">
      <c r="B72" t="s">
        <v>34</v>
      </c>
      <c r="C72" s="3">
        <f>J72+M72+G72+P72</f>
        <v>0</v>
      </c>
      <c r="D72" s="3">
        <f>G72+J72</f>
        <v>0</v>
      </c>
      <c r="E72" s="3">
        <f>M72+P72</f>
        <v>0</v>
      </c>
      <c r="F72" s="3">
        <v>93.49564395607489</v>
      </c>
      <c r="G72" s="3">
        <v>36.54054007239058</v>
      </c>
      <c r="H72" s="4">
        <f>IF(F72=0,0,G72/F72)</f>
        <v>0</v>
      </c>
      <c r="I72" s="3">
        <v>136.6145524202559</v>
      </c>
      <c r="J72" s="6">
        <v>7.506574384869266</v>
      </c>
      <c r="K72" s="7">
        <f>IF(I72=0,0,J72/I72)</f>
        <v>0</v>
      </c>
      <c r="L72" s="3">
        <v>0</v>
      </c>
      <c r="M72" s="3">
        <v>0</v>
      </c>
      <c r="N72" s="4">
        <f>IF(L72=0,0,M72/L72)</f>
        <v>0</v>
      </c>
      <c r="O72" s="3">
        <v>0</v>
      </c>
      <c r="P72" s="3">
        <v>0</v>
      </c>
      <c r="Q72" s="4">
        <f>IF(O72=0,0,P72/O72)</f>
        <v>0</v>
      </c>
      <c r="S72" s="3">
        <v>1323.196985098892</v>
      </c>
      <c r="T72" s="3">
        <v>517.1399480427974</v>
      </c>
      <c r="U72" s="4">
        <f>IF(S72=0,0,T72/S72)</f>
        <v>0</v>
      </c>
      <c r="V72" s="3">
        <v>4890905.466101354</v>
      </c>
      <c r="W72" s="6">
        <v>298724.0740778223</v>
      </c>
      <c r="X72" s="7">
        <f>IF(V72=0,0,W72/V72)</f>
        <v>0</v>
      </c>
      <c r="Y72" s="3">
        <v>0</v>
      </c>
      <c r="Z72" s="3">
        <v>0</v>
      </c>
      <c r="AA72" s="4">
        <f>IF(Y72=0,0,Z72/Y72)</f>
        <v>0</v>
      </c>
      <c r="AB72" s="3">
        <v>0</v>
      </c>
      <c r="AC72" s="3">
        <v>0</v>
      </c>
      <c r="AD72" s="4">
        <f>IF(AB72=0,0,AC72/AB72)</f>
        <v>0</v>
      </c>
    </row>
    <row r="74" spans="1:30">
      <c r="A74" s="2" t="s">
        <v>42</v>
      </c>
    </row>
    <row r="75" spans="1:30">
      <c r="B75" t="s">
        <v>28</v>
      </c>
      <c r="C75" s="3">
        <f>C77+C78+C79+C80+C81</f>
        <v>0</v>
      </c>
      <c r="D75" s="3">
        <f>D77+D78+D79+D80+D81</f>
        <v>0</v>
      </c>
      <c r="E75" s="3">
        <f>E77+E78+E79+E80+E81</f>
        <v>0</v>
      </c>
      <c r="F75" s="3">
        <f>F77+F78+F79+F80+F81</f>
        <v>0</v>
      </c>
      <c r="G75" s="3">
        <f>G77+G78+G79+G80+G81</f>
        <v>0</v>
      </c>
      <c r="H75" s="4">
        <f>IF(F75=0,0,G75/F75)</f>
        <v>0</v>
      </c>
      <c r="I75" s="3">
        <f>I77+I78+I79+I80+I81</f>
        <v>0</v>
      </c>
      <c r="J75" s="6">
        <f>J77+J78+J79+J80+J81</f>
        <v>0</v>
      </c>
      <c r="K75" s="7">
        <f>IF(I75=0,0,J75/I75)</f>
        <v>0</v>
      </c>
      <c r="L75" s="3">
        <f>L77+L78+L79+L80+L81</f>
        <v>0</v>
      </c>
      <c r="M75" s="3">
        <f>M77+M78+M79+M80+M81</f>
        <v>0</v>
      </c>
      <c r="N75" s="4">
        <f>IF(L75=0,0,M75/L75)</f>
        <v>0</v>
      </c>
      <c r="O75" s="3">
        <f>O77+O78+O79+O80+O81</f>
        <v>0</v>
      </c>
      <c r="P75" s="3">
        <f>P77+P78+P79+P80+P81</f>
        <v>0</v>
      </c>
      <c r="Q75" s="4">
        <f>IF(O75=0,0,P75/O75)</f>
        <v>0</v>
      </c>
      <c r="S75" s="3">
        <f>S77+S78+S79+S80+S81</f>
        <v>0</v>
      </c>
      <c r="T75" s="3">
        <f>T77+T78+T79+T80+T81</f>
        <v>0</v>
      </c>
      <c r="U75" s="4">
        <f>IF(S75=0,0,T75/S75)</f>
        <v>0</v>
      </c>
      <c r="V75" s="3">
        <f>V77+V78+V79+V80+V81</f>
        <v>0</v>
      </c>
      <c r="W75" s="6">
        <f>W77+W78+W79+W80+W81</f>
        <v>0</v>
      </c>
      <c r="X75" s="7">
        <f>IF(V75=0,0,W75/V75)</f>
        <v>0</v>
      </c>
      <c r="Y75" s="3">
        <f>Y77+Y78+Y79+Y80+Y81</f>
        <v>0</v>
      </c>
      <c r="Z75" s="3">
        <f>Z77+Z78+Z79+Z80+Z81</f>
        <v>0</v>
      </c>
      <c r="AA75" s="4">
        <f>IF(Y75=0,0,Z75/Y75)</f>
        <v>0</v>
      </c>
      <c r="AB75" s="3">
        <f>AB77+AB78+AB79+AB80+AB81</f>
        <v>0</v>
      </c>
      <c r="AC75" s="3">
        <f>AC77+AC78+AC79+AC80+AC81</f>
        <v>0</v>
      </c>
      <c r="AD75" s="4">
        <f>IF(AB75=0,0,AC75/AB75)</f>
        <v>0</v>
      </c>
    </row>
    <row r="76" spans="1:30">
      <c r="A76" s="5" t="s">
        <v>29</v>
      </c>
    </row>
    <row r="77" spans="1:30">
      <c r="B77" t="s">
        <v>30</v>
      </c>
      <c r="C77" s="3">
        <f>J77+M77+G77+P77</f>
        <v>0</v>
      </c>
      <c r="D77" s="3">
        <f>G77+J77</f>
        <v>0</v>
      </c>
      <c r="E77" s="3">
        <f>M77+P77</f>
        <v>0</v>
      </c>
      <c r="F77" s="3">
        <v>155.3366697637048</v>
      </c>
      <c r="G77" s="3">
        <v>94.65713618175391</v>
      </c>
      <c r="H77" s="4">
        <f>IF(F77=0,0,G77/F77)</f>
        <v>0</v>
      </c>
      <c r="I77" s="3">
        <v>382.3073643284127</v>
      </c>
      <c r="J77" s="6">
        <v>22.4094333642202</v>
      </c>
      <c r="K77" s="7">
        <f>IF(I77=0,0,J77/I77)</f>
        <v>0</v>
      </c>
      <c r="L77" s="3">
        <v>0</v>
      </c>
      <c r="M77" s="3">
        <v>0</v>
      </c>
      <c r="N77" s="4">
        <f>IF(L77=0,0,M77/L77)</f>
        <v>0</v>
      </c>
      <c r="O77" s="3">
        <v>0</v>
      </c>
      <c r="P77" s="3">
        <v>0</v>
      </c>
      <c r="Q77" s="4">
        <f>IF(O77=0,0,P77/O77)</f>
        <v>0</v>
      </c>
      <c r="S77" s="3">
        <v>2198.402026122217</v>
      </c>
      <c r="T77" s="3">
        <v>1339.635002381882</v>
      </c>
      <c r="U77" s="4">
        <f>IF(S77=0,0,T77/S77)</f>
        <v>0</v>
      </c>
      <c r="V77" s="3">
        <v>9070418.669545408</v>
      </c>
      <c r="W77" s="6">
        <v>554700.6611577384</v>
      </c>
      <c r="X77" s="7">
        <f>IF(V77=0,0,W77/V77)</f>
        <v>0</v>
      </c>
      <c r="Y77" s="3">
        <v>0</v>
      </c>
      <c r="Z77" s="3">
        <v>0</v>
      </c>
      <c r="AA77" s="4">
        <f>IF(Y77=0,0,Z77/Y77)</f>
        <v>0</v>
      </c>
      <c r="AB77" s="3">
        <v>0</v>
      </c>
      <c r="AC77" s="3">
        <v>0</v>
      </c>
      <c r="AD77" s="4">
        <f>IF(AB77=0,0,AC77/AB77)</f>
        <v>0</v>
      </c>
    </row>
    <row r="78" spans="1:30">
      <c r="B78" t="s">
        <v>31</v>
      </c>
      <c r="C78" s="3">
        <f>J78+M78+G78+P78</f>
        <v>0</v>
      </c>
      <c r="D78" s="3">
        <f>G78+J78</f>
        <v>0</v>
      </c>
      <c r="E78" s="3">
        <f>M78+P78</f>
        <v>0</v>
      </c>
      <c r="F78" s="3">
        <v>147.7607036391234</v>
      </c>
      <c r="G78" s="3">
        <v>93.32656566805846</v>
      </c>
      <c r="H78" s="4">
        <f>IF(F78=0,0,G78/F78)</f>
        <v>0</v>
      </c>
      <c r="I78" s="3">
        <v>245.090682899663</v>
      </c>
      <c r="J78" s="6">
        <v>18.8267058367451</v>
      </c>
      <c r="K78" s="7">
        <f>IF(I78=0,0,J78/I78)</f>
        <v>0</v>
      </c>
      <c r="L78" s="3">
        <v>0</v>
      </c>
      <c r="M78" s="3">
        <v>0</v>
      </c>
      <c r="N78" s="4">
        <f>IF(L78=0,0,M78/L78)</f>
        <v>0</v>
      </c>
      <c r="O78" s="3">
        <v>0</v>
      </c>
      <c r="P78" s="3">
        <v>0</v>
      </c>
      <c r="Q78" s="4">
        <f>IF(O78=0,0,P78/O78)</f>
        <v>0</v>
      </c>
      <c r="S78" s="3">
        <v>2091.183174942721</v>
      </c>
      <c r="T78" s="3">
        <v>1320.804104837496</v>
      </c>
      <c r="U78" s="4">
        <f>IF(S78=0,0,T78/S78)</f>
        <v>0</v>
      </c>
      <c r="V78" s="3">
        <v>7100767.677214347</v>
      </c>
      <c r="W78" s="6">
        <v>620735.8681268226</v>
      </c>
      <c r="X78" s="7">
        <f>IF(V78=0,0,W78/V78)</f>
        <v>0</v>
      </c>
      <c r="Y78" s="3">
        <v>0</v>
      </c>
      <c r="Z78" s="3">
        <v>0</v>
      </c>
      <c r="AA78" s="4">
        <f>IF(Y78=0,0,Z78/Y78)</f>
        <v>0</v>
      </c>
      <c r="AB78" s="3">
        <v>0</v>
      </c>
      <c r="AC78" s="3">
        <v>0</v>
      </c>
      <c r="AD78" s="4">
        <f>IF(AB78=0,0,AC78/AB78)</f>
        <v>0</v>
      </c>
    </row>
    <row r="79" spans="1:30">
      <c r="B79" t="s">
        <v>32</v>
      </c>
      <c r="C79" s="3">
        <f>J79+M79+G79+P79</f>
        <v>0</v>
      </c>
      <c r="D79" s="3">
        <f>G79+J79</f>
        <v>0</v>
      </c>
      <c r="E79" s="3">
        <f>M79+P79</f>
        <v>0</v>
      </c>
      <c r="F79" s="3">
        <v>134.4880808162132</v>
      </c>
      <c r="G79" s="3">
        <v>89.3261468773603</v>
      </c>
      <c r="H79" s="4">
        <f>IF(F79=0,0,G79/F79)</f>
        <v>0</v>
      </c>
      <c r="I79" s="3">
        <v>200.4130880433794</v>
      </c>
      <c r="J79" s="6">
        <v>20.20687125075571</v>
      </c>
      <c r="K79" s="7">
        <f>IF(I79=0,0,J79/I79)</f>
        <v>0</v>
      </c>
      <c r="L79" s="3">
        <v>0</v>
      </c>
      <c r="M79" s="3">
        <v>0</v>
      </c>
      <c r="N79" s="4">
        <f>IF(L79=0,0,M79/L79)</f>
        <v>0</v>
      </c>
      <c r="O79" s="3">
        <v>0</v>
      </c>
      <c r="P79" s="3">
        <v>0</v>
      </c>
      <c r="Q79" s="4">
        <f>IF(O79=0,0,P79/O79)</f>
        <v>0</v>
      </c>
      <c r="S79" s="3">
        <v>1903.342396907326</v>
      </c>
      <c r="T79" s="3">
        <v>1264.188182865007</v>
      </c>
      <c r="U79" s="4">
        <f>IF(S79=0,0,T79/S79)</f>
        <v>0</v>
      </c>
      <c r="V79" s="3">
        <v>6292834.208210533</v>
      </c>
      <c r="W79" s="6">
        <v>709040.6150101619</v>
      </c>
      <c r="X79" s="7">
        <f>IF(V79=0,0,W79/V79)</f>
        <v>0</v>
      </c>
      <c r="Y79" s="3">
        <v>0</v>
      </c>
      <c r="Z79" s="3">
        <v>0</v>
      </c>
      <c r="AA79" s="4">
        <f>IF(Y79=0,0,Z79/Y79)</f>
        <v>0</v>
      </c>
      <c r="AB79" s="3">
        <v>0</v>
      </c>
      <c r="AC79" s="3">
        <v>0</v>
      </c>
      <c r="AD79" s="4">
        <f>IF(AB79=0,0,AC79/AB79)</f>
        <v>0</v>
      </c>
    </row>
    <row r="80" spans="1:30">
      <c r="B80" t="s">
        <v>33</v>
      </c>
      <c r="C80" s="3">
        <f>J80+M80+G80+P80</f>
        <v>0</v>
      </c>
      <c r="D80" s="3">
        <f>G80+J80</f>
        <v>0</v>
      </c>
      <c r="E80" s="3">
        <f>M80+P80</f>
        <v>0</v>
      </c>
      <c r="F80" s="3">
        <v>118.5139506930648</v>
      </c>
      <c r="G80" s="3">
        <v>53.09835934079247</v>
      </c>
      <c r="H80" s="4">
        <f>IF(F80=0,0,G80/F80)</f>
        <v>0</v>
      </c>
      <c r="I80" s="3">
        <v>193.9015574705648</v>
      </c>
      <c r="J80" s="6">
        <v>8.613532581916079</v>
      </c>
      <c r="K80" s="7">
        <f>IF(I80=0,0,J80/I80)</f>
        <v>0</v>
      </c>
      <c r="L80" s="3">
        <v>0</v>
      </c>
      <c r="M80" s="3">
        <v>0</v>
      </c>
      <c r="N80" s="4">
        <f>IF(L80=0,0,M80/L80)</f>
        <v>0</v>
      </c>
      <c r="O80" s="3">
        <v>0</v>
      </c>
      <c r="P80" s="3">
        <v>0</v>
      </c>
      <c r="Q80" s="4">
        <f>IF(O80=0,0,P80/O80)</f>
        <v>0</v>
      </c>
      <c r="S80" s="3">
        <v>1677.268540156761</v>
      </c>
      <c r="T80" s="3">
        <v>751.4744646974439</v>
      </c>
      <c r="U80" s="4">
        <f>IF(S80=0,0,T80/S80)</f>
        <v>0</v>
      </c>
      <c r="V80" s="3">
        <v>6053045.584847068</v>
      </c>
      <c r="W80" s="6">
        <v>311924.34926455</v>
      </c>
      <c r="X80" s="7">
        <f>IF(V80=0,0,W80/V80)</f>
        <v>0</v>
      </c>
      <c r="Y80" s="3">
        <v>0</v>
      </c>
      <c r="Z80" s="3">
        <v>0</v>
      </c>
      <c r="AA80" s="4">
        <f>IF(Y80=0,0,Z80/Y80)</f>
        <v>0</v>
      </c>
      <c r="AB80" s="3">
        <v>0</v>
      </c>
      <c r="AC80" s="3">
        <v>0</v>
      </c>
      <c r="AD80" s="4">
        <f>IF(AB80=0,0,AC80/AB80)</f>
        <v>0</v>
      </c>
    </row>
    <row r="81" spans="2:30">
      <c r="B81" t="s">
        <v>34</v>
      </c>
      <c r="C81" s="3">
        <f>J81+M81+G81+P81</f>
        <v>0</v>
      </c>
      <c r="D81" s="3">
        <f>G81+J81</f>
        <v>0</v>
      </c>
      <c r="E81" s="3">
        <f>M81+P81</f>
        <v>0</v>
      </c>
      <c r="F81" s="3">
        <v>93.49564395607489</v>
      </c>
      <c r="G81" s="3">
        <v>33.88385898245032</v>
      </c>
      <c r="H81" s="4">
        <f>IF(F81=0,0,G81/F81)</f>
        <v>0</v>
      </c>
      <c r="I81" s="3">
        <v>136.6145524202559</v>
      </c>
      <c r="J81" s="6">
        <v>6.654744068362823</v>
      </c>
      <c r="K81" s="7">
        <f>IF(I81=0,0,J81/I81)</f>
        <v>0</v>
      </c>
      <c r="L81" s="3">
        <v>0</v>
      </c>
      <c r="M81" s="3">
        <v>0</v>
      </c>
      <c r="N81" s="4">
        <f>IF(L81=0,0,M81/L81)</f>
        <v>0</v>
      </c>
      <c r="O81" s="3">
        <v>0</v>
      </c>
      <c r="P81" s="3">
        <v>0</v>
      </c>
      <c r="Q81" s="4">
        <f>IF(O81=0,0,P81/O81)</f>
        <v>0</v>
      </c>
      <c r="S81" s="3">
        <v>1323.196985098892</v>
      </c>
      <c r="T81" s="3">
        <v>479.5412722132613</v>
      </c>
      <c r="U81" s="4">
        <f>IF(S81=0,0,T81/S81)</f>
        <v>0</v>
      </c>
      <c r="V81" s="3">
        <v>4890905.466101354</v>
      </c>
      <c r="W81" s="6">
        <v>264152.6459177388</v>
      </c>
      <c r="X81" s="7">
        <f>IF(V81=0,0,W81/V81)</f>
        <v>0</v>
      </c>
      <c r="Y81" s="3">
        <v>0</v>
      </c>
      <c r="Z81" s="3">
        <v>0</v>
      </c>
      <c r="AA81" s="4">
        <f>IF(Y81=0,0,Z81/Y81)</f>
        <v>0</v>
      </c>
      <c r="AB81" s="3">
        <v>0</v>
      </c>
      <c r="AC81" s="3">
        <v>0</v>
      </c>
      <c r="AD81" s="4">
        <f>IF(AB81=0,0,AC81/AB81)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2026-10-12T07:46:19Z</dcterms:created>
  <dcterms:modified xsi:type="dcterms:W3CDTF">2026-10-12T07:46:19Z</dcterms:modified>
</cp:coreProperties>
</file>