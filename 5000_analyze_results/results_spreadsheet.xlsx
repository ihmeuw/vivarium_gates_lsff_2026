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el Results" sheetId="1" r:id="rId1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J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</commentList>
</comments>
</file>

<file path=xl/sharedStrings.xml><?xml version="1.0" encoding="utf-8"?>
<sst xmlns="http://schemas.openxmlformats.org/spreadsheetml/2006/main" count="75" uniqueCount="40">
  <si>
    <t>DALYs Averted by Fortification (1000s)</t>
  </si>
  <si>
    <t>DALYs Averted by Folate Fortification (1000s)</t>
  </si>
  <si>
    <t>DALYs Averted by Iron Fortification (1000s)</t>
  </si>
  <si>
    <t>Baseline NTD DALYs (1000s)</t>
  </si>
  <si>
    <t>NTD DALYs Averted by Folate Fortification (1000s)</t>
  </si>
  <si>
    <t>NTD DALYs Averted by Folate Fortification (%)</t>
  </si>
  <si>
    <t>Baseline Anemia DALYs (1000s)</t>
  </si>
  <si>
    <t>Anemia DALYs Averted (1000s)</t>
  </si>
  <si>
    <t>Anemia DALYs Averted (%)</t>
  </si>
  <si>
    <t>Baseline Child YLLs (1000s)</t>
  </si>
  <si>
    <t>Child YLLs Averted by Iron Fortification (1000s)</t>
  </si>
  <si>
    <t>Child YLLs Averted by Iron Fortification (%)</t>
  </si>
  <si>
    <t>Baseline Maternal Disorders DALYs (1000s)</t>
  </si>
  <si>
    <t>Maternal Disorders DALYs Averted by Iron Fortification (1000s)</t>
  </si>
  <si>
    <t>Maternal Disorders DALYs Averted by Iron Fortification (%)</t>
  </si>
  <si>
    <t>Baseline Annual NTD Cases</t>
  </si>
  <si>
    <t>Annual NTD Cases Averted</t>
  </si>
  <si>
    <t>Annual NTD Cases Averted (%)</t>
  </si>
  <si>
    <t>Baseline Prevalent Anemia Cases</t>
  </si>
  <si>
    <t>Prevalent Anemia Cases Averted</t>
  </si>
  <si>
    <t>Prevalent Anemia Cases Averted (%)</t>
  </si>
  <si>
    <t>Baseline Annual Maternal Disorders Cases</t>
  </si>
  <si>
    <t>Annual Maternal Disorders Cases Averted</t>
  </si>
  <si>
    <t>Annual Maternal Disorders Cases Averted (%)</t>
  </si>
  <si>
    <t>Baseline Annual Child Deaths</t>
  </si>
  <si>
    <t>Annual Child Deaths Averted</t>
  </si>
  <si>
    <t>Annual Child Deaths Averted (%)</t>
  </si>
  <si>
    <t>India -- Rice-- 80% PDS vs none</t>
  </si>
  <si>
    <t>National</t>
  </si>
  <si>
    <t>Wealth quintile</t>
  </si>
  <si>
    <t>Poorest</t>
  </si>
  <si>
    <t>Second</t>
  </si>
  <si>
    <t>Third</t>
  </si>
  <si>
    <t>Fourth</t>
  </si>
  <si>
    <t>Wealthiest</t>
  </si>
  <si>
    <t>India -- Rice-- 80% PDS with increased folate vs none</t>
  </si>
  <si>
    <t>Nigeria -- Bouillon</t>
  </si>
  <si>
    <t>Nigeria -- Rice</t>
  </si>
  <si>
    <t>Ethiopia -- Salt-- 25% NRV per average intake</t>
  </si>
  <si>
    <t>Ethiopia -- Salt-- 100% NRV per average intake</t>
  </si>
</sst>
</file>

<file path=xl/styles.xml><?xml version="1.0" encoding="utf-8"?>
<styleSheet xmlns="http://schemas.openxmlformats.org/spreadsheetml/2006/main">
  <numFmts count="2">
    <numFmt numFmtId="164" formatCode="_(* #,##0_);_(* (#,##0);_(* &quot;-&quot;??_);_(@_)"/>
    <numFmt numFmtId="165" formatCode="0.0%;-0.0%;&quot;-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164" fontId="3" fillId="2" borderId="0" xfId="0" applyNumberFormat="1" applyFont="1" applyFill="1"/>
    <xf numFmtId="165" fontId="3" fillId="2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D5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.7109375" customWidth="1"/>
    <col min="2" max="2" width="10.7109375" customWidth="1"/>
    <col min="3" max="17" width="15.7109375" customWidth="1"/>
    <col min="18" max="18" width="1.7109375" customWidth="1"/>
    <col min="19" max="30" width="15.7109375" customWidth="1"/>
  </cols>
  <sheetData>
    <row r="1" spans="1:30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/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>
      <c r="A2" s="2" t="s">
        <v>27</v>
      </c>
    </row>
    <row r="3" spans="1:30">
      <c r="B3" t="s">
        <v>28</v>
      </c>
      <c r="C3" s="3">
        <f>C5+C6+C7+C8+C9</f>
        <v>0</v>
      </c>
      <c r="D3" s="3">
        <f>D5+D6+D7+D8+D9</f>
        <v>0</v>
      </c>
      <c r="E3" s="3">
        <f>E5+E6+E7+E8+E9</f>
        <v>0</v>
      </c>
      <c r="F3" s="3">
        <f>F5+F6+F7+F8+F9</f>
        <v>0</v>
      </c>
      <c r="G3" s="3">
        <f>G5+G6+G7+G8+G9</f>
        <v>0</v>
      </c>
      <c r="H3" s="4">
        <f>IF(F3=0,0,G3/F3)</f>
        <v>0</v>
      </c>
      <c r="I3" s="3">
        <f>I5+I6+I7+I8+I9</f>
        <v>0</v>
      </c>
      <c r="J3" s="3">
        <f>J5+J6+J7+J8+J9</f>
        <v>0</v>
      </c>
      <c r="K3" s="4">
        <f>IF(I3=0,0,J3/I3)</f>
        <v>0</v>
      </c>
      <c r="L3" s="3">
        <f>L5+L6+L7+L8+L9</f>
        <v>0</v>
      </c>
      <c r="M3" s="3">
        <f>M5+M6+M7+M8+M9</f>
        <v>0</v>
      </c>
      <c r="N3" s="4">
        <f>IF(L3=0,0,M3/L3)</f>
        <v>0</v>
      </c>
      <c r="O3" s="3">
        <f>O5+O6+O7+O8+O9</f>
        <v>0</v>
      </c>
      <c r="P3" s="3">
        <f>P5+P6+P7+P8+P9</f>
        <v>0</v>
      </c>
      <c r="Q3" s="4">
        <f>IF(O3=0,0,P3/O3)</f>
        <v>0</v>
      </c>
      <c r="S3" s="3">
        <f>S5+S6+S7+S8+S9</f>
        <v>0</v>
      </c>
      <c r="T3" s="3">
        <f>T5+T6+T7+T8+T9</f>
        <v>0</v>
      </c>
      <c r="U3" s="4">
        <f>IF(S3=0,0,T3/S3)</f>
        <v>0</v>
      </c>
      <c r="V3" s="3">
        <f>V5+V6+V7+V8+V9</f>
        <v>0</v>
      </c>
      <c r="W3" s="3">
        <f>W5+W6+W7+W8+W9</f>
        <v>0</v>
      </c>
      <c r="X3" s="4">
        <f>IF(V3=0,0,W3/V3)</f>
        <v>0</v>
      </c>
      <c r="Y3" s="3">
        <f>Y5+Y6+Y7+Y8+Y9</f>
        <v>0</v>
      </c>
      <c r="Z3" s="3">
        <f>Z5+Z6+Z7+Z8+Z9</f>
        <v>0</v>
      </c>
      <c r="AA3" s="4">
        <f>IF(Y3=0,0,Z3/Y3)</f>
        <v>0</v>
      </c>
      <c r="AB3" s="3">
        <f>AB5+AB6+AB7+AB8+AB9</f>
        <v>0</v>
      </c>
      <c r="AC3" s="3">
        <f>AC5+AC6+AC7+AC8+AC9</f>
        <v>0</v>
      </c>
      <c r="AD3" s="4">
        <f>IF(AB3=0,0,AC3/AB3)</f>
        <v>0</v>
      </c>
    </row>
    <row r="4" spans="1:30">
      <c r="A4" s="5" t="s">
        <v>29</v>
      </c>
    </row>
    <row r="5" spans="1:30">
      <c r="B5" t="s">
        <v>30</v>
      </c>
      <c r="C5" s="3">
        <f>J5+M5+G5+P5</f>
        <v>0</v>
      </c>
      <c r="D5" s="3">
        <f>G5</f>
        <v>0</v>
      </c>
      <c r="E5" s="3">
        <f>J5+M5+P5</f>
        <v>0</v>
      </c>
      <c r="F5" s="3">
        <v>363.2527888669509</v>
      </c>
      <c r="G5" s="3">
        <v>25.63269042834587</v>
      </c>
      <c r="H5" s="4">
        <f>IF(F5=0,0,G5/F5)</f>
        <v>0</v>
      </c>
      <c r="I5" s="3">
        <v>4771.172487854658</v>
      </c>
      <c r="J5" s="3">
        <v>313.4550641795806</v>
      </c>
      <c r="K5" s="4">
        <f>IF(I5=0,0,J5/I5)</f>
        <v>0</v>
      </c>
      <c r="L5" s="3">
        <v>17573.82651946129</v>
      </c>
      <c r="M5" s="3">
        <v>52.43127107270062</v>
      </c>
      <c r="N5" s="4">
        <f>IF(L5=0,0,M5/L5)</f>
        <v>0</v>
      </c>
      <c r="O5" s="3">
        <v>495.9420392823301</v>
      </c>
      <c r="P5" s="3">
        <v>14.94688767936849</v>
      </c>
      <c r="Q5" s="4">
        <f>IF(O5=0,0,P5/O5)</f>
        <v>0</v>
      </c>
      <c r="S5" s="3">
        <v>5246.953936438476</v>
      </c>
      <c r="T5" s="3">
        <v>370.2478000623951</v>
      </c>
      <c r="U5" s="4">
        <f>IF(S5=0,0,T5/S5)</f>
        <v>0</v>
      </c>
      <c r="V5" s="3">
        <v>131693856.602241</v>
      </c>
      <c r="W5" s="3">
        <v>6834156.362184763</v>
      </c>
      <c r="X5" s="4">
        <f>IF(V5=0,0,W5/V5)</f>
        <v>0</v>
      </c>
      <c r="Y5" s="3">
        <v>3014818.917223012</v>
      </c>
      <c r="Z5" s="3">
        <v>82234.18246693723</v>
      </c>
      <c r="AA5" s="4">
        <f>IF(Y5=0,0,Z5/Y5)</f>
        <v>0</v>
      </c>
      <c r="AB5" s="3">
        <v>196057.6019358347</v>
      </c>
      <c r="AC5" s="3">
        <v>582.7808785878588</v>
      </c>
      <c r="AD5" s="4">
        <f>IF(AB5=0,0,AC5/AB5)</f>
        <v>0</v>
      </c>
    </row>
    <row r="6" spans="1:30">
      <c r="B6" t="s">
        <v>31</v>
      </c>
      <c r="C6" s="3">
        <f>J6+M6+G6+P6</f>
        <v>0</v>
      </c>
      <c r="D6" s="3">
        <f>G6</f>
        <v>0</v>
      </c>
      <c r="E6" s="3">
        <f>J6+M6+P6</f>
        <v>0</v>
      </c>
      <c r="F6" s="3">
        <v>320.8959288091749</v>
      </c>
      <c r="G6" s="3">
        <v>19.3141818814585</v>
      </c>
      <c r="H6" s="4">
        <f>IF(F6=0,0,G6/F6)</f>
        <v>0</v>
      </c>
      <c r="I6" s="3">
        <v>4315.488605002881</v>
      </c>
      <c r="J6" s="3">
        <v>279.5339981601541</v>
      </c>
      <c r="K6" s="4">
        <f>IF(I6=0,0,J6/I6)</f>
        <v>0</v>
      </c>
      <c r="L6" s="3">
        <v>14652.1253505373</v>
      </c>
      <c r="M6" s="3">
        <v>33.36611404703743</v>
      </c>
      <c r="N6" s="4">
        <f>IF(L6=0,0,M6/L6)</f>
        <v>0</v>
      </c>
      <c r="O6" s="3">
        <v>286.4588253328344</v>
      </c>
      <c r="P6" s="3">
        <v>8.284407215548388</v>
      </c>
      <c r="Q6" s="4">
        <f>IF(O6=0,0,P6/O6)</f>
        <v>0</v>
      </c>
      <c r="S6" s="3">
        <v>4635.136214932357</v>
      </c>
      <c r="T6" s="3">
        <v>278.980989982505</v>
      </c>
      <c r="U6" s="4">
        <f>IF(S6=0,0,T6/S6)</f>
        <v>0</v>
      </c>
      <c r="V6" s="3">
        <v>123353341.0379582</v>
      </c>
      <c r="W6" s="3">
        <v>6428198.322602153</v>
      </c>
      <c r="X6" s="4">
        <f>IF(V6=0,0,W6/V6)</f>
        <v>0</v>
      </c>
      <c r="Y6" s="3">
        <v>1787928.583240007</v>
      </c>
      <c r="Z6" s="3">
        <v>46645.37901320681</v>
      </c>
      <c r="AA6" s="4">
        <f>IF(Y6=0,0,Z6/Y6)</f>
        <v>0</v>
      </c>
      <c r="AB6" s="3">
        <v>163455.5873311974</v>
      </c>
      <c r="AC6" s="3">
        <v>370.860559101362</v>
      </c>
      <c r="AD6" s="4">
        <f>IF(AB6=0,0,AC6/AB6)</f>
        <v>0</v>
      </c>
    </row>
    <row r="7" spans="1:30">
      <c r="B7" t="s">
        <v>32</v>
      </c>
      <c r="C7" s="3">
        <f>J7+M7+G7+P7</f>
        <v>0</v>
      </c>
      <c r="D7" s="3">
        <f>G7</f>
        <v>0</v>
      </c>
      <c r="E7" s="3">
        <f>J7+M7+P7</f>
        <v>0</v>
      </c>
      <c r="F7" s="3">
        <v>288.0891253989829</v>
      </c>
      <c r="G7" s="3">
        <v>14.66402867711027</v>
      </c>
      <c r="H7" s="4">
        <f>IF(F7=0,0,G7/F7)</f>
        <v>0</v>
      </c>
      <c r="I7" s="3">
        <v>4219.911362271461</v>
      </c>
      <c r="J7" s="3">
        <v>242.9313309619347</v>
      </c>
      <c r="K7" s="4">
        <f>IF(I7=0,0,J7/I7)</f>
        <v>0</v>
      </c>
      <c r="L7" s="3">
        <v>12980.21700838298</v>
      </c>
      <c r="M7" s="3">
        <v>28.82879728573933</v>
      </c>
      <c r="N7" s="4">
        <f>IF(L7=0,0,M7/L7)</f>
        <v>0</v>
      </c>
      <c r="O7" s="3">
        <v>362.0106149542505</v>
      </c>
      <c r="P7" s="3">
        <v>7.080686168705637</v>
      </c>
      <c r="Q7" s="4">
        <f>IF(O7=0,0,P7/O7)</f>
        <v>0</v>
      </c>
      <c r="S7" s="3">
        <v>4161.262946589416</v>
      </c>
      <c r="T7" s="3">
        <v>211.8125045409952</v>
      </c>
      <c r="U7" s="4">
        <f>IF(S7=0,0,T7/S7)</f>
        <v>0</v>
      </c>
      <c r="V7" s="3">
        <v>121042695.9926408</v>
      </c>
      <c r="W7" s="3">
        <v>5624803.04057464</v>
      </c>
      <c r="X7" s="4">
        <f>IF(V7=0,0,W7/V7)</f>
        <v>0</v>
      </c>
      <c r="Y7" s="3">
        <v>2262233.551971834</v>
      </c>
      <c r="Z7" s="3">
        <v>48143.47526669828</v>
      </c>
      <c r="AA7" s="4">
        <f>IF(Y7=0,0,Z7/Y7)</f>
        <v>0</v>
      </c>
      <c r="AB7" s="3">
        <v>144811.4155872839</v>
      </c>
      <c r="AC7" s="3">
        <v>320.2886646784609</v>
      </c>
      <c r="AD7" s="4">
        <f>IF(AB7=0,0,AC7/AB7)</f>
        <v>0</v>
      </c>
    </row>
    <row r="8" spans="1:30">
      <c r="B8" t="s">
        <v>33</v>
      </c>
      <c r="C8" s="3">
        <f>J8+M8+G8+P8</f>
        <v>0</v>
      </c>
      <c r="D8" s="3">
        <f>G8</f>
        <v>0</v>
      </c>
      <c r="E8" s="3">
        <f>J8+M8+P8</f>
        <v>0</v>
      </c>
      <c r="F8" s="3">
        <v>271.6538476703636</v>
      </c>
      <c r="G8" s="3">
        <v>12.01916291244561</v>
      </c>
      <c r="H8" s="4">
        <f>IF(F8=0,0,G8/F8)</f>
        <v>0</v>
      </c>
      <c r="I8" s="3">
        <v>3866.404723234419</v>
      </c>
      <c r="J8" s="3">
        <v>199.0831212808485</v>
      </c>
      <c r="K8" s="4">
        <f>IF(I8=0,0,J8/I8)</f>
        <v>0</v>
      </c>
      <c r="L8" s="3">
        <v>12127.30661114934</v>
      </c>
      <c r="M8" s="3">
        <v>26.43375170142017</v>
      </c>
      <c r="N8" s="4">
        <f>IF(L8=0,0,M8/L8)</f>
        <v>0</v>
      </c>
      <c r="O8" s="3">
        <v>326.2902544418872</v>
      </c>
      <c r="P8" s="3">
        <v>6.173648437333526</v>
      </c>
      <c r="Q8" s="4">
        <f>IF(O8=0,0,P8/O8)</f>
        <v>0</v>
      </c>
      <c r="S8" s="3">
        <v>3923.86588366907</v>
      </c>
      <c r="T8" s="3">
        <v>173.6091121360946</v>
      </c>
      <c r="U8" s="4">
        <f>IF(S8=0,0,T8/S8)</f>
        <v>0</v>
      </c>
      <c r="V8" s="3">
        <v>114930948.5074336</v>
      </c>
      <c r="W8" s="3">
        <v>4858738.283078313</v>
      </c>
      <c r="X8" s="4">
        <f>IF(V8=0,0,W8/V8)</f>
        <v>0</v>
      </c>
      <c r="Y8" s="3">
        <v>2017724.044351414</v>
      </c>
      <c r="Z8" s="3">
        <v>39554.06946016243</v>
      </c>
      <c r="AA8" s="4">
        <f>IF(Y8=0,0,Z8/Y8)</f>
        <v>0</v>
      </c>
      <c r="AB8" s="3">
        <v>135303.8994357765</v>
      </c>
      <c r="AC8" s="3">
        <v>293.7986247426306</v>
      </c>
      <c r="AD8" s="4">
        <f>IF(AB8=0,0,AC8/AB8)</f>
        <v>0</v>
      </c>
    </row>
    <row r="9" spans="1:30">
      <c r="B9" t="s">
        <v>34</v>
      </c>
      <c r="C9" s="3">
        <f>J9+M9+G9+P9</f>
        <v>0</v>
      </c>
      <c r="D9" s="3">
        <f>G9</f>
        <v>0</v>
      </c>
      <c r="E9" s="3">
        <f>J9+M9+P9</f>
        <v>0</v>
      </c>
      <c r="F9" s="3">
        <v>231.3561787321935</v>
      </c>
      <c r="G9" s="3">
        <v>4.583486877183867</v>
      </c>
      <c r="H9" s="4">
        <f>IF(F9=0,0,G9/F9)</f>
        <v>0</v>
      </c>
      <c r="I9" s="3">
        <v>3364.404821554393</v>
      </c>
      <c r="J9" s="3">
        <v>100.8406044416442</v>
      </c>
      <c r="K9" s="4">
        <f>IF(I9=0,0,J9/I9)</f>
        <v>0</v>
      </c>
      <c r="L9" s="3">
        <v>11639.06744554709</v>
      </c>
      <c r="M9" s="3">
        <v>13.65298159589991</v>
      </c>
      <c r="N9" s="4">
        <f>IF(L9=0,0,M9/L9)</f>
        <v>0</v>
      </c>
      <c r="O9" s="3">
        <v>210.8368637670372</v>
      </c>
      <c r="P9" s="3">
        <v>2.020924868696747</v>
      </c>
      <c r="Q9" s="4">
        <f>IF(O9=0,0,P9/O9)</f>
        <v>0</v>
      </c>
      <c r="S9" s="3">
        <v>3341.791859340324</v>
      </c>
      <c r="T9" s="3">
        <v>66.20553303353427</v>
      </c>
      <c r="U9" s="4">
        <f>IF(S9=0,0,T9/S9)</f>
        <v>0</v>
      </c>
      <c r="V9" s="3">
        <v>107057780.7659875</v>
      </c>
      <c r="W9" s="3">
        <v>2679796.374648735</v>
      </c>
      <c r="X9" s="4">
        <f>IF(V9=0,0,W9/V9)</f>
        <v>0</v>
      </c>
      <c r="Y9" s="3">
        <v>1277885.722823765</v>
      </c>
      <c r="Z9" s="3">
        <v>14853.51614416833</v>
      </c>
      <c r="AA9" s="4">
        <f>IF(Y9=0,0,Z9/Y9)</f>
        <v>0</v>
      </c>
      <c r="AB9" s="3">
        <v>129863.8085071404</v>
      </c>
      <c r="AC9" s="3">
        <v>151.7156832687178</v>
      </c>
      <c r="AD9" s="4">
        <f>IF(AB9=0,0,AC9/AB9)</f>
        <v>0</v>
      </c>
    </row>
    <row r="11" spans="1:30">
      <c r="A11" s="2" t="s">
        <v>35</v>
      </c>
    </row>
    <row r="12" spans="1:30">
      <c r="B12" t="s">
        <v>28</v>
      </c>
      <c r="C12" s="3">
        <f>C14+C15+C16+C17+C18</f>
        <v>0</v>
      </c>
      <c r="D12" s="3">
        <f>D14+D15+D16+D17+D18</f>
        <v>0</v>
      </c>
      <c r="E12" s="3">
        <f>E14+E15+E16+E17+E18</f>
        <v>0</v>
      </c>
      <c r="F12" s="3">
        <f>F14+F15+F16+F17+F18</f>
        <v>0</v>
      </c>
      <c r="G12" s="3">
        <f>G14+G15+G16+G17+G18</f>
        <v>0</v>
      </c>
      <c r="H12" s="4">
        <f>IF(F12=0,0,G12/F12)</f>
        <v>0</v>
      </c>
      <c r="I12" s="3">
        <f>I14+I15+I16+I17+I18</f>
        <v>0</v>
      </c>
      <c r="J12" s="3">
        <f>J14+J15+J16+J17+J18</f>
        <v>0</v>
      </c>
      <c r="K12" s="4">
        <f>IF(I12=0,0,J12/I12)</f>
        <v>0</v>
      </c>
      <c r="L12" s="3">
        <f>L14+L15+L16+L17+L18</f>
        <v>0</v>
      </c>
      <c r="M12" s="3">
        <f>M14+M15+M16+M17+M18</f>
        <v>0</v>
      </c>
      <c r="N12" s="4">
        <f>IF(L12=0,0,M12/L12)</f>
        <v>0</v>
      </c>
      <c r="O12" s="3">
        <f>O14+O15+O16+O17+O18</f>
        <v>0</v>
      </c>
      <c r="P12" s="3">
        <f>P14+P15+P16+P17+P18</f>
        <v>0</v>
      </c>
      <c r="Q12" s="4">
        <f>IF(O12=0,0,P12/O12)</f>
        <v>0</v>
      </c>
      <c r="S12" s="3">
        <f>S14+S15+S16+S17+S18</f>
        <v>0</v>
      </c>
      <c r="T12" s="3">
        <f>T14+T15+T16+T17+T18</f>
        <v>0</v>
      </c>
      <c r="U12" s="4">
        <f>IF(S12=0,0,T12/S12)</f>
        <v>0</v>
      </c>
      <c r="V12" s="3">
        <f>V14+V15+V16+V17+V18</f>
        <v>0</v>
      </c>
      <c r="W12" s="3">
        <f>W14+W15+W16+W17+W18</f>
        <v>0</v>
      </c>
      <c r="X12" s="4">
        <f>IF(V12=0,0,W12/V12)</f>
        <v>0</v>
      </c>
      <c r="Y12" s="3">
        <f>Y14+Y15+Y16+Y17+Y18</f>
        <v>0</v>
      </c>
      <c r="Z12" s="3">
        <f>Z14+Z15+Z16+Z17+Z18</f>
        <v>0</v>
      </c>
      <c r="AA12" s="4">
        <f>IF(Y12=0,0,Z12/Y12)</f>
        <v>0</v>
      </c>
      <c r="AB12" s="3">
        <f>AB14+AB15+AB16+AB17+AB18</f>
        <v>0</v>
      </c>
      <c r="AC12" s="3">
        <f>AC14+AC15+AC16+AC17+AC18</f>
        <v>0</v>
      </c>
      <c r="AD12" s="4">
        <f>IF(AB12=0,0,AC12/AB12)</f>
        <v>0</v>
      </c>
    </row>
    <row r="13" spans="1:30">
      <c r="A13" s="5" t="s">
        <v>29</v>
      </c>
    </row>
    <row r="14" spans="1:30">
      <c r="B14" t="s">
        <v>30</v>
      </c>
      <c r="C14" s="3">
        <f>J14+M14+G14+P14</f>
        <v>0</v>
      </c>
      <c r="D14" s="3">
        <f>G14</f>
        <v>0</v>
      </c>
      <c r="E14" s="3">
        <f>J14+M14+P14</f>
        <v>0</v>
      </c>
      <c r="F14" s="3">
        <v>363.2527888669509</v>
      </c>
      <c r="G14" s="3">
        <v>171.7832906162409</v>
      </c>
      <c r="H14" s="4">
        <f>IF(F14=0,0,G14/F14)</f>
        <v>0</v>
      </c>
      <c r="I14" s="3">
        <v>4771.172487854658</v>
      </c>
      <c r="J14" s="3">
        <v>313.4550641795806</v>
      </c>
      <c r="K14" s="4">
        <f>IF(I14=0,0,J14/I14)</f>
        <v>0</v>
      </c>
      <c r="L14" s="3">
        <v>17573.82651946129</v>
      </c>
      <c r="M14" s="3">
        <v>52.43127107270062</v>
      </c>
      <c r="N14" s="4">
        <f>IF(L14=0,0,M14/L14)</f>
        <v>0</v>
      </c>
      <c r="O14" s="3">
        <v>495.9420392823301</v>
      </c>
      <c r="P14" s="3">
        <v>14.94688767936849</v>
      </c>
      <c r="Q14" s="4">
        <f>IF(O14=0,0,P14/O14)</f>
        <v>0</v>
      </c>
      <c r="S14" s="3">
        <v>5246.953936438476</v>
      </c>
      <c r="T14" s="3">
        <v>2481.299636335</v>
      </c>
      <c r="U14" s="4">
        <f>IF(S14=0,0,T14/S14)</f>
        <v>0</v>
      </c>
      <c r="V14" s="3">
        <v>131693856.602241</v>
      </c>
      <c r="W14" s="3">
        <v>6834156.362184763</v>
      </c>
      <c r="X14" s="4">
        <f>IF(V14=0,0,W14/V14)</f>
        <v>0</v>
      </c>
      <c r="Y14" s="3">
        <v>3014818.917223012</v>
      </c>
      <c r="Z14" s="3">
        <v>82234.18246693723</v>
      </c>
      <c r="AA14" s="4">
        <f>IF(Y14=0,0,Z14/Y14)</f>
        <v>0</v>
      </c>
      <c r="AB14" s="3">
        <v>196057.6019358347</v>
      </c>
      <c r="AC14" s="3">
        <v>582.7808785878588</v>
      </c>
      <c r="AD14" s="4">
        <f>IF(AB14=0,0,AC14/AB14)</f>
        <v>0</v>
      </c>
    </row>
    <row r="15" spans="1:30">
      <c r="B15" t="s">
        <v>31</v>
      </c>
      <c r="C15" s="3">
        <f>J15+M15+G15+P15</f>
        <v>0</v>
      </c>
      <c r="D15" s="3">
        <f>G15</f>
        <v>0</v>
      </c>
      <c r="E15" s="3">
        <f>J15+M15+P15</f>
        <v>0</v>
      </c>
      <c r="F15" s="3">
        <v>320.8959288091749</v>
      </c>
      <c r="G15" s="3">
        <v>136.8384804720325</v>
      </c>
      <c r="H15" s="4">
        <f>IF(F15=0,0,G15/F15)</f>
        <v>0</v>
      </c>
      <c r="I15" s="3">
        <v>4315.488605002881</v>
      </c>
      <c r="J15" s="3">
        <v>279.5339981601541</v>
      </c>
      <c r="K15" s="4">
        <f>IF(I15=0,0,J15/I15)</f>
        <v>0</v>
      </c>
      <c r="L15" s="3">
        <v>14652.1253505373</v>
      </c>
      <c r="M15" s="3">
        <v>33.36611404703743</v>
      </c>
      <c r="N15" s="4">
        <f>IF(L15=0,0,M15/L15)</f>
        <v>0</v>
      </c>
      <c r="O15" s="3">
        <v>286.4588253328344</v>
      </c>
      <c r="P15" s="3">
        <v>8.284407215548388</v>
      </c>
      <c r="Q15" s="4">
        <f>IF(O15=0,0,P15/O15)</f>
        <v>0</v>
      </c>
      <c r="S15" s="3">
        <v>4635.136214932357</v>
      </c>
      <c r="T15" s="3">
        <v>1976.544229731896</v>
      </c>
      <c r="U15" s="4">
        <f>IF(S15=0,0,T15/S15)</f>
        <v>0</v>
      </c>
      <c r="V15" s="3">
        <v>123353341.0379582</v>
      </c>
      <c r="W15" s="3">
        <v>6428198.322602153</v>
      </c>
      <c r="X15" s="4">
        <f>IF(V15=0,0,W15/V15)</f>
        <v>0</v>
      </c>
      <c r="Y15" s="3">
        <v>1787928.583240007</v>
      </c>
      <c r="Z15" s="3">
        <v>46645.37901320681</v>
      </c>
      <c r="AA15" s="4">
        <f>IF(Y15=0,0,Z15/Y15)</f>
        <v>0</v>
      </c>
      <c r="AB15" s="3">
        <v>163455.5873311974</v>
      </c>
      <c r="AC15" s="3">
        <v>370.860559101362</v>
      </c>
      <c r="AD15" s="4">
        <f>IF(AB15=0,0,AC15/AB15)</f>
        <v>0</v>
      </c>
    </row>
    <row r="16" spans="1:30">
      <c r="B16" t="s">
        <v>32</v>
      </c>
      <c r="C16" s="3">
        <f>J16+M16+G16+P16</f>
        <v>0</v>
      </c>
      <c r="D16" s="3">
        <f>G16</f>
        <v>0</v>
      </c>
      <c r="E16" s="3">
        <f>J16+M16+P16</f>
        <v>0</v>
      </c>
      <c r="F16" s="3">
        <v>288.0891253989829</v>
      </c>
      <c r="G16" s="3">
        <v>109.4384294573394</v>
      </c>
      <c r="H16" s="4">
        <f>IF(F16=0,0,G16/F16)</f>
        <v>0</v>
      </c>
      <c r="I16" s="3">
        <v>4219.911362271461</v>
      </c>
      <c r="J16" s="3">
        <v>242.9313309619347</v>
      </c>
      <c r="K16" s="4">
        <f>IF(I16=0,0,J16/I16)</f>
        <v>0</v>
      </c>
      <c r="L16" s="3">
        <v>12980.21700838298</v>
      </c>
      <c r="M16" s="3">
        <v>28.82879728573933</v>
      </c>
      <c r="N16" s="4">
        <f>IF(L16=0,0,M16/L16)</f>
        <v>0</v>
      </c>
      <c r="O16" s="3">
        <v>362.0106149542505</v>
      </c>
      <c r="P16" s="3">
        <v>7.080686168705637</v>
      </c>
      <c r="Q16" s="4">
        <f>IF(O16=0,0,P16/O16)</f>
        <v>0</v>
      </c>
      <c r="S16" s="3">
        <v>4161.262946589416</v>
      </c>
      <c r="T16" s="3">
        <v>1580.768037679544</v>
      </c>
      <c r="U16" s="4">
        <f>IF(S16=0,0,T16/S16)</f>
        <v>0</v>
      </c>
      <c r="V16" s="3">
        <v>121042695.9926408</v>
      </c>
      <c r="W16" s="3">
        <v>5624803.04057464</v>
      </c>
      <c r="X16" s="4">
        <f>IF(V16=0,0,W16/V16)</f>
        <v>0</v>
      </c>
      <c r="Y16" s="3">
        <v>2262233.551971834</v>
      </c>
      <c r="Z16" s="3">
        <v>48143.47526669828</v>
      </c>
      <c r="AA16" s="4">
        <f>IF(Y16=0,0,Z16/Y16)</f>
        <v>0</v>
      </c>
      <c r="AB16" s="3">
        <v>144811.4155872839</v>
      </c>
      <c r="AC16" s="3">
        <v>320.2886646784609</v>
      </c>
      <c r="AD16" s="4">
        <f>IF(AB16=0,0,AC16/AB16)</f>
        <v>0</v>
      </c>
    </row>
    <row r="17" spans="1:30">
      <c r="B17" t="s">
        <v>33</v>
      </c>
      <c r="C17" s="3">
        <f>J17+M17+G17+P17</f>
        <v>0</v>
      </c>
      <c r="D17" s="3">
        <f>G17</f>
        <v>0</v>
      </c>
      <c r="E17" s="3">
        <f>J17+M17+P17</f>
        <v>0</v>
      </c>
      <c r="F17" s="3">
        <v>271.6538476703636</v>
      </c>
      <c r="G17" s="3">
        <v>93.2369079938145</v>
      </c>
      <c r="H17" s="4">
        <f>IF(F17=0,0,G17/F17)</f>
        <v>0</v>
      </c>
      <c r="I17" s="3">
        <v>3866.404723234419</v>
      </c>
      <c r="J17" s="3">
        <v>199.0831212808485</v>
      </c>
      <c r="K17" s="4">
        <f>IF(I17=0,0,J17/I17)</f>
        <v>0</v>
      </c>
      <c r="L17" s="3">
        <v>12127.30661114934</v>
      </c>
      <c r="M17" s="3">
        <v>26.43375170142017</v>
      </c>
      <c r="N17" s="4">
        <f>IF(L17=0,0,M17/L17)</f>
        <v>0</v>
      </c>
      <c r="O17" s="3">
        <v>326.2902544418872</v>
      </c>
      <c r="P17" s="3">
        <v>6.173648437333526</v>
      </c>
      <c r="Q17" s="4">
        <f>IF(O17=0,0,P17/O17)</f>
        <v>0</v>
      </c>
      <c r="S17" s="3">
        <v>3923.86588366907</v>
      </c>
      <c r="T17" s="3">
        <v>1346.747434329211</v>
      </c>
      <c r="U17" s="4">
        <f>IF(S17=0,0,T17/S17)</f>
        <v>0</v>
      </c>
      <c r="V17" s="3">
        <v>114930948.5074336</v>
      </c>
      <c r="W17" s="3">
        <v>4858738.283078313</v>
      </c>
      <c r="X17" s="4">
        <f>IF(V17=0,0,W17/V17)</f>
        <v>0</v>
      </c>
      <c r="Y17" s="3">
        <v>2017724.044351414</v>
      </c>
      <c r="Z17" s="3">
        <v>39554.06946016243</v>
      </c>
      <c r="AA17" s="4">
        <f>IF(Y17=0,0,Z17/Y17)</f>
        <v>0</v>
      </c>
      <c r="AB17" s="3">
        <v>135303.8994357765</v>
      </c>
      <c r="AC17" s="3">
        <v>293.7986247426306</v>
      </c>
      <c r="AD17" s="4">
        <f>IF(AB17=0,0,AC17/AB17)</f>
        <v>0</v>
      </c>
    </row>
    <row r="18" spans="1:30">
      <c r="B18" t="s">
        <v>34</v>
      </c>
      <c r="C18" s="3">
        <f>J18+M18+G18+P18</f>
        <v>0</v>
      </c>
      <c r="D18" s="3">
        <f>G18</f>
        <v>0</v>
      </c>
      <c r="E18" s="3">
        <f>J18+M18+P18</f>
        <v>0</v>
      </c>
      <c r="F18" s="3">
        <v>231.3561787321935</v>
      </c>
      <c r="G18" s="3">
        <v>41.44780297413218</v>
      </c>
      <c r="H18" s="4">
        <f>IF(F18=0,0,G18/F18)</f>
        <v>0</v>
      </c>
      <c r="I18" s="3">
        <v>3364.404821554393</v>
      </c>
      <c r="J18" s="3">
        <v>100.8406044416442</v>
      </c>
      <c r="K18" s="4">
        <f>IF(I18=0,0,J18/I18)</f>
        <v>0</v>
      </c>
      <c r="L18" s="3">
        <v>11639.06744554709</v>
      </c>
      <c r="M18" s="3">
        <v>13.65298159589991</v>
      </c>
      <c r="N18" s="4">
        <f>IF(L18=0,0,M18/L18)</f>
        <v>0</v>
      </c>
      <c r="O18" s="3">
        <v>210.8368637670372</v>
      </c>
      <c r="P18" s="3">
        <v>2.020924868696747</v>
      </c>
      <c r="Q18" s="4">
        <f>IF(O18=0,0,P18/O18)</f>
        <v>0</v>
      </c>
      <c r="S18" s="3">
        <v>3341.791859340324</v>
      </c>
      <c r="T18" s="3">
        <v>598.6869740221155</v>
      </c>
      <c r="U18" s="4">
        <f>IF(S18=0,0,T18/S18)</f>
        <v>0</v>
      </c>
      <c r="V18" s="3">
        <v>107057780.7659875</v>
      </c>
      <c r="W18" s="3">
        <v>2679796.374648735</v>
      </c>
      <c r="X18" s="4">
        <f>IF(V18=0,0,W18/V18)</f>
        <v>0</v>
      </c>
      <c r="Y18" s="3">
        <v>1277885.722823765</v>
      </c>
      <c r="Z18" s="3">
        <v>14853.51614416833</v>
      </c>
      <c r="AA18" s="4">
        <f>IF(Y18=0,0,Z18/Y18)</f>
        <v>0</v>
      </c>
      <c r="AB18" s="3">
        <v>129863.8085071404</v>
      </c>
      <c r="AC18" s="3">
        <v>151.7156832687178</v>
      </c>
      <c r="AD18" s="4">
        <f>IF(AB18=0,0,AC18/AB18)</f>
        <v>0</v>
      </c>
    </row>
    <row r="20" spans="1:30">
      <c r="A20" s="2" t="s">
        <v>36</v>
      </c>
    </row>
    <row r="21" spans="1:30">
      <c r="B21" t="s">
        <v>28</v>
      </c>
      <c r="C21" s="3">
        <f>C23+C24+C25+C26+C27</f>
        <v>0</v>
      </c>
      <c r="D21" s="3">
        <f>D23+D24+D25+D26+D27</f>
        <v>0</v>
      </c>
      <c r="E21" s="3">
        <f>E23+E24+E25+E26+E27</f>
        <v>0</v>
      </c>
      <c r="F21" s="3">
        <f>F23+F24+F25+F26+F27</f>
        <v>0</v>
      </c>
      <c r="G21" s="3">
        <f>G23+G24+G25+G26+G27</f>
        <v>0</v>
      </c>
      <c r="H21" s="4">
        <f>IF(F21=0,0,G21/F21)</f>
        <v>0</v>
      </c>
      <c r="I21" s="3">
        <f>I23+I24+I25+I26+I27</f>
        <v>0</v>
      </c>
      <c r="J21" s="3">
        <f>J23+J24+J25+J26+J27</f>
        <v>0</v>
      </c>
      <c r="K21" s="4">
        <f>IF(I21=0,0,J21/I21)</f>
        <v>0</v>
      </c>
      <c r="L21" s="3">
        <f>L23+L24+L25+L26+L27</f>
        <v>0</v>
      </c>
      <c r="M21" s="3">
        <f>M23+M24+M25+M26+M27</f>
        <v>0</v>
      </c>
      <c r="N21" s="4">
        <f>IF(L21=0,0,M21/L21)</f>
        <v>0</v>
      </c>
      <c r="O21" s="3">
        <f>O23+O24+O25+O26+O27</f>
        <v>0</v>
      </c>
      <c r="P21" s="3">
        <f>P23+P24+P25+P26+P27</f>
        <v>0</v>
      </c>
      <c r="Q21" s="4">
        <f>IF(O21=0,0,P21/O21)</f>
        <v>0</v>
      </c>
      <c r="S21" s="3">
        <f>S23+S24+S25+S26+S27</f>
        <v>0</v>
      </c>
      <c r="T21" s="3">
        <f>T23+T24+T25+T26+T27</f>
        <v>0</v>
      </c>
      <c r="U21" s="4">
        <f>IF(S21=0,0,T21/S21)</f>
        <v>0</v>
      </c>
      <c r="V21" s="3">
        <f>V23+V24+V25+V26+V27</f>
        <v>0</v>
      </c>
      <c r="W21" s="3">
        <f>W23+W24+W25+W26+W27</f>
        <v>0</v>
      </c>
      <c r="X21" s="4">
        <f>IF(V21=0,0,W21/V21)</f>
        <v>0</v>
      </c>
      <c r="Y21" s="3">
        <f>Y23+Y24+Y25+Y26+Y27</f>
        <v>0</v>
      </c>
      <c r="Z21" s="3">
        <f>Z23+Z24+Z25+Z26+Z27</f>
        <v>0</v>
      </c>
      <c r="AA21" s="4">
        <f>IF(Y21=0,0,Z21/Y21)</f>
        <v>0</v>
      </c>
      <c r="AB21" s="3">
        <f>AB23+AB24+AB25+AB26+AB27</f>
        <v>0</v>
      </c>
      <c r="AC21" s="3">
        <f>AC23+AC24+AC25+AC26+AC27</f>
        <v>0</v>
      </c>
      <c r="AD21" s="4">
        <f>IF(AB21=0,0,AC21/AB21)</f>
        <v>0</v>
      </c>
    </row>
    <row r="22" spans="1:30">
      <c r="A22" s="5" t="s">
        <v>29</v>
      </c>
    </row>
    <row r="23" spans="1:30">
      <c r="B23" t="s">
        <v>30</v>
      </c>
      <c r="C23" s="3">
        <f>J23+M23+G23+P23</f>
        <v>0</v>
      </c>
      <c r="D23" s="3">
        <f>G23</f>
        <v>0</v>
      </c>
      <c r="E23" s="3">
        <f>J23+M23+P23</f>
        <v>0</v>
      </c>
      <c r="F23" s="3">
        <v>414.1483857332581</v>
      </c>
      <c r="G23" s="3">
        <v>268.7588990063936</v>
      </c>
      <c r="H23" s="4">
        <f>IF(F23=0,0,G23/F23)</f>
        <v>0</v>
      </c>
      <c r="I23" s="3">
        <v>1108.055716585262</v>
      </c>
      <c r="J23" s="3">
        <v>152.8113304434048</v>
      </c>
      <c r="K23" s="4">
        <f>IF(I23=0,0,J23/I23)</f>
        <v>0</v>
      </c>
      <c r="L23" s="3">
        <v>17011.801165714</v>
      </c>
      <c r="M23" s="3">
        <v>89.60077630843968</v>
      </c>
      <c r="N23" s="4">
        <f>IF(L23=0,0,M23/L23)</f>
        <v>0</v>
      </c>
      <c r="O23" s="3">
        <v>549.9985622454193</v>
      </c>
      <c r="P23" s="3">
        <v>22.28616294577986</v>
      </c>
      <c r="Q23" s="4">
        <f>IF(O23=0,0,P23/O23)</f>
        <v>0</v>
      </c>
      <c r="S23" s="3">
        <v>7596.11775664314</v>
      </c>
      <c r="T23" s="3">
        <v>4929.451170946294</v>
      </c>
      <c r="U23" s="4">
        <f>IF(S23=0,0,T23/S23)</f>
        <v>0</v>
      </c>
      <c r="V23" s="3">
        <v>27431637.53707126</v>
      </c>
      <c r="W23" s="3">
        <v>2871705.046079703</v>
      </c>
      <c r="X23" s="4">
        <f>IF(V23=0,0,W23/V23)</f>
        <v>0</v>
      </c>
      <c r="Y23" s="3">
        <v>2838841.735003161</v>
      </c>
      <c r="Z23" s="3">
        <v>112549.4485840783</v>
      </c>
      <c r="AA23" s="4">
        <f>IF(Y23=0,0,Z23/Y23)</f>
        <v>0</v>
      </c>
      <c r="AB23" s="3">
        <v>191414.3297679779</v>
      </c>
      <c r="AC23" s="3">
        <v>995.015786015254</v>
      </c>
      <c r="AD23" s="4">
        <f>IF(AB23=0,0,AC23/AB23)</f>
        <v>0</v>
      </c>
    </row>
    <row r="24" spans="1:30">
      <c r="B24" t="s">
        <v>31</v>
      </c>
      <c r="C24" s="3">
        <f>J24+M24+G24+P24</f>
        <v>0</v>
      </c>
      <c r="D24" s="3">
        <f>G24</f>
        <v>0</v>
      </c>
      <c r="E24" s="3">
        <f>J24+M24+P24</f>
        <v>0</v>
      </c>
      <c r="F24" s="3">
        <v>423.4925012827377</v>
      </c>
      <c r="G24" s="3">
        <v>265.196859797002</v>
      </c>
      <c r="H24" s="4">
        <f>IF(F24=0,0,G24/F24)</f>
        <v>0</v>
      </c>
      <c r="I24" s="3">
        <v>949.118316777312</v>
      </c>
      <c r="J24" s="3">
        <v>143.1138573807727</v>
      </c>
      <c r="K24" s="4">
        <f>IF(I24=0,0,J24/I24)</f>
        <v>0</v>
      </c>
      <c r="L24" s="3">
        <v>17262.12457025323</v>
      </c>
      <c r="M24" s="3">
        <v>83.62756285276636</v>
      </c>
      <c r="N24" s="4">
        <f>IF(L24=0,0,M24/L24)</f>
        <v>0</v>
      </c>
      <c r="O24" s="3">
        <v>546.7455795701167</v>
      </c>
      <c r="P24" s="3">
        <v>23.62213058602001</v>
      </c>
      <c r="Q24" s="4">
        <f>IF(O24=0,0,P24/O24)</f>
        <v>0</v>
      </c>
      <c r="S24" s="3">
        <v>7767.503193579848</v>
      </c>
      <c r="T24" s="3">
        <v>4864.117898572401</v>
      </c>
      <c r="U24" s="4">
        <f>IF(S24=0,0,T24/S24)</f>
        <v>0</v>
      </c>
      <c r="V24" s="3">
        <v>24926729.65305717</v>
      </c>
      <c r="W24" s="3">
        <v>2981714.140268512</v>
      </c>
      <c r="X24" s="4">
        <f>IF(V24=0,0,W24/V24)</f>
        <v>0</v>
      </c>
      <c r="Y24" s="3">
        <v>2728058.929013245</v>
      </c>
      <c r="Z24" s="3">
        <v>120382.214781953</v>
      </c>
      <c r="AA24" s="4">
        <f>IF(Y24=0,0,Z24/Y24)</f>
        <v>0</v>
      </c>
      <c r="AB24" s="3">
        <v>194285.3818641235</v>
      </c>
      <c r="AC24" s="3">
        <v>928.2471326165542</v>
      </c>
      <c r="AD24" s="4">
        <f>IF(AB24=0,0,AC24/AB24)</f>
        <v>0</v>
      </c>
    </row>
    <row r="25" spans="1:30">
      <c r="B25" t="s">
        <v>32</v>
      </c>
      <c r="C25" s="3">
        <f>J25+M25+G25+P25</f>
        <v>0</v>
      </c>
      <c r="D25" s="3">
        <f>G25</f>
        <v>0</v>
      </c>
      <c r="E25" s="3">
        <f>J25+M25+P25</f>
        <v>0</v>
      </c>
      <c r="F25" s="3">
        <v>383.3772465961786</v>
      </c>
      <c r="G25" s="3">
        <v>207.6861063739965</v>
      </c>
      <c r="H25" s="4">
        <f>IF(F25=0,0,G25/F25)</f>
        <v>0</v>
      </c>
      <c r="I25" s="3">
        <v>812.8399148483488</v>
      </c>
      <c r="J25" s="3">
        <v>128.7957158822644</v>
      </c>
      <c r="K25" s="4">
        <f>IF(I25=0,0,J25/I25)</f>
        <v>0</v>
      </c>
      <c r="L25" s="3">
        <v>14358.06173102218</v>
      </c>
      <c r="M25" s="3">
        <v>47.82929256691225</v>
      </c>
      <c r="N25" s="4">
        <f>IF(L25=0,0,M25/L25)</f>
        <v>0</v>
      </c>
      <c r="O25" s="3">
        <v>368.6755302231475</v>
      </c>
      <c r="P25" s="3">
        <v>17.95913611626596</v>
      </c>
      <c r="Q25" s="4">
        <f>IF(O25=0,0,P25/O25)</f>
        <v>0</v>
      </c>
      <c r="S25" s="3">
        <v>7031.727783282595</v>
      </c>
      <c r="T25" s="3">
        <v>3809.282312286219</v>
      </c>
      <c r="U25" s="4">
        <f>IF(S25=0,0,T25/S25)</f>
        <v>0</v>
      </c>
      <c r="V25" s="3">
        <v>22587787.7184066</v>
      </c>
      <c r="W25" s="3">
        <v>2940867.548315275</v>
      </c>
      <c r="X25" s="4">
        <f>IF(V25=0,0,W25/V25)</f>
        <v>0</v>
      </c>
      <c r="Y25" s="3">
        <v>1833771.759255057</v>
      </c>
      <c r="Z25" s="3">
        <v>90350.91742391349</v>
      </c>
      <c r="AA25" s="4">
        <f>IF(Y25=0,0,Z25/Y25)</f>
        <v>0</v>
      </c>
      <c r="AB25" s="3">
        <v>161615.9683072457</v>
      </c>
      <c r="AC25" s="3">
        <v>530.8922197069915</v>
      </c>
      <c r="AD25" s="4">
        <f>IF(AB25=0,0,AC25/AB25)</f>
        <v>0</v>
      </c>
    </row>
    <row r="26" spans="1:30">
      <c r="B26" t="s">
        <v>33</v>
      </c>
      <c r="C26" s="3">
        <f>J26+M26+G26+P26</f>
        <v>0</v>
      </c>
      <c r="D26" s="3">
        <f>G26</f>
        <v>0</v>
      </c>
      <c r="E26" s="3">
        <f>J26+M26+P26</f>
        <v>0</v>
      </c>
      <c r="F26" s="3">
        <v>339.8250758454431</v>
      </c>
      <c r="G26" s="3">
        <v>163.9650491569163</v>
      </c>
      <c r="H26" s="4">
        <f>IF(F26=0,0,G26/F26)</f>
        <v>0</v>
      </c>
      <c r="I26" s="3">
        <v>743.9010935936449</v>
      </c>
      <c r="J26" s="3">
        <v>121.8135940932956</v>
      </c>
      <c r="K26" s="4">
        <f>IF(I26=0,0,J26/I26)</f>
        <v>0</v>
      </c>
      <c r="L26" s="3">
        <v>11515.87046614333</v>
      </c>
      <c r="M26" s="3">
        <v>29.4853726437483</v>
      </c>
      <c r="N26" s="4">
        <f>IF(L26=0,0,M26/L26)</f>
        <v>0</v>
      </c>
      <c r="O26" s="3">
        <v>322.3352502269547</v>
      </c>
      <c r="P26" s="3">
        <v>15.34015562439407</v>
      </c>
      <c r="Q26" s="4">
        <f>IF(O26=0,0,P26/O26)</f>
        <v>0</v>
      </c>
      <c r="S26" s="3">
        <v>6232.914051353447</v>
      </c>
      <c r="T26" s="3">
        <v>3007.370943060754</v>
      </c>
      <c r="U26" s="4">
        <f>IF(S26=0,0,T26/S26)</f>
        <v>0</v>
      </c>
      <c r="V26" s="3">
        <v>21637527.93050475</v>
      </c>
      <c r="W26" s="3">
        <v>2939331.981051177</v>
      </c>
      <c r="X26" s="4">
        <f>IF(V26=0,0,W26/V26)</f>
        <v>0</v>
      </c>
      <c r="Y26" s="3">
        <v>1639385.764644713</v>
      </c>
      <c r="Z26" s="3">
        <v>70324.08779524639</v>
      </c>
      <c r="AA26" s="4">
        <f>IF(Y26=0,0,Z26/Y26)</f>
        <v>0</v>
      </c>
      <c r="AB26" s="3">
        <v>129654.9538778912</v>
      </c>
      <c r="AC26" s="3">
        <v>327.3292520279356</v>
      </c>
      <c r="AD26" s="4">
        <f>IF(AB26=0,0,AC26/AB26)</f>
        <v>0</v>
      </c>
    </row>
    <row r="27" spans="1:30">
      <c r="B27" t="s">
        <v>34</v>
      </c>
      <c r="C27" s="3">
        <f>J27+M27+G27+P27</f>
        <v>0</v>
      </c>
      <c r="D27" s="3">
        <f>G27</f>
        <v>0</v>
      </c>
      <c r="E27" s="3">
        <f>J27+M27+P27</f>
        <v>0</v>
      </c>
      <c r="F27" s="3">
        <v>298.4746794483207</v>
      </c>
      <c r="G27" s="3">
        <v>136.2522506171126</v>
      </c>
      <c r="H27" s="4">
        <f>IF(F27=0,0,G27/F27)</f>
        <v>0</v>
      </c>
      <c r="I27" s="3">
        <v>534.7276074530099</v>
      </c>
      <c r="J27" s="3">
        <v>94.97372757948976</v>
      </c>
      <c r="K27" s="4">
        <f>IF(I27=0,0,J27/I27)</f>
        <v>0</v>
      </c>
      <c r="L27" s="3">
        <v>10051.0537036804</v>
      </c>
      <c r="M27" s="3">
        <v>26.25223764907569</v>
      </c>
      <c r="N27" s="4">
        <f>IF(L27=0,0,M27/L27)</f>
        <v>0</v>
      </c>
      <c r="O27" s="3">
        <v>226.6668752752476</v>
      </c>
      <c r="P27" s="3">
        <v>9.975083572365314</v>
      </c>
      <c r="Q27" s="4">
        <f>IF(O27=0,0,P27/O27)</f>
        <v>0</v>
      </c>
      <c r="S27" s="3">
        <v>5474.484244219731</v>
      </c>
      <c r="T27" s="3">
        <v>2499.075635566639</v>
      </c>
      <c r="U27" s="4">
        <f>IF(S27=0,0,T27/S27)</f>
        <v>0</v>
      </c>
      <c r="V27" s="3">
        <v>17469072.97061635</v>
      </c>
      <c r="W27" s="3">
        <v>2697278.525443047</v>
      </c>
      <c r="X27" s="4">
        <f>IF(V27=0,0,W27/V27)</f>
        <v>0</v>
      </c>
      <c r="Y27" s="3">
        <v>1102531.385602113</v>
      </c>
      <c r="Z27" s="3">
        <v>52826.84309652611</v>
      </c>
      <c r="AA27" s="4">
        <f>IF(Y27=0,0,Z27/Y27)</f>
        <v>0</v>
      </c>
      <c r="AB27" s="3">
        <v>113172.8675108527</v>
      </c>
      <c r="AC27" s="3">
        <v>291.5021697164193</v>
      </c>
      <c r="AD27" s="4">
        <f>IF(AB27=0,0,AC27/AB27)</f>
        <v>0</v>
      </c>
    </row>
    <row r="29" spans="1:30">
      <c r="A29" s="2" t="s">
        <v>37</v>
      </c>
    </row>
    <row r="30" spans="1:30">
      <c r="B30" t="s">
        <v>28</v>
      </c>
      <c r="C30" s="3">
        <f>C32+C33+C34+C35+C36</f>
        <v>0</v>
      </c>
      <c r="D30" s="3">
        <f>D32+D33+D34+D35+D36</f>
        <v>0</v>
      </c>
      <c r="E30" s="3">
        <f>E32+E33+E34+E35+E36</f>
        <v>0</v>
      </c>
      <c r="F30" s="3">
        <f>F32+F33+F34+F35+F36</f>
        <v>0</v>
      </c>
      <c r="G30" s="3">
        <f>G32+G33+G34+G35+G36</f>
        <v>0</v>
      </c>
      <c r="H30" s="4">
        <f>IF(F30=0,0,G30/F30)</f>
        <v>0</v>
      </c>
      <c r="I30" s="3">
        <f>I32+I33+I34+I35+I36</f>
        <v>0</v>
      </c>
      <c r="J30" s="3">
        <f>J32+J33+J34+J35+J36</f>
        <v>0</v>
      </c>
      <c r="K30" s="4">
        <f>IF(I30=0,0,J30/I30)</f>
        <v>0</v>
      </c>
      <c r="L30" s="3">
        <f>L32+L33+L34+L35+L36</f>
        <v>0</v>
      </c>
      <c r="M30" s="3">
        <f>M32+M33+M34+M35+M36</f>
        <v>0</v>
      </c>
      <c r="N30" s="4">
        <f>IF(L30=0,0,M30/L30)</f>
        <v>0</v>
      </c>
      <c r="O30" s="3">
        <f>O32+O33+O34+O35+O36</f>
        <v>0</v>
      </c>
      <c r="P30" s="3">
        <f>P32+P33+P34+P35+P36</f>
        <v>0</v>
      </c>
      <c r="Q30" s="4">
        <f>IF(O30=0,0,P30/O30)</f>
        <v>0</v>
      </c>
      <c r="S30" s="3">
        <f>S32+S33+S34+S35+S36</f>
        <v>0</v>
      </c>
      <c r="T30" s="3">
        <f>T32+T33+T34+T35+T36</f>
        <v>0</v>
      </c>
      <c r="U30" s="4">
        <f>IF(S30=0,0,T30/S30)</f>
        <v>0</v>
      </c>
      <c r="V30" s="3">
        <f>V32+V33+V34+V35+V36</f>
        <v>0</v>
      </c>
      <c r="W30" s="3">
        <f>W32+W33+W34+W35+W36</f>
        <v>0</v>
      </c>
      <c r="X30" s="4">
        <f>IF(V30=0,0,W30/V30)</f>
        <v>0</v>
      </c>
      <c r="Y30" s="3">
        <f>Y32+Y33+Y34+Y35+Y36</f>
        <v>0</v>
      </c>
      <c r="Z30" s="3">
        <f>Z32+Z33+Z34+Z35+Z36</f>
        <v>0</v>
      </c>
      <c r="AA30" s="4">
        <f>IF(Y30=0,0,Z30/Y30)</f>
        <v>0</v>
      </c>
      <c r="AB30" s="3">
        <f>AB32+AB33+AB34+AB35+AB36</f>
        <v>0</v>
      </c>
      <c r="AC30" s="3">
        <f>AC32+AC33+AC34+AC35+AC36</f>
        <v>0</v>
      </c>
      <c r="AD30" s="4">
        <f>IF(AB30=0,0,AC30/AB30)</f>
        <v>0</v>
      </c>
    </row>
    <row r="31" spans="1:30">
      <c r="A31" s="5" t="s">
        <v>29</v>
      </c>
    </row>
    <row r="32" spans="1:30">
      <c r="B32" t="s">
        <v>30</v>
      </c>
      <c r="C32" s="3">
        <f>J32+M32+G32+P32</f>
        <v>0</v>
      </c>
      <c r="D32" s="3">
        <f>G32</f>
        <v>0</v>
      </c>
      <c r="E32" s="3">
        <f>J32+M32+P32</f>
        <v>0</v>
      </c>
      <c r="F32" s="3">
        <v>414.1483857332581</v>
      </c>
      <c r="G32" s="3">
        <v>17.33318367138942</v>
      </c>
      <c r="H32" s="4">
        <f>IF(F32=0,0,G32/F32)</f>
        <v>0</v>
      </c>
      <c r="I32" s="3">
        <v>1108.055716585262</v>
      </c>
      <c r="J32" s="3">
        <v>12.96842238628073</v>
      </c>
      <c r="K32" s="4">
        <f>IF(I32=0,0,J32/I32)</f>
        <v>0</v>
      </c>
      <c r="L32" s="3">
        <v>17011.801165714</v>
      </c>
      <c r="M32" s="3">
        <v>1.612388412721455</v>
      </c>
      <c r="N32" s="4">
        <f>IF(L32=0,0,M32/L32)</f>
        <v>0</v>
      </c>
      <c r="O32" s="3">
        <v>549.9985622454193</v>
      </c>
      <c r="P32" s="3">
        <v>1.850068818195141</v>
      </c>
      <c r="Q32" s="4">
        <f>IF(O32=0,0,P32/O32)</f>
        <v>0</v>
      </c>
      <c r="S32" s="3">
        <v>7596.11775664314</v>
      </c>
      <c r="T32" s="3">
        <v>317.9172219451793</v>
      </c>
      <c r="U32" s="4">
        <f>IF(S32=0,0,T32/S32)</f>
        <v>0</v>
      </c>
      <c r="V32" s="3">
        <v>27431637.53707126</v>
      </c>
      <c r="W32" s="3">
        <v>238834.02248694</v>
      </c>
      <c r="X32" s="4">
        <f>IF(V32=0,0,W32/V32)</f>
        <v>0</v>
      </c>
      <c r="Y32" s="3">
        <v>2838841.735003161</v>
      </c>
      <c r="Z32" s="3">
        <v>8224.811193448491</v>
      </c>
      <c r="AA32" s="4">
        <f>IF(Y32=0,0,Z32/Y32)</f>
        <v>0</v>
      </c>
      <c r="AB32" s="3">
        <v>191414.3297679779</v>
      </c>
      <c r="AC32" s="3">
        <v>17.91354115575086</v>
      </c>
      <c r="AD32" s="4">
        <f>IF(AB32=0,0,AC32/AB32)</f>
        <v>0</v>
      </c>
    </row>
    <row r="33" spans="1:30">
      <c r="B33" t="s">
        <v>31</v>
      </c>
      <c r="C33" s="3">
        <f>J33+M33+G33+P33</f>
        <v>0</v>
      </c>
      <c r="D33" s="3">
        <f>G33</f>
        <v>0</v>
      </c>
      <c r="E33" s="3">
        <f>J33+M33+P33</f>
        <v>0</v>
      </c>
      <c r="F33" s="3">
        <v>423.4925012827377</v>
      </c>
      <c r="G33" s="3">
        <v>33.49612922113162</v>
      </c>
      <c r="H33" s="4">
        <f>IF(F33=0,0,G33/F33)</f>
        <v>0</v>
      </c>
      <c r="I33" s="3">
        <v>949.118316777312</v>
      </c>
      <c r="J33" s="3">
        <v>15.83439497350773</v>
      </c>
      <c r="K33" s="4">
        <f>IF(I33=0,0,J33/I33)</f>
        <v>0</v>
      </c>
      <c r="L33" s="3">
        <v>17262.12457025323</v>
      </c>
      <c r="M33" s="3">
        <v>3.088071183532477</v>
      </c>
      <c r="N33" s="4">
        <f>IF(L33=0,0,M33/L33)</f>
        <v>0</v>
      </c>
      <c r="O33" s="3">
        <v>546.7455795701167</v>
      </c>
      <c r="P33" s="3">
        <v>2.163429498037091</v>
      </c>
      <c r="Q33" s="4">
        <f>IF(O33=0,0,P33/O33)</f>
        <v>0</v>
      </c>
      <c r="S33" s="3">
        <v>7767.503193579848</v>
      </c>
      <c r="T33" s="3">
        <v>614.3704786026356</v>
      </c>
      <c r="U33" s="4">
        <f>IF(S33=0,0,T33/S33)</f>
        <v>0</v>
      </c>
      <c r="V33" s="3">
        <v>24926729.65305717</v>
      </c>
      <c r="W33" s="3">
        <v>324457.6168491468</v>
      </c>
      <c r="X33" s="4">
        <f>IF(V33=0,0,W33/V33)</f>
        <v>0</v>
      </c>
      <c r="Y33" s="3">
        <v>2728058.929013245</v>
      </c>
      <c r="Z33" s="3">
        <v>12538.93288748013</v>
      </c>
      <c r="AA33" s="4">
        <f>IF(Y33=0,0,Z33/Y33)</f>
        <v>0</v>
      </c>
      <c r="AB33" s="3">
        <v>194285.3818641235</v>
      </c>
      <c r="AC33" s="3">
        <v>34.19857857009629</v>
      </c>
      <c r="AD33" s="4">
        <f>IF(AB33=0,0,AC33/AB33)</f>
        <v>0</v>
      </c>
    </row>
    <row r="34" spans="1:30">
      <c r="B34" t="s">
        <v>32</v>
      </c>
      <c r="C34" s="3">
        <f>J34+M34+G34+P34</f>
        <v>0</v>
      </c>
      <c r="D34" s="3">
        <f>G34</f>
        <v>0</v>
      </c>
      <c r="E34" s="3">
        <f>J34+M34+P34</f>
        <v>0</v>
      </c>
      <c r="F34" s="3">
        <v>383.3772465961786</v>
      </c>
      <c r="G34" s="3">
        <v>41.90985526450491</v>
      </c>
      <c r="H34" s="4">
        <f>IF(F34=0,0,G34/F34)</f>
        <v>0</v>
      </c>
      <c r="I34" s="3">
        <v>812.8399148483488</v>
      </c>
      <c r="J34" s="3">
        <v>17.2345983792363</v>
      </c>
      <c r="K34" s="4">
        <f>IF(I34=0,0,J34/I34)</f>
        <v>0</v>
      </c>
      <c r="L34" s="3">
        <v>14358.06173102218</v>
      </c>
      <c r="M34" s="3">
        <v>2.197665334034711</v>
      </c>
      <c r="N34" s="4">
        <f>IF(L34=0,0,M34/L34)</f>
        <v>0</v>
      </c>
      <c r="O34" s="3">
        <v>368.6755302231475</v>
      </c>
      <c r="P34" s="3">
        <v>1.927282700260461</v>
      </c>
      <c r="Q34" s="4">
        <f>IF(O34=0,0,P34/O34)</f>
        <v>0</v>
      </c>
      <c r="S34" s="3">
        <v>7031.727783282595</v>
      </c>
      <c r="T34" s="3">
        <v>768.6911424015352</v>
      </c>
      <c r="U34" s="4">
        <f>IF(S34=0,0,T34/S34)</f>
        <v>0</v>
      </c>
      <c r="V34" s="3">
        <v>22587787.7184066</v>
      </c>
      <c r="W34" s="3">
        <v>388017.1677994356</v>
      </c>
      <c r="X34" s="4">
        <f>IF(V34=0,0,W34/V34)</f>
        <v>0</v>
      </c>
      <c r="Y34" s="3">
        <v>1833771.759255057</v>
      </c>
      <c r="Z34" s="3">
        <v>12224.97154247691</v>
      </c>
      <c r="AA34" s="4">
        <f>IF(Y34=0,0,Z34/Y34)</f>
        <v>0</v>
      </c>
      <c r="AB34" s="3">
        <v>161615.9683072457</v>
      </c>
      <c r="AC34" s="3">
        <v>24.42755612148903</v>
      </c>
      <c r="AD34" s="4">
        <f>IF(AB34=0,0,AC34/AB34)</f>
        <v>0</v>
      </c>
    </row>
    <row r="35" spans="1:30">
      <c r="B35" t="s">
        <v>33</v>
      </c>
      <c r="C35" s="3">
        <f>J35+M35+G35+P35</f>
        <v>0</v>
      </c>
      <c r="D35" s="3">
        <f>G35</f>
        <v>0</v>
      </c>
      <c r="E35" s="3">
        <f>J35+M35+P35</f>
        <v>0</v>
      </c>
      <c r="F35" s="3">
        <v>339.8250758454431</v>
      </c>
      <c r="G35" s="3">
        <v>49.15588258143957</v>
      </c>
      <c r="H35" s="4">
        <f>IF(F35=0,0,G35/F35)</f>
        <v>0</v>
      </c>
      <c r="I35" s="3">
        <v>743.9010935936449</v>
      </c>
      <c r="J35" s="3">
        <v>18.88886539927812</v>
      </c>
      <c r="K35" s="4">
        <f>IF(I35=0,0,J35/I35)</f>
        <v>0</v>
      </c>
      <c r="L35" s="3">
        <v>11515.87046614333</v>
      </c>
      <c r="M35" s="3">
        <v>2.638893344042823</v>
      </c>
      <c r="N35" s="4">
        <f>IF(L35=0,0,M35/L35)</f>
        <v>0</v>
      </c>
      <c r="O35" s="3">
        <v>322.3352502269547</v>
      </c>
      <c r="P35" s="3">
        <v>2.3030336125826</v>
      </c>
      <c r="Q35" s="4">
        <f>IF(O35=0,0,P35/O35)</f>
        <v>0</v>
      </c>
      <c r="S35" s="3">
        <v>6232.914051353447</v>
      </c>
      <c r="T35" s="3">
        <v>901.5944173227599</v>
      </c>
      <c r="U35" s="4">
        <f>IF(S35=0,0,T35/S35)</f>
        <v>0</v>
      </c>
      <c r="V35" s="3">
        <v>21637527.93050475</v>
      </c>
      <c r="W35" s="3">
        <v>449735.9740116</v>
      </c>
      <c r="X35" s="4">
        <f>IF(V35=0,0,W35/V35)</f>
        <v>0</v>
      </c>
      <c r="Y35" s="3">
        <v>1639385.764644713</v>
      </c>
      <c r="Z35" s="3">
        <v>10788.55772052007</v>
      </c>
      <c r="AA35" s="4">
        <f>IF(Y35=0,0,Z35/Y35)</f>
        <v>0</v>
      </c>
      <c r="AB35" s="3">
        <v>129654.9538778912</v>
      </c>
      <c r="AC35" s="3">
        <v>29.31306734577811</v>
      </c>
      <c r="AD35" s="4">
        <f>IF(AB35=0,0,AC35/AB35)</f>
        <v>0</v>
      </c>
    </row>
    <row r="36" spans="1:30">
      <c r="B36" t="s">
        <v>34</v>
      </c>
      <c r="C36" s="3">
        <f>J36+M36+G36+P36</f>
        <v>0</v>
      </c>
      <c r="D36" s="3">
        <f>G36</f>
        <v>0</v>
      </c>
      <c r="E36" s="3">
        <f>J36+M36+P36</f>
        <v>0</v>
      </c>
      <c r="F36" s="3">
        <v>298.4746794483207</v>
      </c>
      <c r="G36" s="3">
        <v>47.84221324221152</v>
      </c>
      <c r="H36" s="4">
        <f>IF(F36=0,0,G36/F36)</f>
        <v>0</v>
      </c>
      <c r="I36" s="3">
        <v>534.7276074530099</v>
      </c>
      <c r="J36" s="3">
        <v>15.8855046137232</v>
      </c>
      <c r="K36" s="4">
        <f>IF(I36=0,0,J36/I36)</f>
        <v>0</v>
      </c>
      <c r="L36" s="3">
        <v>10051.0537036804</v>
      </c>
      <c r="M36" s="3">
        <v>2.796754232564941</v>
      </c>
      <c r="N36" s="4">
        <f>IF(L36=0,0,M36/L36)</f>
        <v>0</v>
      </c>
      <c r="O36" s="3">
        <v>226.6668752752476</v>
      </c>
      <c r="P36" s="3">
        <v>1.474631430243928</v>
      </c>
      <c r="Q36" s="4">
        <f>IF(O36=0,0,P36/O36)</f>
        <v>0</v>
      </c>
      <c r="S36" s="3">
        <v>5474.484244219731</v>
      </c>
      <c r="T36" s="3">
        <v>877.4997031144685</v>
      </c>
      <c r="U36" s="4">
        <f>IF(S36=0,0,T36/S36)</f>
        <v>0</v>
      </c>
      <c r="V36" s="3">
        <v>17469072.97061635</v>
      </c>
      <c r="W36" s="3">
        <v>445666.0981375836</v>
      </c>
      <c r="X36" s="4">
        <f>IF(V36=0,0,W36/V36)</f>
        <v>0</v>
      </c>
      <c r="Y36" s="3">
        <v>1102531.385602113</v>
      </c>
      <c r="Z36" s="3">
        <v>8784.410689204931</v>
      </c>
      <c r="AA36" s="4">
        <f>IF(Y36=0,0,Z36/Y36)</f>
        <v>0</v>
      </c>
      <c r="AB36" s="3">
        <v>113172.8675108527</v>
      </c>
      <c r="AC36" s="3">
        <v>30.94157108721265</v>
      </c>
      <c r="AD36" s="4">
        <f>IF(AB36=0,0,AC36/AB36)</f>
        <v>0</v>
      </c>
    </row>
    <row r="38" spans="1:30">
      <c r="A38" s="2" t="s">
        <v>38</v>
      </c>
    </row>
    <row r="39" spans="1:30">
      <c r="B39" t="s">
        <v>28</v>
      </c>
      <c r="C39" s="3">
        <f>C41+C42+C43+C44+C45</f>
        <v>0</v>
      </c>
      <c r="D39" s="3">
        <f>D41+D42+D43+D44+D45</f>
        <v>0</v>
      </c>
      <c r="E39" s="3">
        <f>E41+E42+E43+E44+E45</f>
        <v>0</v>
      </c>
      <c r="F39" s="3">
        <f>F41+F42+F43+F44+F45</f>
        <v>0</v>
      </c>
      <c r="G39" s="3">
        <f>G41+G42+G43+G44+G45</f>
        <v>0</v>
      </c>
      <c r="H39" s="4">
        <f>IF(F39=0,0,G39/F39)</f>
        <v>0</v>
      </c>
      <c r="I39" s="3">
        <f>I41+I42+I43+I44+I45</f>
        <v>0</v>
      </c>
      <c r="J39" s="6">
        <f>J41+J42+J43+J44+J45</f>
        <v>0</v>
      </c>
      <c r="K39" s="7">
        <f>IF(I39=0,0,J39/I39)</f>
        <v>0</v>
      </c>
      <c r="L39" s="3">
        <f>L41+L42+L43+L44+L45</f>
        <v>0</v>
      </c>
      <c r="M39" s="3">
        <f>M41+M42+M43+M44+M45</f>
        <v>0</v>
      </c>
      <c r="N39" s="4">
        <f>IF(L39=0,0,M39/L39)</f>
        <v>0</v>
      </c>
      <c r="O39" s="3">
        <f>O41+O42+O43+O44+O45</f>
        <v>0</v>
      </c>
      <c r="P39" s="3">
        <f>P41+P42+P43+P44+P45</f>
        <v>0</v>
      </c>
      <c r="Q39" s="4">
        <f>IF(O39=0,0,P39/O39)</f>
        <v>0</v>
      </c>
      <c r="S39" s="3">
        <f>S41+S42+S43+S44+S45</f>
        <v>0</v>
      </c>
      <c r="T39" s="3">
        <f>T41+T42+T43+T44+T45</f>
        <v>0</v>
      </c>
      <c r="U39" s="4">
        <f>IF(S39=0,0,T39/S39)</f>
        <v>0</v>
      </c>
      <c r="V39" s="3">
        <f>V41+V42+V43+V44+V45</f>
        <v>0</v>
      </c>
      <c r="W39" s="6">
        <f>W41+W42+W43+W44+W45</f>
        <v>0</v>
      </c>
      <c r="X39" s="7">
        <f>IF(V39=0,0,W39/V39)</f>
        <v>0</v>
      </c>
      <c r="Y39" s="3">
        <f>Y41+Y42+Y43+Y44+Y45</f>
        <v>0</v>
      </c>
      <c r="Z39" s="3">
        <f>Z41+Z42+Z43+Z44+Z45</f>
        <v>0</v>
      </c>
      <c r="AA39" s="4">
        <f>IF(Y39=0,0,Z39/Y39)</f>
        <v>0</v>
      </c>
      <c r="AB39" s="3">
        <f>AB41+AB42+AB43+AB44+AB45</f>
        <v>0</v>
      </c>
      <c r="AC39" s="3">
        <f>AC41+AC42+AC43+AC44+AC45</f>
        <v>0</v>
      </c>
      <c r="AD39" s="4">
        <f>IF(AB39=0,0,AC39/AB39)</f>
        <v>0</v>
      </c>
    </row>
    <row r="40" spans="1:30">
      <c r="A40" s="5" t="s">
        <v>29</v>
      </c>
    </row>
    <row r="41" spans="1:30">
      <c r="B41" t="s">
        <v>30</v>
      </c>
      <c r="C41" s="3">
        <f>J41+M41+G41+P41</f>
        <v>0</v>
      </c>
      <c r="D41" s="3">
        <f>G41+J41</f>
        <v>0</v>
      </c>
      <c r="E41" s="3">
        <f>P41+M41</f>
        <v>0</v>
      </c>
      <c r="F41" s="3">
        <v>155.6881748268545</v>
      </c>
      <c r="G41" s="3">
        <v>72.16538725395763</v>
      </c>
      <c r="H41" s="4">
        <f>IF(F41=0,0,G41/F41)</f>
        <v>0</v>
      </c>
      <c r="I41" s="3">
        <v>382.3073643284127</v>
      </c>
      <c r="J41" s="6">
        <v>6.931603770051908</v>
      </c>
      <c r="K41" s="7">
        <f>IF(I41=0,0,J41/I41)</f>
        <v>0</v>
      </c>
      <c r="L41" s="3">
        <v>0</v>
      </c>
      <c r="M41" s="3">
        <v>0</v>
      </c>
      <c r="N41" s="4">
        <f>IF(L41=0,0,M41/L41)</f>
        <v>0</v>
      </c>
      <c r="O41" s="3">
        <v>0</v>
      </c>
      <c r="P41" s="3">
        <v>0</v>
      </c>
      <c r="Q41" s="4">
        <f>IF(O41=0,0,P41/O41)</f>
        <v>0</v>
      </c>
      <c r="S41" s="3">
        <v>2076.357563684252</v>
      </c>
      <c r="T41" s="3">
        <v>962.4439866907096</v>
      </c>
      <c r="U41" s="4">
        <f>IF(S41=0,0,T41/S41)</f>
        <v>0</v>
      </c>
      <c r="V41" s="3">
        <v>9070418.669545408</v>
      </c>
      <c r="W41" s="6">
        <v>164538.3844167478</v>
      </c>
      <c r="X41" s="7">
        <f>IF(V41=0,0,W41/V41)</f>
        <v>0</v>
      </c>
      <c r="Y41" s="3">
        <v>0</v>
      </c>
      <c r="Z41" s="3">
        <v>0</v>
      </c>
      <c r="AA41" s="4">
        <f>IF(Y41=0,0,Z41/Y41)</f>
        <v>0</v>
      </c>
      <c r="AB41" s="3">
        <v>0</v>
      </c>
      <c r="AC41" s="3">
        <v>0</v>
      </c>
      <c r="AD41" s="4">
        <f>IF(AB41=0,0,AC41/AB41)</f>
        <v>0</v>
      </c>
    </row>
    <row r="42" spans="1:30">
      <c r="B42" t="s">
        <v>31</v>
      </c>
      <c r="C42" s="3">
        <f>J42+M42+G42+P42</f>
        <v>0</v>
      </c>
      <c r="D42" s="3">
        <f>G42+J42</f>
        <v>0</v>
      </c>
      <c r="E42" s="3">
        <f>P42+M42</f>
        <v>0</v>
      </c>
      <c r="F42" s="3">
        <v>148.0950653551477</v>
      </c>
      <c r="G42" s="3">
        <v>72.90814487956493</v>
      </c>
      <c r="H42" s="4">
        <f>IF(F42=0,0,G42/F42)</f>
        <v>0</v>
      </c>
      <c r="I42" s="3">
        <v>245.090682899663</v>
      </c>
      <c r="J42" s="6">
        <v>6.008397319649958</v>
      </c>
      <c r="K42" s="7">
        <f>IF(I42=0,0,J42/I42)</f>
        <v>0</v>
      </c>
      <c r="L42" s="3">
        <v>0</v>
      </c>
      <c r="M42" s="3">
        <v>0</v>
      </c>
      <c r="N42" s="4">
        <f>IF(L42=0,0,M42/L42)</f>
        <v>0</v>
      </c>
      <c r="O42" s="3">
        <v>0</v>
      </c>
      <c r="P42" s="3">
        <v>0</v>
      </c>
      <c r="Q42" s="4">
        <f>IF(O42=0,0,P42/O42)</f>
        <v>0</v>
      </c>
      <c r="S42" s="3">
        <v>1975.090975512128</v>
      </c>
      <c r="T42" s="3">
        <v>972.3498797723723</v>
      </c>
      <c r="U42" s="4">
        <f>IF(S42=0,0,T42/S42)</f>
        <v>0</v>
      </c>
      <c r="V42" s="3">
        <v>7100767.677214347</v>
      </c>
      <c r="W42" s="6">
        <v>189877.8700925186</v>
      </c>
      <c r="X42" s="7">
        <f>IF(V42=0,0,W42/V42)</f>
        <v>0</v>
      </c>
      <c r="Y42" s="3">
        <v>0</v>
      </c>
      <c r="Z42" s="3">
        <v>0</v>
      </c>
      <c r="AA42" s="4">
        <f>IF(Y42=0,0,Z42/Y42)</f>
        <v>0</v>
      </c>
      <c r="AB42" s="3">
        <v>0</v>
      </c>
      <c r="AC42" s="3">
        <v>0</v>
      </c>
      <c r="AD42" s="4">
        <f>IF(AB42=0,0,AC42/AB42)</f>
        <v>0</v>
      </c>
    </row>
    <row r="43" spans="1:30">
      <c r="B43" t="s">
        <v>32</v>
      </c>
      <c r="C43" s="3">
        <f>J43+M43+G43+P43</f>
        <v>0</v>
      </c>
      <c r="D43" s="3">
        <f>G43+J43</f>
        <v>0</v>
      </c>
      <c r="E43" s="3">
        <f>P43+M43</f>
        <v>0</v>
      </c>
      <c r="F43" s="3">
        <v>134.7924084512274</v>
      </c>
      <c r="G43" s="3">
        <v>72.9461290521218</v>
      </c>
      <c r="H43" s="4">
        <f>IF(F43=0,0,G43/F43)</f>
        <v>0</v>
      </c>
      <c r="I43" s="3">
        <v>200.4130880433794</v>
      </c>
      <c r="J43" s="6">
        <v>6.648335109332984</v>
      </c>
      <c r="K43" s="7">
        <f>IF(I43=0,0,J43/I43)</f>
        <v>0</v>
      </c>
      <c r="L43" s="3">
        <v>0</v>
      </c>
      <c r="M43" s="3">
        <v>0</v>
      </c>
      <c r="N43" s="4">
        <f>IF(L43=0,0,M43/L43)</f>
        <v>0</v>
      </c>
      <c r="O43" s="3">
        <v>0</v>
      </c>
      <c r="P43" s="3">
        <v>0</v>
      </c>
      <c r="Q43" s="4">
        <f>IF(O43=0,0,P43/O43)</f>
        <v>0</v>
      </c>
      <c r="S43" s="3">
        <v>1797.678193133057</v>
      </c>
      <c r="T43" s="3">
        <v>972.8564611108482</v>
      </c>
      <c r="U43" s="4">
        <f>IF(S43=0,0,T43/S43)</f>
        <v>0</v>
      </c>
      <c r="V43" s="3">
        <v>6292834.208210533</v>
      </c>
      <c r="W43" s="6">
        <v>222967.1563095488</v>
      </c>
      <c r="X43" s="7">
        <f>IF(V43=0,0,W43/V43)</f>
        <v>0</v>
      </c>
      <c r="Y43" s="3">
        <v>0</v>
      </c>
      <c r="Z43" s="3">
        <v>0</v>
      </c>
      <c r="AA43" s="4">
        <f>IF(Y43=0,0,Z43/Y43)</f>
        <v>0</v>
      </c>
      <c r="AB43" s="3">
        <v>0</v>
      </c>
      <c r="AC43" s="3">
        <v>0</v>
      </c>
      <c r="AD43" s="4">
        <f>IF(AB43=0,0,AC43/AB43)</f>
        <v>0</v>
      </c>
    </row>
    <row r="44" spans="1:30">
      <c r="B44" t="s">
        <v>33</v>
      </c>
      <c r="C44" s="3">
        <f>J44+M44+G44+P44</f>
        <v>0</v>
      </c>
      <c r="D44" s="3">
        <f>G44+J44</f>
        <v>0</v>
      </c>
      <c r="E44" s="3">
        <f>P44+M44</f>
        <v>0</v>
      </c>
      <c r="F44" s="3">
        <v>118.7821311155358</v>
      </c>
      <c r="G44" s="3">
        <v>33.21257251634332</v>
      </c>
      <c r="H44" s="4">
        <f>IF(F44=0,0,G44/F44)</f>
        <v>0</v>
      </c>
      <c r="I44" s="3">
        <v>193.9015574705648</v>
      </c>
      <c r="J44" s="6">
        <v>2.593667459385906</v>
      </c>
      <c r="K44" s="7">
        <f>IF(I44=0,0,J44/I44)</f>
        <v>0</v>
      </c>
      <c r="L44" s="3">
        <v>0</v>
      </c>
      <c r="M44" s="3">
        <v>0</v>
      </c>
      <c r="N44" s="4">
        <f>IF(L44=0,0,M44/L44)</f>
        <v>0</v>
      </c>
      <c r="O44" s="3">
        <v>0</v>
      </c>
      <c r="P44" s="3">
        <v>0</v>
      </c>
      <c r="Q44" s="4">
        <f>IF(O44=0,0,P44/O44)</f>
        <v>0</v>
      </c>
      <c r="S44" s="3">
        <v>1584.154844429043</v>
      </c>
      <c r="T44" s="3">
        <v>442.9442135243412</v>
      </c>
      <c r="U44" s="4">
        <f>IF(S44=0,0,T44/S44)</f>
        <v>0</v>
      </c>
      <c r="V44" s="3">
        <v>6053045.584847068</v>
      </c>
      <c r="W44" s="6">
        <v>92120.66669745091</v>
      </c>
      <c r="X44" s="7">
        <f>IF(V44=0,0,W44/V44)</f>
        <v>0</v>
      </c>
      <c r="Y44" s="3">
        <v>0</v>
      </c>
      <c r="Z44" s="3">
        <v>0</v>
      </c>
      <c r="AA44" s="4">
        <f>IF(Y44=0,0,Z44/Y44)</f>
        <v>0</v>
      </c>
      <c r="AB44" s="3">
        <v>0</v>
      </c>
      <c r="AC44" s="3">
        <v>0</v>
      </c>
      <c r="AD44" s="4">
        <f>IF(AB44=0,0,AC44/AB44)</f>
        <v>0</v>
      </c>
    </row>
    <row r="45" spans="1:30">
      <c r="B45" t="s">
        <v>34</v>
      </c>
      <c r="C45" s="3">
        <f>J45+M45+G45+P45</f>
        <v>0</v>
      </c>
      <c r="D45" s="3">
        <f>G45+J45</f>
        <v>0</v>
      </c>
      <c r="E45" s="3">
        <f>P45+M45</f>
        <v>0</v>
      </c>
      <c r="F45" s="3">
        <v>93.70721146478344</v>
      </c>
      <c r="G45" s="3">
        <v>19.08558195037654</v>
      </c>
      <c r="H45" s="4">
        <f>IF(F45=0,0,G45/F45)</f>
        <v>0</v>
      </c>
      <c r="I45" s="3">
        <v>136.6145524202559</v>
      </c>
      <c r="J45" s="6">
        <v>1.96286239209451</v>
      </c>
      <c r="K45" s="7">
        <f>IF(I45=0,0,J45/I45)</f>
        <v>0</v>
      </c>
      <c r="L45" s="3">
        <v>0</v>
      </c>
      <c r="M45" s="3">
        <v>0</v>
      </c>
      <c r="N45" s="4">
        <f>IF(L45=0,0,M45/L45)</f>
        <v>0</v>
      </c>
      <c r="O45" s="3">
        <v>0</v>
      </c>
      <c r="P45" s="3">
        <v>0</v>
      </c>
      <c r="Q45" s="4">
        <f>IF(O45=0,0,P45/O45)</f>
        <v>0</v>
      </c>
      <c r="S45" s="3">
        <v>1249.73959976761</v>
      </c>
      <c r="T45" s="3">
        <v>254.5375876109539</v>
      </c>
      <c r="U45" s="4">
        <f>IF(S45=0,0,T45/S45)</f>
        <v>0</v>
      </c>
      <c r="V45" s="3">
        <v>4890905.466101354</v>
      </c>
      <c r="W45" s="6">
        <v>76901.85631352663</v>
      </c>
      <c r="X45" s="7">
        <f>IF(V45=0,0,W45/V45)</f>
        <v>0</v>
      </c>
      <c r="Y45" s="3">
        <v>0</v>
      </c>
      <c r="Z45" s="3">
        <v>0</v>
      </c>
      <c r="AA45" s="4">
        <f>IF(Y45=0,0,Z45/Y45)</f>
        <v>0</v>
      </c>
      <c r="AB45" s="3">
        <v>0</v>
      </c>
      <c r="AC45" s="3">
        <v>0</v>
      </c>
      <c r="AD45" s="4">
        <f>IF(AB45=0,0,AC45/AB45)</f>
        <v>0</v>
      </c>
    </row>
    <row r="47" spans="1:30">
      <c r="A47" s="2" t="s">
        <v>39</v>
      </c>
    </row>
    <row r="48" spans="1:30">
      <c r="B48" t="s">
        <v>28</v>
      </c>
      <c r="C48" s="3">
        <f>C50+C51+C52+C53+C54</f>
        <v>0</v>
      </c>
      <c r="D48" s="3">
        <f>D50+D51+D52+D53+D54</f>
        <v>0</v>
      </c>
      <c r="E48" s="3">
        <f>E50+E51+E52+E53+E54</f>
        <v>0</v>
      </c>
      <c r="F48" s="3">
        <f>F50+F51+F52+F53+F54</f>
        <v>0</v>
      </c>
      <c r="G48" s="3">
        <f>G50+G51+G52+G53+G54</f>
        <v>0</v>
      </c>
      <c r="H48" s="4">
        <f>IF(F48=0,0,G48/F48)</f>
        <v>0</v>
      </c>
      <c r="I48" s="3">
        <f>I50+I51+I52+I53+I54</f>
        <v>0</v>
      </c>
      <c r="J48" s="6">
        <f>J50+J51+J52+J53+J54</f>
        <v>0</v>
      </c>
      <c r="K48" s="7">
        <f>IF(I48=0,0,J48/I48)</f>
        <v>0</v>
      </c>
      <c r="L48" s="3">
        <f>L50+L51+L52+L53+L54</f>
        <v>0</v>
      </c>
      <c r="M48" s="3">
        <f>M50+M51+M52+M53+M54</f>
        <v>0</v>
      </c>
      <c r="N48" s="4">
        <f>IF(L48=0,0,M48/L48)</f>
        <v>0</v>
      </c>
      <c r="O48" s="3">
        <f>O50+O51+O52+O53+O54</f>
        <v>0</v>
      </c>
      <c r="P48" s="3">
        <f>P50+P51+P52+P53+P54</f>
        <v>0</v>
      </c>
      <c r="Q48" s="4">
        <f>IF(O48=0,0,P48/O48)</f>
        <v>0</v>
      </c>
      <c r="S48" s="3">
        <f>S50+S51+S52+S53+S54</f>
        <v>0</v>
      </c>
      <c r="T48" s="3">
        <f>T50+T51+T52+T53+T54</f>
        <v>0</v>
      </c>
      <c r="U48" s="4">
        <f>IF(S48=0,0,T48/S48)</f>
        <v>0</v>
      </c>
      <c r="V48" s="3">
        <f>V50+V51+V52+V53+V54</f>
        <v>0</v>
      </c>
      <c r="W48" s="6">
        <f>W50+W51+W52+W53+W54</f>
        <v>0</v>
      </c>
      <c r="X48" s="7">
        <f>IF(V48=0,0,W48/V48)</f>
        <v>0</v>
      </c>
      <c r="Y48" s="3">
        <f>Y50+Y51+Y52+Y53+Y54</f>
        <v>0</v>
      </c>
      <c r="Z48" s="3">
        <f>Z50+Z51+Z52+Z53+Z54</f>
        <v>0</v>
      </c>
      <c r="AA48" s="4">
        <f>IF(Y48=0,0,Z48/Y48)</f>
        <v>0</v>
      </c>
      <c r="AB48" s="3">
        <f>AB50+AB51+AB52+AB53+AB54</f>
        <v>0</v>
      </c>
      <c r="AC48" s="3">
        <f>AC50+AC51+AC52+AC53+AC54</f>
        <v>0</v>
      </c>
      <c r="AD48" s="4">
        <f>IF(AB48=0,0,AC48/AB48)</f>
        <v>0</v>
      </c>
    </row>
    <row r="49" spans="1:30">
      <c r="A49" s="5" t="s">
        <v>29</v>
      </c>
    </row>
    <row r="50" spans="1:30">
      <c r="B50" t="s">
        <v>30</v>
      </c>
      <c r="C50" s="3">
        <f>J50+M50+G50+P50</f>
        <v>0</v>
      </c>
      <c r="D50" s="3">
        <f>G50+J50</f>
        <v>0</v>
      </c>
      <c r="E50" s="3">
        <f>P50+M50</f>
        <v>0</v>
      </c>
      <c r="F50" s="3">
        <v>155.6881748268545</v>
      </c>
      <c r="G50" s="3">
        <v>128.1372384421717</v>
      </c>
      <c r="H50" s="4">
        <f>IF(F50=0,0,G50/F50)</f>
        <v>0</v>
      </c>
      <c r="I50" s="3">
        <v>382.3073643284127</v>
      </c>
      <c r="J50" s="6">
        <v>24.23689331551536</v>
      </c>
      <c r="K50" s="7">
        <f>IF(I50=0,0,J50/I50)</f>
        <v>0</v>
      </c>
      <c r="L50" s="3">
        <v>0</v>
      </c>
      <c r="M50" s="3">
        <v>0</v>
      </c>
      <c r="N50" s="4">
        <f>IF(L50=0,0,M50/L50)</f>
        <v>0</v>
      </c>
      <c r="O50" s="3">
        <v>0</v>
      </c>
      <c r="P50" s="3">
        <v>0</v>
      </c>
      <c r="Q50" s="4">
        <f>IF(O50=0,0,P50/O50)</f>
        <v>0</v>
      </c>
      <c r="S50" s="3">
        <v>2076.357563684252</v>
      </c>
      <c r="T50" s="3">
        <v>1708.920568469041</v>
      </c>
      <c r="U50" s="4">
        <f>IF(S50=0,0,T50/S50)</f>
        <v>0</v>
      </c>
      <c r="V50" s="3">
        <v>9070418.669545408</v>
      </c>
      <c r="W50" s="6">
        <v>608963.1786537524</v>
      </c>
      <c r="X50" s="7">
        <f>IF(V50=0,0,W50/V50)</f>
        <v>0</v>
      </c>
      <c r="Y50" s="3">
        <v>0</v>
      </c>
      <c r="Z50" s="3">
        <v>0</v>
      </c>
      <c r="AA50" s="4">
        <f>IF(Y50=0,0,Z50/Y50)</f>
        <v>0</v>
      </c>
      <c r="AB50" s="3">
        <v>0</v>
      </c>
      <c r="AC50" s="3">
        <v>0</v>
      </c>
      <c r="AD50" s="4">
        <f>IF(AB50=0,0,AC50/AB50)</f>
        <v>0</v>
      </c>
    </row>
    <row r="51" spans="1:30">
      <c r="B51" t="s">
        <v>31</v>
      </c>
      <c r="C51" s="3">
        <f>J51+M51+G51+P51</f>
        <v>0</v>
      </c>
      <c r="D51" s="3">
        <f>G51+J51</f>
        <v>0</v>
      </c>
      <c r="E51" s="3">
        <f>P51+M51</f>
        <v>0</v>
      </c>
      <c r="F51" s="3">
        <v>148.0950653551477</v>
      </c>
      <c r="G51" s="3">
        <v>124.6861301663065</v>
      </c>
      <c r="H51" s="4">
        <f>IF(F51=0,0,G51/F51)</f>
        <v>0</v>
      </c>
      <c r="I51" s="3">
        <v>245.090682899663</v>
      </c>
      <c r="J51" s="6">
        <v>19.96254009473606</v>
      </c>
      <c r="K51" s="7">
        <f>IF(I51=0,0,J51/I51)</f>
        <v>0</v>
      </c>
      <c r="L51" s="3">
        <v>0</v>
      </c>
      <c r="M51" s="3">
        <v>0</v>
      </c>
      <c r="N51" s="4">
        <f>IF(L51=0,0,M51/L51)</f>
        <v>0</v>
      </c>
      <c r="O51" s="3">
        <v>0</v>
      </c>
      <c r="P51" s="3">
        <v>0</v>
      </c>
      <c r="Q51" s="4">
        <f>IF(O51=0,0,P51/O51)</f>
        <v>0</v>
      </c>
      <c r="S51" s="3">
        <v>1975.090975512128</v>
      </c>
      <c r="T51" s="3">
        <v>1662.894370399373</v>
      </c>
      <c r="U51" s="4">
        <f>IF(S51=0,0,T51/S51)</f>
        <v>0</v>
      </c>
      <c r="V51" s="3">
        <v>7100767.677214347</v>
      </c>
      <c r="W51" s="6">
        <v>667327.7781731561</v>
      </c>
      <c r="X51" s="7">
        <f>IF(V51=0,0,W51/V51)</f>
        <v>0</v>
      </c>
      <c r="Y51" s="3">
        <v>0</v>
      </c>
      <c r="Z51" s="3">
        <v>0</v>
      </c>
      <c r="AA51" s="4">
        <f>IF(Y51=0,0,Z51/Y51)</f>
        <v>0</v>
      </c>
      <c r="AB51" s="3">
        <v>0</v>
      </c>
      <c r="AC51" s="3">
        <v>0</v>
      </c>
      <c r="AD51" s="4">
        <f>IF(AB51=0,0,AC51/AB51)</f>
        <v>0</v>
      </c>
    </row>
    <row r="52" spans="1:30">
      <c r="B52" t="s">
        <v>32</v>
      </c>
      <c r="C52" s="3">
        <f>J52+M52+G52+P52</f>
        <v>0</v>
      </c>
      <c r="D52" s="3">
        <f>G52+J52</f>
        <v>0</v>
      </c>
      <c r="E52" s="3">
        <f>P52+M52</f>
        <v>0</v>
      </c>
      <c r="F52" s="3">
        <v>134.7924084512274</v>
      </c>
      <c r="G52" s="3">
        <v>117.3131609633634</v>
      </c>
      <c r="H52" s="4">
        <f>IF(F52=0,0,G52/F52)</f>
        <v>0</v>
      </c>
      <c r="I52" s="3">
        <v>200.4130880433794</v>
      </c>
      <c r="J52" s="6">
        <v>21.28849801111122</v>
      </c>
      <c r="K52" s="7">
        <f>IF(I52=0,0,J52/I52)</f>
        <v>0</v>
      </c>
      <c r="L52" s="3">
        <v>0</v>
      </c>
      <c r="M52" s="3">
        <v>0</v>
      </c>
      <c r="N52" s="4">
        <f>IF(L52=0,0,M52/L52)</f>
        <v>0</v>
      </c>
      <c r="O52" s="3">
        <v>0</v>
      </c>
      <c r="P52" s="3">
        <v>0</v>
      </c>
      <c r="Q52" s="4">
        <f>IF(O52=0,0,P52/O52)</f>
        <v>0</v>
      </c>
      <c r="S52" s="3">
        <v>1797.678193133057</v>
      </c>
      <c r="T52" s="3">
        <v>1564.563714340444</v>
      </c>
      <c r="U52" s="4">
        <f>IF(S52=0,0,T52/S52)</f>
        <v>0</v>
      </c>
      <c r="V52" s="3">
        <v>6292834.208210533</v>
      </c>
      <c r="W52" s="6">
        <v>757796.3406777447</v>
      </c>
      <c r="X52" s="7">
        <f>IF(V52=0,0,W52/V52)</f>
        <v>0</v>
      </c>
      <c r="Y52" s="3">
        <v>0</v>
      </c>
      <c r="Z52" s="3">
        <v>0</v>
      </c>
      <c r="AA52" s="4">
        <f>IF(Y52=0,0,Z52/Y52)</f>
        <v>0</v>
      </c>
      <c r="AB52" s="3">
        <v>0</v>
      </c>
      <c r="AC52" s="3">
        <v>0</v>
      </c>
      <c r="AD52" s="4">
        <f>IF(AB52=0,0,AC52/AB52)</f>
        <v>0</v>
      </c>
    </row>
    <row r="53" spans="1:30">
      <c r="B53" t="s">
        <v>33</v>
      </c>
      <c r="C53" s="3">
        <f>J53+M53+G53+P53</f>
        <v>0</v>
      </c>
      <c r="D53" s="3">
        <f>G53+J53</f>
        <v>0</v>
      </c>
      <c r="E53" s="3">
        <f>P53+M53</f>
        <v>0</v>
      </c>
      <c r="F53" s="3">
        <v>118.7821311155358</v>
      </c>
      <c r="G53" s="3">
        <v>77.085006142639</v>
      </c>
      <c r="H53" s="4">
        <f>IF(F53=0,0,G53/F53)</f>
        <v>0</v>
      </c>
      <c r="I53" s="3">
        <v>193.9015574705648</v>
      </c>
      <c r="J53" s="6">
        <v>9.462193079037592</v>
      </c>
      <c r="K53" s="7">
        <f>IF(I53=0,0,J53/I53)</f>
        <v>0</v>
      </c>
      <c r="L53" s="3">
        <v>0</v>
      </c>
      <c r="M53" s="3">
        <v>0</v>
      </c>
      <c r="N53" s="4">
        <f>IF(L53=0,0,M53/L53)</f>
        <v>0</v>
      </c>
      <c r="O53" s="3">
        <v>0</v>
      </c>
      <c r="P53" s="3">
        <v>0</v>
      </c>
      <c r="Q53" s="4">
        <f>IF(O53=0,0,P53/O53)</f>
        <v>0</v>
      </c>
      <c r="S53" s="3">
        <v>1584.154844429043</v>
      </c>
      <c r="T53" s="3">
        <v>1028.055186136768</v>
      </c>
      <c r="U53" s="4">
        <f>IF(S53=0,0,T53/S53)</f>
        <v>0</v>
      </c>
      <c r="V53" s="3">
        <v>6053045.584847068</v>
      </c>
      <c r="W53" s="6">
        <v>345144.5598841952</v>
      </c>
      <c r="X53" s="7">
        <f>IF(V53=0,0,W53/V53)</f>
        <v>0</v>
      </c>
      <c r="Y53" s="3">
        <v>0</v>
      </c>
      <c r="Z53" s="3">
        <v>0</v>
      </c>
      <c r="AA53" s="4">
        <f>IF(Y53=0,0,Z53/Y53)</f>
        <v>0</v>
      </c>
      <c r="AB53" s="3">
        <v>0</v>
      </c>
      <c r="AC53" s="3">
        <v>0</v>
      </c>
      <c r="AD53" s="4">
        <f>IF(AB53=0,0,AC53/AB53)</f>
        <v>0</v>
      </c>
    </row>
    <row r="54" spans="1:30">
      <c r="B54" t="s">
        <v>34</v>
      </c>
      <c r="C54" s="3">
        <f>J54+M54+G54+P54</f>
        <v>0</v>
      </c>
      <c r="D54" s="3">
        <f>G54+J54</f>
        <v>0</v>
      </c>
      <c r="E54" s="3">
        <f>P54+M54</f>
        <v>0</v>
      </c>
      <c r="F54" s="3">
        <v>93.70721146478344</v>
      </c>
      <c r="G54" s="3">
        <v>50.34256103248683</v>
      </c>
      <c r="H54" s="4">
        <f>IF(F54=0,0,G54/F54)</f>
        <v>0</v>
      </c>
      <c r="I54" s="3">
        <v>136.6145524202559</v>
      </c>
      <c r="J54" s="6">
        <v>7.307984633459724</v>
      </c>
      <c r="K54" s="7">
        <f>IF(I54=0,0,J54/I54)</f>
        <v>0</v>
      </c>
      <c r="L54" s="3">
        <v>0</v>
      </c>
      <c r="M54" s="3">
        <v>0</v>
      </c>
      <c r="N54" s="4">
        <f>IF(L54=0,0,M54/L54)</f>
        <v>0</v>
      </c>
      <c r="O54" s="3">
        <v>0</v>
      </c>
      <c r="P54" s="3">
        <v>0</v>
      </c>
      <c r="Q54" s="4">
        <f>IF(O54=0,0,P54/O54)</f>
        <v>0</v>
      </c>
      <c r="S54" s="3">
        <v>1249.73959976761</v>
      </c>
      <c r="T54" s="3">
        <v>671.4007501937136</v>
      </c>
      <c r="U54" s="4">
        <f>IF(S54=0,0,T54/S54)</f>
        <v>0</v>
      </c>
      <c r="V54" s="3">
        <v>4890905.466101354</v>
      </c>
      <c r="W54" s="6">
        <v>291466.352394985</v>
      </c>
      <c r="X54" s="7">
        <f>IF(V54=0,0,W54/V54)</f>
        <v>0</v>
      </c>
      <c r="Y54" s="3">
        <v>0</v>
      </c>
      <c r="Z54" s="3">
        <v>0</v>
      </c>
      <c r="AA54" s="4">
        <f>IF(Y54=0,0,Z54/Y54)</f>
        <v>0</v>
      </c>
      <c r="AB54" s="3">
        <v>0</v>
      </c>
      <c r="AC54" s="3">
        <v>0</v>
      </c>
      <c r="AD54" s="4">
        <f>IF(AB54=0,0,AC54/AB54)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2026-09-04T20:29:01Z</dcterms:created>
  <dcterms:modified xsi:type="dcterms:W3CDTF">2026-09-04T20:29:01Z</dcterms:modified>
</cp:coreProperties>
</file>