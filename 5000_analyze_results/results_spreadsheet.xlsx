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<sst xmlns="http://schemas.openxmlformats.org/spreadsheetml/2006/main" count="107" uniqueCount="44">
  <si>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</si>
  <si>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</si>
  <si>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</si>
  <si>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</si>
  <si>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</si>
  <si>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</si>
  <si>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</si>
  <si>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</si>
  <si>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</si>
  <si>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</si>
  <si>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</si>
  <si>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</si>
  <si>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</si>
  <si>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</si>
  <si>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</si>
  <si>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</si>
  <si>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</si>
  <si>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</si>
  <si>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</si>
  <si>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</si>
  <si>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</si>
  <si>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</si>
  <si>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</si>
  <si>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</si>
  <si>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</si>
  <si>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</si>
  <si>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</si>
  <si>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</si>
  <si>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</si>
  <si>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</si>
  <si>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</si>
  <si>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</si>
  <si>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</si>
  <si>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</si>
  <si>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</si>
  <si>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</si>
  <si>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</si>
  <si>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</si>
  <si>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Nigeria -- Wheat</t>
  </si>
  <si>
    <t>Ethiopia -- Salt-- 25% NRV per average intake</t>
  </si>
  <si>
    <t>Ethiopia -- Salt-- 100% NRV per average intake</t>
  </si>
  <si>
    <t>Ethiopia -- Salt-- DFS-IoFA preliminary standard 45 ppm</t>
  </si>
  <si>
    <t>Nigeria -- Salt-- 25% NRV per average intake</t>
  </si>
  <si>
    <t>Nigeria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</si>
</sst>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9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4771.261231090824</v>
      </c>
      <c r="J5" s="3">
        <v>288.4337566118371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11.41780930546322</v>
      </c>
      <c r="H6" s="4">
        <f>IF(F6=0,0,G6/F6)</f>
        <v>0</v>
      </c>
      <c r="I6" s="3">
        <v>4315.21265961095</v>
      </c>
      <c r="J6" s="3">
        <v>254.1003600447951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147.4091157648822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4220.06501252761</v>
      </c>
      <c r="J7" s="3">
        <v>227.9834892376829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123.6968790634528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271.3548595424359</v>
      </c>
      <c r="G8" s="3">
        <v>8.370468320719258</v>
      </c>
      <c r="H8" s="4">
        <f>IF(F8=0,0,G8/F8)</f>
        <v>0</v>
      </c>
      <c r="I8" s="3">
        <v>3866.462901477351</v>
      </c>
      <c r="J8" s="3">
        <v>196.4668003082145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3503.314763237009</v>
      </c>
      <c r="T8" s="3">
        <v>108.0665564369501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231.1015430943887</v>
      </c>
      <c r="G9" s="3">
        <v>2.991144416980678</v>
      </c>
      <c r="H9" s="4">
        <f>IF(F9=0,0,G9/F9)</f>
        <v>0</v>
      </c>
      <c r="I9" s="3">
        <v>3364.297008165506</v>
      </c>
      <c r="J9" s="3">
        <v>97.6682430201457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2983.626123720895</v>
      </c>
      <c r="T9" s="3">
        <v>38.61703605622597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151.0014963206656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1949.498056615189</v>
      </c>
      <c r="U14" s="4">
        <f>IF(S14=0,0,T14/S14)</f>
        <v>0</v>
      </c>
      <c r="V14" s="3">
        <v>131696392.1412486</v>
      </c>
      <c r="W14" s="3">
        <v>10296243.37165025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4315.21265961095</v>
      </c>
      <c r="J15" s="3">
        <v>433.8825937981484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110.057085373065</v>
      </c>
      <c r="H16" s="4">
        <f>IF(F16=0,0,G16/F16)</f>
        <v>0</v>
      </c>
      <c r="I16" s="3">
        <v>4220.06501252761</v>
      </c>
      <c r="J16" s="3">
        <v>424.92094389637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1420.887072508823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271.3548595424359</v>
      </c>
      <c r="G17" s="3">
        <v>102.523116140974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3503.314763237009</v>
      </c>
      <c r="T17" s="3">
        <v>1323.620100098364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231.1015430943887</v>
      </c>
      <c r="G18" s="3">
        <v>67.11521448847442</v>
      </c>
      <c r="H18" s="4">
        <f>IF(F18=0,0,G18/F18)</f>
        <v>0</v>
      </c>
      <c r="I18" s="3">
        <v>3364.297008165506</v>
      </c>
      <c r="J18" s="3">
        <v>311.5683570235935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2983.626123720895</v>
      </c>
      <c r="T18" s="3">
        <v>866.4879713293681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153.5338348629948</v>
      </c>
      <c r="H23" s="4">
        <f>IF(F23=0,0,G23/F23)</f>
        <v>0</v>
      </c>
      <c r="I23" s="3">
        <v>1024.476057384201</v>
      </c>
      <c r="J23" s="3">
        <v>88.45306222013221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4737.225453182322</v>
      </c>
      <c r="U23" s="4">
        <f>IF(S23=0,0,T23/S23)</f>
        <v>0</v>
      </c>
      <c r="V23" s="3">
        <v>25177467.03377928</v>
      </c>
      <c r="W23" s="3">
        <v>1717881.090067629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149.5731184765912</v>
      </c>
      <c r="H24" s="4">
        <f>IF(F24=0,0,G24/F24)</f>
        <v>0</v>
      </c>
      <c r="I24" s="3">
        <v>968.8874507802924</v>
      </c>
      <c r="J24" s="3">
        <v>89.17520191574422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4615.019123253476</v>
      </c>
      <c r="U24" s="4">
        <f>IF(S24=0,0,T24/S24)</f>
        <v>0</v>
      </c>
      <c r="V24" s="3">
        <v>24716781.60947407</v>
      </c>
      <c r="W24" s="3">
        <v>1817089.165172193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792.6568327877751</v>
      </c>
      <c r="J25" s="3">
        <v>82.16165372872982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3461.751499772321</v>
      </c>
      <c r="U25" s="4">
        <f>IF(S25=0,0,T25/S25)</f>
        <v>0</v>
      </c>
      <c r="V25" s="3">
        <v>22756394.15398703</v>
      </c>
      <c r="W25" s="3">
        <v>1928604.090877723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86.23155739396429</v>
      </c>
      <c r="H26" s="4">
        <f>IF(F26=0,0,G26/F26)</f>
        <v>0</v>
      </c>
      <c r="I26" s="3">
        <v>714.5868735320346</v>
      </c>
      <c r="J26" s="3">
        <v>76.42915899969695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2660.640430943196</v>
      </c>
      <c r="U26" s="4">
        <f>IF(S26=0,0,T26/S26)</f>
        <v>0</v>
      </c>
      <c r="V26" s="3">
        <v>21413420.36871202</v>
      </c>
      <c r="W26" s="3">
        <v>1904396.797904398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31.81246083158429</v>
      </c>
      <c r="H32" s="4">
        <f>IF(F32=0,0,G32/F32)</f>
        <v>0</v>
      </c>
      <c r="I32" s="3">
        <v>1024.476057384201</v>
      </c>
      <c r="J32" s="3">
        <v>32.68368291760166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981.560835201084</v>
      </c>
      <c r="U32" s="4">
        <f>IF(S32=0,0,T32/S32)</f>
        <v>0</v>
      </c>
      <c r="V32" s="3">
        <v>25177467.03377928</v>
      </c>
      <c r="W32" s="3">
        <v>626042.9301561825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968.8874507802924</v>
      </c>
      <c r="J33" s="3">
        <v>42.90436372769834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24716781.60947407</v>
      </c>
      <c r="W33" s="3">
        <v>861731.9117797464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792.6568327877751</v>
      </c>
      <c r="J34" s="3">
        <v>47.95450258267846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79.01499632789736</v>
      </c>
      <c r="H35" s="4">
        <f>IF(F35=0,0,G35/F35)</f>
        <v>0</v>
      </c>
      <c r="I35" s="3">
        <v>714.5868735320346</v>
      </c>
      <c r="J35" s="3">
        <v>51.68573642029136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2437.976307448053</v>
      </c>
      <c r="U35" s="4">
        <f>IF(S35=0,0,T35/S35)</f>
        <v>0</v>
      </c>
      <c r="V35" s="3">
        <v>21413420.36871202</v>
      </c>
      <c r="W35" s="3">
        <v>1269177.296716776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607.1996095192959</v>
      </c>
      <c r="J36" s="3">
        <v>49.91319984393473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3">
        <f>J41+J42+J43+J44+J45</f>
        <v>0</v>
      </c>
      <c r="K39" s="4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3">
        <f>W41+W42+W43+W44+W45</f>
        <v>0</v>
      </c>
      <c r="X39" s="4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</f>
        <v>0</v>
      </c>
      <c r="E41" s="3">
        <f>J41+M41+P41</f>
        <v>0</v>
      </c>
      <c r="F41" s="3">
        <v>0</v>
      </c>
      <c r="G41" s="3">
        <v>0</v>
      </c>
      <c r="H41" s="4">
        <f>IF(F41=0,0,G41/F41)</f>
        <v>0</v>
      </c>
      <c r="I41" s="3">
        <v>1024.476057384201</v>
      </c>
      <c r="J41" s="3">
        <v>32.68368291760166</v>
      </c>
      <c r="K41" s="4">
        <f>IF(I41=0,0,J41/I41)</f>
        <v>0</v>
      </c>
      <c r="L41" s="3">
        <v>15352.83741703859</v>
      </c>
      <c r="M41" s="3">
        <v>3.522455788802355</v>
      </c>
      <c r="N41" s="4">
        <f>IF(L41=0,0,M41/L41)</f>
        <v>0</v>
      </c>
      <c r="O41" s="3">
        <v>503.5634310516943</v>
      </c>
      <c r="P41" s="3">
        <v>3.068380574589828</v>
      </c>
      <c r="Q41" s="4">
        <f>IF(O41=0,0,P41/O41)</f>
        <v>0</v>
      </c>
      <c r="S41" s="3">
        <v>0</v>
      </c>
      <c r="T41" s="3">
        <v>0</v>
      </c>
      <c r="U41" s="4">
        <f>IF(S41=0,0,T41/S41)</f>
        <v>0</v>
      </c>
      <c r="V41" s="3">
        <v>25177467.03377928</v>
      </c>
      <c r="W41" s="3">
        <v>626042.9301561825</v>
      </c>
      <c r="X41" s="4">
        <f>IF(V41=0,0,W41/V41)</f>
        <v>0</v>
      </c>
      <c r="Y41" s="3">
        <v>2561085.175981381</v>
      </c>
      <c r="Z41" s="3">
        <v>21648.69212072948</v>
      </c>
      <c r="AA41" s="4">
        <f>IF(Y41=0,0,Z41/Y41)</f>
        <v>0</v>
      </c>
      <c r="AB41" s="3">
        <v>172903.801774421</v>
      </c>
      <c r="AC41" s="3">
        <v>39.10155138786649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</f>
        <v>0</v>
      </c>
      <c r="E42" s="3">
        <f>J42+M42+P42</f>
        <v>0</v>
      </c>
      <c r="F42" s="3">
        <v>0</v>
      </c>
      <c r="G42" s="3">
        <v>0</v>
      </c>
      <c r="H42" s="4">
        <f>IF(F42=0,0,G42/F42)</f>
        <v>0</v>
      </c>
      <c r="I42" s="3">
        <v>968.8874507802924</v>
      </c>
      <c r="J42" s="3">
        <v>42.90436372769834</v>
      </c>
      <c r="K42" s="4">
        <f>IF(I42=0,0,J42/I42)</f>
        <v>0</v>
      </c>
      <c r="L42" s="3">
        <v>15897.14811387405</v>
      </c>
      <c r="M42" s="3">
        <v>4.837213344274089</v>
      </c>
      <c r="N42" s="4">
        <f>IF(L42=0,0,M42/L42)</f>
        <v>0</v>
      </c>
      <c r="O42" s="3">
        <v>427.6878840211459</v>
      </c>
      <c r="P42" s="3">
        <v>5.825020013755769</v>
      </c>
      <c r="Q42" s="4">
        <f>IF(O42=0,0,P42/O42)</f>
        <v>0</v>
      </c>
      <c r="S42" s="3">
        <v>0</v>
      </c>
      <c r="T42" s="3">
        <v>0</v>
      </c>
      <c r="U42" s="4">
        <f>IF(S42=0,0,T42/S42)</f>
        <v>0</v>
      </c>
      <c r="V42" s="3">
        <v>24716781.60947407</v>
      </c>
      <c r="W42" s="3">
        <v>861731.9117797464</v>
      </c>
      <c r="X42" s="4">
        <f>IF(V42=0,0,W42/V42)</f>
        <v>0</v>
      </c>
      <c r="Y42" s="3">
        <v>2216806.226901517</v>
      </c>
      <c r="Z42" s="3">
        <v>30569.74919843301</v>
      </c>
      <c r="AA42" s="4">
        <f>IF(Y42=0,0,Z42/Y42)</f>
        <v>0</v>
      </c>
      <c r="AB42" s="3">
        <v>179047.6330362356</v>
      </c>
      <c r="AC42" s="3">
        <v>53.76463315828005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</f>
        <v>0</v>
      </c>
      <c r="E43" s="3">
        <f>J43+M43+P43</f>
        <v>0</v>
      </c>
      <c r="F43" s="3">
        <v>0</v>
      </c>
      <c r="G43" s="3">
        <v>0</v>
      </c>
      <c r="H43" s="4">
        <f>IF(F43=0,0,G43/F43)</f>
        <v>0</v>
      </c>
      <c r="I43" s="3">
        <v>792.6568327877751</v>
      </c>
      <c r="J43" s="3">
        <v>47.95450258267846</v>
      </c>
      <c r="K43" s="4">
        <f>IF(I43=0,0,J43/I43)</f>
        <v>0</v>
      </c>
      <c r="L43" s="3">
        <v>14099.36149543928</v>
      </c>
      <c r="M43" s="3">
        <v>7.771691316105425</v>
      </c>
      <c r="N43" s="4">
        <f>IF(L43=0,0,M43/L43)</f>
        <v>0</v>
      </c>
      <c r="O43" s="3">
        <v>410.8336896551561</v>
      </c>
      <c r="P43" s="3">
        <v>6.801244757992798</v>
      </c>
      <c r="Q43" s="4">
        <f>IF(O43=0,0,P43/O43)</f>
        <v>0</v>
      </c>
      <c r="S43" s="3">
        <v>0</v>
      </c>
      <c r="T43" s="3">
        <v>0</v>
      </c>
      <c r="U43" s="4">
        <f>IF(S43=0,0,T43/S43)</f>
        <v>0</v>
      </c>
      <c r="V43" s="3">
        <v>22756394.15398703</v>
      </c>
      <c r="W43" s="3">
        <v>1108078.306488663</v>
      </c>
      <c r="X43" s="4">
        <f>IF(V43=0,0,W43/V43)</f>
        <v>0</v>
      </c>
      <c r="Y43" s="3">
        <v>2114085.557833027</v>
      </c>
      <c r="Z43" s="3">
        <v>36469.94504468259</v>
      </c>
      <c r="AA43" s="4">
        <f>IF(Y43=0,0,Z43/Y43)</f>
        <v>0</v>
      </c>
      <c r="AB43" s="3">
        <v>158763.7032537926</v>
      </c>
      <c r="AC43" s="3">
        <v>86.34925931482576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</f>
        <v>0</v>
      </c>
      <c r="E44" s="3">
        <f>J44+M44+P44</f>
        <v>0</v>
      </c>
      <c r="F44" s="3">
        <v>0</v>
      </c>
      <c r="G44" s="3">
        <v>0</v>
      </c>
      <c r="H44" s="4">
        <f>IF(F44=0,0,G44/F44)</f>
        <v>0</v>
      </c>
      <c r="I44" s="3">
        <v>714.5868735320346</v>
      </c>
      <c r="J44" s="3">
        <v>51.68573642029136</v>
      </c>
      <c r="K44" s="4">
        <f>IF(I44=0,0,J44/I44)</f>
        <v>0</v>
      </c>
      <c r="L44" s="3">
        <v>12459.036398116</v>
      </c>
      <c r="M44" s="3">
        <v>5.284773733304814</v>
      </c>
      <c r="N44" s="4">
        <f>IF(L44=0,0,M44/L44)</f>
        <v>0</v>
      </c>
      <c r="O44" s="3">
        <v>388.5202631627004</v>
      </c>
      <c r="P44" s="3">
        <v>6.425640266744071</v>
      </c>
      <c r="Q44" s="4">
        <f>IF(O44=0,0,P44/O44)</f>
        <v>0</v>
      </c>
      <c r="S44" s="3">
        <v>0</v>
      </c>
      <c r="T44" s="3">
        <v>0</v>
      </c>
      <c r="U44" s="4">
        <f>IF(S44=0,0,T44/S44)</f>
        <v>0</v>
      </c>
      <c r="V44" s="3">
        <v>21413420.36871202</v>
      </c>
      <c r="W44" s="3">
        <v>1269177.296716776</v>
      </c>
      <c r="X44" s="4">
        <f>IF(V44=0,0,W44/V44)</f>
        <v>0</v>
      </c>
      <c r="Y44" s="3">
        <v>1925897.452986733</v>
      </c>
      <c r="Z44" s="3">
        <v>35243.3810336343</v>
      </c>
      <c r="AA44" s="4">
        <f>IF(Y44=0,0,Z44/Y44)</f>
        <v>0</v>
      </c>
      <c r="AB44" s="3">
        <v>140314.2879239626</v>
      </c>
      <c r="AC44" s="3">
        <v>58.65232708177064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</f>
        <v>0</v>
      </c>
      <c r="E45" s="3">
        <f>J45+M45+P45</f>
        <v>0</v>
      </c>
      <c r="F45" s="3">
        <v>0</v>
      </c>
      <c r="G45" s="3">
        <v>0</v>
      </c>
      <c r="H45" s="4">
        <f>IF(F45=0,0,G45/F45)</f>
        <v>0</v>
      </c>
      <c r="I45" s="3">
        <v>607.1996095192959</v>
      </c>
      <c r="J45" s="3">
        <v>49.91319984393473</v>
      </c>
      <c r="K45" s="4">
        <f>IF(I45=0,0,J45/I45)</f>
        <v>0</v>
      </c>
      <c r="L45" s="3">
        <v>9475.405513778041</v>
      </c>
      <c r="M45" s="3">
        <v>8.366401425374672</v>
      </c>
      <c r="N45" s="4">
        <f>IF(L45=0,0,M45/L45)</f>
        <v>0</v>
      </c>
      <c r="O45" s="3">
        <v>285.742923347472</v>
      </c>
      <c r="P45" s="3">
        <v>6.236481271973287</v>
      </c>
      <c r="Q45" s="4">
        <f>IF(O45=0,0,P45/O45)</f>
        <v>0</v>
      </c>
      <c r="S45" s="3">
        <v>0</v>
      </c>
      <c r="T45" s="3">
        <v>0</v>
      </c>
      <c r="U45" s="4">
        <f>IF(S45=0,0,T45/S45)</f>
        <v>0</v>
      </c>
      <c r="V45" s="3">
        <v>19850211.7121278</v>
      </c>
      <c r="W45" s="3">
        <v>1356137.905176748</v>
      </c>
      <c r="X45" s="4">
        <f>IF(V45=0,0,W45/V45)</f>
        <v>0</v>
      </c>
      <c r="Y45" s="3">
        <v>1405792.016991551</v>
      </c>
      <c r="Z45" s="3">
        <v>30795.86643654411</v>
      </c>
      <c r="AA45" s="4">
        <f>IF(Y45=0,0,Z45/Y45)</f>
        <v>0</v>
      </c>
      <c r="AB45" s="3">
        <v>106730.9429757299</v>
      </c>
      <c r="AC45" s="3">
        <v>92.86618454611744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155.3366697637048</v>
      </c>
      <c r="G50" s="3">
        <v>58.98240259960006</v>
      </c>
      <c r="H50" s="4">
        <f>IF(F50=0,0,G50/F50)</f>
        <v>0</v>
      </c>
      <c r="I50" s="3">
        <v>382.3073643284126</v>
      </c>
      <c r="J50" s="6">
        <v>8.688572781210823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834.7483796180522</v>
      </c>
      <c r="U50" s="4">
        <f>IF(S50=0,0,T50/S50)</f>
        <v>0</v>
      </c>
      <c r="V50" s="3">
        <v>9070418.669545408</v>
      </c>
      <c r="W50" s="6">
        <v>206244.2943557147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147.7607036391231</v>
      </c>
      <c r="G51" s="3">
        <v>59.41247823140037</v>
      </c>
      <c r="H51" s="4">
        <f>IF(F51=0,0,G51/F51)</f>
        <v>0</v>
      </c>
      <c r="I51" s="3">
        <v>245.090682899663</v>
      </c>
      <c r="J51" s="6">
        <v>7.531359140255693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2091.183174942718</v>
      </c>
      <c r="T51" s="3">
        <v>840.8350244635603</v>
      </c>
      <c r="U51" s="4">
        <f>IF(S51=0,0,T51/S51)</f>
        <v>0</v>
      </c>
      <c r="V51" s="3">
        <v>7100767.677214348</v>
      </c>
      <c r="W51" s="6">
        <v>238006.6357756928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134.4880808162132</v>
      </c>
      <c r="G52" s="3">
        <v>59.19812501773821</v>
      </c>
      <c r="H52" s="4">
        <f>IF(F52=0,0,G52/F52)</f>
        <v>0</v>
      </c>
      <c r="I52" s="3">
        <v>200.4130880433794</v>
      </c>
      <c r="J52" s="6">
        <v>8.333503383573669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837.8013908731305</v>
      </c>
      <c r="U52" s="4">
        <f>IF(S52=0,0,T52/S52)</f>
        <v>0</v>
      </c>
      <c r="V52" s="3">
        <v>6292834.208210533</v>
      </c>
      <c r="W52" s="6">
        <v>279483.1369019002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118.5139506930648</v>
      </c>
      <c r="G53" s="3">
        <v>27.88815467106969</v>
      </c>
      <c r="H53" s="4">
        <f>IF(F53=0,0,G53/F53)</f>
        <v>0</v>
      </c>
      <c r="I53" s="3">
        <v>193.9015574705648</v>
      </c>
      <c r="J53" s="6">
        <v>3.251090114021907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394.6870743846378</v>
      </c>
      <c r="U53" s="4">
        <f>IF(S53=0,0,T53/S53)</f>
        <v>0</v>
      </c>
      <c r="V53" s="3">
        <v>6053045.584847068</v>
      </c>
      <c r="W53" s="6">
        <v>115470.6967978468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93.49564395607474</v>
      </c>
      <c r="G54" s="3">
        <v>16.26254254897413</v>
      </c>
      <c r="H54" s="4">
        <f>IF(F54=0,0,G54/F54)</f>
        <v>0</v>
      </c>
      <c r="I54" s="3">
        <v>136.6145524202559</v>
      </c>
      <c r="J54" s="6">
        <v>2.460393484535132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</v>
      </c>
      <c r="T54" s="3">
        <v>230.1556132492615</v>
      </c>
      <c r="U54" s="4">
        <f>IF(S54=0,0,T54/S54)</f>
        <v>0</v>
      </c>
      <c r="V54" s="3">
        <v>4890905.466101354</v>
      </c>
      <c r="W54" s="6">
        <v>96394.34072632995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P59+M59</f>
        <v>0</v>
      </c>
      <c r="F59" s="3">
        <v>155.3366697637048</v>
      </c>
      <c r="G59" s="3">
        <v>105.1172530897168</v>
      </c>
      <c r="H59" s="4">
        <f>IF(F59=0,0,G59/F59)</f>
        <v>0</v>
      </c>
      <c r="I59" s="3">
        <v>382.3073643284126</v>
      </c>
      <c r="J59" s="6">
        <v>30.38027252396196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1487.671793945145</v>
      </c>
      <c r="U59" s="4">
        <f>IF(S59=0,0,T59/S59)</f>
        <v>0</v>
      </c>
      <c r="V59" s="3">
        <v>9070418.669545408</v>
      </c>
      <c r="W59" s="6">
        <v>763318.428798628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P60+M60</f>
        <v>0</v>
      </c>
      <c r="F60" s="3">
        <v>147.7607036391231</v>
      </c>
      <c r="G60" s="3">
        <v>102.74200724521</v>
      </c>
      <c r="H60" s="4">
        <f>IF(F60=0,0,G60/F60)</f>
        <v>0</v>
      </c>
      <c r="I60" s="3">
        <v>245.090682899663</v>
      </c>
      <c r="J60" s="6">
        <v>25.02248949374902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2091.183174942718</v>
      </c>
      <c r="T60" s="3">
        <v>1454.056130077462</v>
      </c>
      <c r="U60" s="4">
        <f>IF(S60=0,0,T60/S60)</f>
        <v>0</v>
      </c>
      <c r="V60" s="3">
        <v>7100767.677214348</v>
      </c>
      <c r="W60" s="6">
        <v>836476.8330573244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P61+M61</f>
        <v>0</v>
      </c>
      <c r="F61" s="3">
        <v>134.4880808162132</v>
      </c>
      <c r="G61" s="3">
        <v>97.488226988148</v>
      </c>
      <c r="H61" s="4">
        <f>IF(F61=0,0,G61/F61)</f>
        <v>0</v>
      </c>
      <c r="I61" s="3">
        <v>200.4130880433794</v>
      </c>
      <c r="J61" s="6">
        <v>26.68454090976095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1379.702011507161</v>
      </c>
      <c r="U61" s="4">
        <f>IF(S61=0,0,T61/S61)</f>
        <v>0</v>
      </c>
      <c r="V61" s="3">
        <v>6292834.208210533</v>
      </c>
      <c r="W61" s="6">
        <v>949876.6631412003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P62+M62</f>
        <v>0</v>
      </c>
      <c r="F62" s="3">
        <v>118.5139506930648</v>
      </c>
      <c r="G62" s="3">
        <v>62.28901992946252</v>
      </c>
      <c r="H62" s="4">
        <f>IF(F62=0,0,G62/F62)</f>
        <v>0</v>
      </c>
      <c r="I62" s="3">
        <v>193.9015574705648</v>
      </c>
      <c r="J62" s="6">
        <v>11.86059618587699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881.545277276785</v>
      </c>
      <c r="U62" s="4">
        <f>IF(S62=0,0,T62/S62)</f>
        <v>0</v>
      </c>
      <c r="V62" s="3">
        <v>6053045.584847068</v>
      </c>
      <c r="W62" s="6">
        <v>432629.1184659526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P63+M63</f>
        <v>0</v>
      </c>
      <c r="F63" s="3">
        <v>93.49564395607474</v>
      </c>
      <c r="G63" s="3">
        <v>40.86638015373266</v>
      </c>
      <c r="H63" s="4">
        <f>IF(F63=0,0,G63/F63)</f>
        <v>0</v>
      </c>
      <c r="I63" s="3">
        <v>136.6145524202559</v>
      </c>
      <c r="J63" s="6">
        <v>9.160355738468613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</v>
      </c>
      <c r="T63" s="3">
        <v>578.3613944274117</v>
      </c>
      <c r="U63" s="4">
        <f>IF(S63=0,0,T63/S63)</f>
        <v>0</v>
      </c>
      <c r="V63" s="3">
        <v>4890905.466101354</v>
      </c>
      <c r="W63" s="6">
        <v>365344.9764395468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6">
        <f>J68+J69+J70+J71+J72</f>
        <v>0</v>
      </c>
      <c r="K66" s="7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6">
        <f>W68+W69+W70+W71+W72</f>
        <v>0</v>
      </c>
      <c r="X66" s="7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J68+G68</f>
        <v>0</v>
      </c>
      <c r="E68" s="3">
        <f>P68+M68</f>
        <v>0</v>
      </c>
      <c r="F68" s="3">
        <v>155.3366697637048</v>
      </c>
      <c r="G68" s="3">
        <v>98.37588727255864</v>
      </c>
      <c r="H68" s="4">
        <f>IF(F68=0,0,G68/F68)</f>
        <v>0</v>
      </c>
      <c r="I68" s="3">
        <v>382.3073643284126</v>
      </c>
      <c r="J68" s="6">
        <v>25.16365196989442</v>
      </c>
      <c r="K68" s="7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2198.402026122217</v>
      </c>
      <c r="T68" s="3">
        <v>1392.264622581063</v>
      </c>
      <c r="U68" s="4">
        <f>IF(S68=0,0,T68/S68)</f>
        <v>0</v>
      </c>
      <c r="V68" s="3">
        <v>9070418.669545408</v>
      </c>
      <c r="W68" s="6">
        <v>623324.3944149893</v>
      </c>
      <c r="X68" s="7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J69+G69</f>
        <v>0</v>
      </c>
      <c r="E69" s="3">
        <f>P69+M69</f>
        <v>0</v>
      </c>
      <c r="F69" s="3">
        <v>147.7607036391231</v>
      </c>
      <c r="G69" s="3">
        <v>96.54985248064197</v>
      </c>
      <c r="H69" s="4">
        <f>IF(F69=0,0,G69/F69)</f>
        <v>0</v>
      </c>
      <c r="I69" s="3">
        <v>245.090682899663</v>
      </c>
      <c r="J69" s="6">
        <v>21.00591395392729</v>
      </c>
      <c r="K69" s="7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2091.183174942718</v>
      </c>
      <c r="T69" s="3">
        <v>1366.421667453817</v>
      </c>
      <c r="U69" s="4">
        <f>IF(S69=0,0,T69/S69)</f>
        <v>0</v>
      </c>
      <c r="V69" s="3">
        <v>7100767.677214348</v>
      </c>
      <c r="W69" s="6">
        <v>692794.2038804609</v>
      </c>
      <c r="X69" s="7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J70+G70</f>
        <v>0</v>
      </c>
      <c r="E70" s="3">
        <f>P70+M70</f>
        <v>0</v>
      </c>
      <c r="F70" s="3">
        <v>134.4880808162132</v>
      </c>
      <c r="G70" s="3">
        <v>92.20871899130873</v>
      </c>
      <c r="H70" s="4">
        <f>IF(F70=0,0,G70/F70)</f>
        <v>0</v>
      </c>
      <c r="I70" s="3">
        <v>200.4130880433794</v>
      </c>
      <c r="J70" s="6">
        <v>22.61656617855842</v>
      </c>
      <c r="K70" s="7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1903.342396907326</v>
      </c>
      <c r="T70" s="3">
        <v>1304.983781131581</v>
      </c>
      <c r="U70" s="4">
        <f>IF(S70=0,0,T70/S70)</f>
        <v>0</v>
      </c>
      <c r="V70" s="3">
        <v>6292834.208210533</v>
      </c>
      <c r="W70" s="6">
        <v>794041.0575617198</v>
      </c>
      <c r="X70" s="7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J71+G71</f>
        <v>0</v>
      </c>
      <c r="E71" s="3">
        <f>P71+M71</f>
        <v>0</v>
      </c>
      <c r="F71" s="3">
        <v>118.5139506930648</v>
      </c>
      <c r="G71" s="3">
        <v>56.33344127694023</v>
      </c>
      <c r="H71" s="4">
        <f>IF(F71=0,0,G71/F71)</f>
        <v>0</v>
      </c>
      <c r="I71" s="3">
        <v>193.9015574705648</v>
      </c>
      <c r="J71" s="6">
        <v>9.710502579285997</v>
      </c>
      <c r="K71" s="7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1677.268540156761</v>
      </c>
      <c r="T71" s="3">
        <v>797.2589577853753</v>
      </c>
      <c r="U71" s="4">
        <f>IF(S71=0,0,T71/S71)</f>
        <v>0</v>
      </c>
      <c r="V71" s="3">
        <v>6053045.584847068</v>
      </c>
      <c r="W71" s="6">
        <v>351805.066879469</v>
      </c>
      <c r="X71" s="7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J72+G72</f>
        <v>0</v>
      </c>
      <c r="E72" s="3">
        <f>P72+M72</f>
        <v>0</v>
      </c>
      <c r="F72" s="3">
        <v>93.49564395607474</v>
      </c>
      <c r="G72" s="3">
        <v>36.20808203369902</v>
      </c>
      <c r="H72" s="4">
        <f>IF(F72=0,0,G72/F72)</f>
        <v>0</v>
      </c>
      <c r="I72" s="3">
        <v>136.6145524202559</v>
      </c>
      <c r="J72" s="6">
        <v>7.45877905144963</v>
      </c>
      <c r="K72" s="7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1323.19698509889</v>
      </c>
      <c r="T72" s="3">
        <v>512.4348360626584</v>
      </c>
      <c r="U72" s="4">
        <f>IF(S72=0,0,T72/S72)</f>
        <v>0</v>
      </c>
      <c r="V72" s="3">
        <v>4890905.466101354</v>
      </c>
      <c r="W72" s="6">
        <v>296120.1093025655</v>
      </c>
      <c r="X72" s="7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  <row r="74" spans="1:30">
      <c r="A74" s="2" t="s">
        <v>42</v>
      </c>
    </row>
    <row r="75" spans="1:30">
      <c r="B75" t="s">
        <v>28</v>
      </c>
      <c r="C75" s="3">
        <f>C77+C78+C79+C80+C81</f>
        <v>0</v>
      </c>
      <c r="D75" s="3">
        <f>D77+D78+D79+D80+D81</f>
        <v>0</v>
      </c>
      <c r="E75" s="3">
        <f>E77+E78+E79+E80+E81</f>
        <v>0</v>
      </c>
      <c r="F75" s="3">
        <f>F77+F78+F79+F80+F81</f>
        <v>0</v>
      </c>
      <c r="G75" s="3">
        <f>G77+G78+G79+G80+G81</f>
        <v>0</v>
      </c>
      <c r="H75" s="4">
        <f>IF(F75=0,0,G75/F75)</f>
        <v>0</v>
      </c>
      <c r="I75" s="3">
        <f>I77+I78+I79+I80+I81</f>
        <v>0</v>
      </c>
      <c r="J75" s="3">
        <f>J77+J78+J79+J80+J81</f>
        <v>0</v>
      </c>
      <c r="K75" s="4">
        <f>IF(I75=0,0,J75/I75)</f>
        <v>0</v>
      </c>
      <c r="L75" s="3">
        <f>L77+L78+L79+L80+L81</f>
        <v>0</v>
      </c>
      <c r="M75" s="3">
        <f>M77+M78+M79+M80+M81</f>
        <v>0</v>
      </c>
      <c r="N75" s="4">
        <f>IF(L75=0,0,M75/L75)</f>
        <v>0</v>
      </c>
      <c r="O75" s="3">
        <f>O77+O78+O79+O80+O81</f>
        <v>0</v>
      </c>
      <c r="P75" s="3">
        <f>P77+P78+P79+P80+P81</f>
        <v>0</v>
      </c>
      <c r="Q75" s="4">
        <f>IF(O75=0,0,P75/O75)</f>
        <v>0</v>
      </c>
      <c r="S75" s="3">
        <f>S77+S78+S79+S80+S81</f>
        <v>0</v>
      </c>
      <c r="T75" s="3">
        <f>T77+T78+T79+T80+T81</f>
        <v>0</v>
      </c>
      <c r="U75" s="4">
        <f>IF(S75=0,0,T75/S75)</f>
        <v>0</v>
      </c>
      <c r="V75" s="3">
        <f>V77+V78+V79+V80+V81</f>
        <v>0</v>
      </c>
      <c r="W75" s="3">
        <f>W77+W78+W79+W80+W81</f>
        <v>0</v>
      </c>
      <c r="X75" s="4">
        <f>IF(V75=0,0,W75/V75)</f>
        <v>0</v>
      </c>
      <c r="Y75" s="3">
        <f>Y77+Y78+Y79+Y80+Y81</f>
        <v>0</v>
      </c>
      <c r="Z75" s="3">
        <f>Z77+Z78+Z79+Z80+Z81</f>
        <v>0</v>
      </c>
      <c r="AA75" s="4">
        <f>IF(Y75=0,0,Z75/Y75)</f>
        <v>0</v>
      </c>
      <c r="AB75" s="3">
        <f>AB77+AB78+AB79+AB80+AB81</f>
        <v>0</v>
      </c>
      <c r="AC75" s="3">
        <f>AC77+AC78+AC79+AC80+AC81</f>
        <v>0</v>
      </c>
      <c r="AD75" s="4">
        <f>IF(AB75=0,0,AC75/AB75)</f>
        <v>0</v>
      </c>
    </row>
    <row r="76" spans="1:30">
      <c r="A76" s="5" t="s">
        <v>29</v>
      </c>
    </row>
    <row r="77" spans="1:30">
      <c r="B77" t="s">
        <v>30</v>
      </c>
      <c r="C77" s="3">
        <f>J77+M77+G77+P77</f>
        <v>0</v>
      </c>
      <c r="D77" s="3">
        <f>G77</f>
        <v>0</v>
      </c>
      <c r="E77" s="3">
        <f>J77+M77+P77</f>
        <v>0</v>
      </c>
      <c r="F77" s="3">
        <v>412.7408750394843</v>
      </c>
      <c r="G77" s="3">
        <v>146.8879599840255</v>
      </c>
      <c r="H77" s="4">
        <f>IF(F77=0,0,G77/F77)</f>
        <v>0</v>
      </c>
      <c r="I77" s="3">
        <v>0</v>
      </c>
      <c r="J77" s="3">
        <v>0</v>
      </c>
      <c r="K77" s="4">
        <f>IF(I77=0,0,J77/I77)</f>
        <v>0</v>
      </c>
      <c r="L77" s="3">
        <v>0</v>
      </c>
      <c r="M77" s="3">
        <v>0</v>
      </c>
      <c r="N77" s="4">
        <f>IF(L77=0,0,M77/L77)</f>
        <v>0</v>
      </c>
      <c r="O77" s="3">
        <v>0</v>
      </c>
      <c r="P77" s="3">
        <v>0</v>
      </c>
      <c r="Q77" s="4">
        <f>IF(O77=0,0,P77/O77)</f>
        <v>0</v>
      </c>
      <c r="S77" s="3">
        <v>12734.95565684622</v>
      </c>
      <c r="T77" s="3">
        <v>4532.169625172735</v>
      </c>
      <c r="U77" s="4">
        <f>IF(S77=0,0,T77/S77)</f>
        <v>0</v>
      </c>
      <c r="V77" s="3">
        <v>0</v>
      </c>
      <c r="W77" s="3">
        <v>0</v>
      </c>
      <c r="X77" s="4">
        <f>IF(V77=0,0,W77/V77)</f>
        <v>0</v>
      </c>
      <c r="Y77" s="3">
        <v>0</v>
      </c>
      <c r="Z77" s="3">
        <v>0</v>
      </c>
      <c r="AA77" s="4">
        <f>IF(Y77=0,0,Z77/Y77)</f>
        <v>0</v>
      </c>
      <c r="AB77" s="3">
        <v>0</v>
      </c>
      <c r="AC77" s="3">
        <v>0</v>
      </c>
      <c r="AD77" s="4">
        <f>IF(AB77=0,0,AC77/AB77)</f>
        <v>0</v>
      </c>
    </row>
    <row r="78" spans="1:30">
      <c r="B78" t="s">
        <v>31</v>
      </c>
      <c r="C78" s="3">
        <f>J78+M78+G78+P78</f>
        <v>0</v>
      </c>
      <c r="D78" s="3">
        <f>G78</f>
        <v>0</v>
      </c>
      <c r="E78" s="3">
        <f>J78+M78+P78</f>
        <v>0</v>
      </c>
      <c r="F78" s="3">
        <v>422.0532339939541</v>
      </c>
      <c r="G78" s="3">
        <v>141.7344183926904</v>
      </c>
      <c r="H78" s="4">
        <f>IF(F78=0,0,G78/F78)</f>
        <v>0</v>
      </c>
      <c r="I78" s="3">
        <v>0</v>
      </c>
      <c r="J78" s="3">
        <v>0</v>
      </c>
      <c r="K78" s="4">
        <f>IF(I78=0,0,J78/I78)</f>
        <v>0</v>
      </c>
      <c r="L78" s="3">
        <v>0</v>
      </c>
      <c r="M78" s="3">
        <v>0</v>
      </c>
      <c r="N78" s="4">
        <f>IF(L78=0,0,M78/L78)</f>
        <v>0</v>
      </c>
      <c r="O78" s="3">
        <v>0</v>
      </c>
      <c r="P78" s="3">
        <v>0</v>
      </c>
      <c r="Q78" s="4">
        <f>IF(O78=0,0,P78/O78)</f>
        <v>0</v>
      </c>
      <c r="S78" s="3">
        <v>13022.28479122008</v>
      </c>
      <c r="T78" s="3">
        <v>4373.159147630166</v>
      </c>
      <c r="U78" s="4">
        <f>IF(S78=0,0,T78/S78)</f>
        <v>0</v>
      </c>
      <c r="V78" s="3">
        <v>0</v>
      </c>
      <c r="W78" s="3">
        <v>0</v>
      </c>
      <c r="X78" s="4">
        <f>IF(V78=0,0,W78/V78)</f>
        <v>0</v>
      </c>
      <c r="Y78" s="3">
        <v>0</v>
      </c>
      <c r="Z78" s="3">
        <v>0</v>
      </c>
      <c r="AA78" s="4">
        <f>IF(Y78=0,0,Z78/Y78)</f>
        <v>0</v>
      </c>
      <c r="AB78" s="3">
        <v>0</v>
      </c>
      <c r="AC78" s="3">
        <v>0</v>
      </c>
      <c r="AD78" s="4">
        <f>IF(AB78=0,0,AC78/AB78)</f>
        <v>0</v>
      </c>
    </row>
    <row r="79" spans="1:30">
      <c r="B79" t="s">
        <v>32</v>
      </c>
      <c r="C79" s="3">
        <f>J79+M79+G79+P79</f>
        <v>0</v>
      </c>
      <c r="D79" s="3">
        <f>G79</f>
        <v>0</v>
      </c>
      <c r="E79" s="3">
        <f>J79+M79+P79</f>
        <v>0</v>
      </c>
      <c r="F79" s="3">
        <v>382.0743136549376</v>
      </c>
      <c r="G79" s="3">
        <v>124.6559480289836</v>
      </c>
      <c r="H79" s="4">
        <f>IF(F79=0,0,G79/F79)</f>
        <v>0</v>
      </c>
      <c r="I79" s="3">
        <v>0</v>
      </c>
      <c r="J79" s="3">
        <v>0</v>
      </c>
      <c r="K79" s="4">
        <f>IF(I79=0,0,J79/I79)</f>
        <v>0</v>
      </c>
      <c r="L79" s="3">
        <v>0</v>
      </c>
      <c r="M79" s="3">
        <v>0</v>
      </c>
      <c r="N79" s="4">
        <f>IF(L79=0,0,M79/L79)</f>
        <v>0</v>
      </c>
      <c r="O79" s="3">
        <v>0</v>
      </c>
      <c r="P79" s="3">
        <v>0</v>
      </c>
      <c r="Q79" s="4">
        <f>IF(O79=0,0,P79/O79)</f>
        <v>0</v>
      </c>
      <c r="S79" s="3">
        <v>11788.75109364953</v>
      </c>
      <c r="T79" s="3">
        <v>3846.209732339612</v>
      </c>
      <c r="U79" s="4">
        <f>IF(S79=0,0,T79/S79)</f>
        <v>0</v>
      </c>
      <c r="V79" s="3">
        <v>0</v>
      </c>
      <c r="W79" s="3">
        <v>0</v>
      </c>
      <c r="X79" s="4">
        <f>IF(V79=0,0,W79/V79)</f>
        <v>0</v>
      </c>
      <c r="Y79" s="3">
        <v>0</v>
      </c>
      <c r="Z79" s="3">
        <v>0</v>
      </c>
      <c r="AA79" s="4">
        <f>IF(Y79=0,0,Z79/Y79)</f>
        <v>0</v>
      </c>
      <c r="AB79" s="3">
        <v>0</v>
      </c>
      <c r="AC79" s="3">
        <v>0</v>
      </c>
      <c r="AD79" s="4">
        <f>IF(AB79=0,0,AC79/AB79)</f>
        <v>0</v>
      </c>
    </row>
    <row r="80" spans="1:30">
      <c r="B80" t="s">
        <v>33</v>
      </c>
      <c r="C80" s="3">
        <f>J80+M80+G80+P80</f>
        <v>0</v>
      </c>
      <c r="D80" s="3">
        <f>G80</f>
        <v>0</v>
      </c>
      <c r="E80" s="3">
        <f>J80+M80+P80</f>
        <v>0</v>
      </c>
      <c r="F80" s="3">
        <v>338.6701578384149</v>
      </c>
      <c r="G80" s="3">
        <v>106.5823973125179</v>
      </c>
      <c r="H80" s="4">
        <f>IF(F80=0,0,G80/F80)</f>
        <v>0</v>
      </c>
      <c r="I80" s="3">
        <v>0</v>
      </c>
      <c r="J80" s="3">
        <v>0</v>
      </c>
      <c r="K80" s="4">
        <f>IF(I80=0,0,J80/I80)</f>
        <v>0</v>
      </c>
      <c r="L80" s="3">
        <v>0</v>
      </c>
      <c r="M80" s="3">
        <v>0</v>
      </c>
      <c r="N80" s="4">
        <f>IF(L80=0,0,M80/L80)</f>
        <v>0</v>
      </c>
      <c r="O80" s="3">
        <v>0</v>
      </c>
      <c r="P80" s="3">
        <v>0</v>
      </c>
      <c r="Q80" s="4">
        <f>IF(O80=0,0,P80/O80)</f>
        <v>0</v>
      </c>
      <c r="S80" s="3">
        <v>10449.53311676904</v>
      </c>
      <c r="T80" s="3">
        <v>3288.557508256084</v>
      </c>
      <c r="U80" s="4">
        <f>IF(S80=0,0,T80/S80)</f>
        <v>0</v>
      </c>
      <c r="V80" s="3">
        <v>0</v>
      </c>
      <c r="W80" s="3">
        <v>0</v>
      </c>
      <c r="X80" s="4">
        <f>IF(V80=0,0,W80/V80)</f>
        <v>0</v>
      </c>
      <c r="Y80" s="3">
        <v>0</v>
      </c>
      <c r="Z80" s="3">
        <v>0</v>
      </c>
      <c r="AA80" s="4">
        <f>IF(Y80=0,0,Z80/Y80)</f>
        <v>0</v>
      </c>
      <c r="AB80" s="3">
        <v>0</v>
      </c>
      <c r="AC80" s="3">
        <v>0</v>
      </c>
      <c r="AD80" s="4">
        <f>IF(AB80=0,0,AC80/AB80)</f>
        <v>0</v>
      </c>
    </row>
    <row r="81" spans="1:30">
      <c r="B81" t="s">
        <v>34</v>
      </c>
      <c r="C81" s="3">
        <f>J81+M81+G81+P81</f>
        <v>0</v>
      </c>
      <c r="D81" s="3">
        <f>G81</f>
        <v>0</v>
      </c>
      <c r="E81" s="3">
        <f>J81+M81+P81</f>
        <v>0</v>
      </c>
      <c r="F81" s="3">
        <v>297.4602934996698</v>
      </c>
      <c r="G81" s="3">
        <v>93.75383596516214</v>
      </c>
      <c r="H81" s="4">
        <f>IF(F81=0,0,G81/F81)</f>
        <v>0</v>
      </c>
      <c r="I81" s="3">
        <v>0</v>
      </c>
      <c r="J81" s="3">
        <v>0</v>
      </c>
      <c r="K81" s="4">
        <f>IF(I81=0,0,J81/I81)</f>
        <v>0</v>
      </c>
      <c r="L81" s="3">
        <v>0</v>
      </c>
      <c r="M81" s="3">
        <v>0</v>
      </c>
      <c r="N81" s="4">
        <f>IF(L81=0,0,M81/L81)</f>
        <v>0</v>
      </c>
      <c r="O81" s="3">
        <v>0</v>
      </c>
      <c r="P81" s="3">
        <v>0</v>
      </c>
      <c r="Q81" s="4">
        <f>IF(O81=0,0,P81/O81)</f>
        <v>0</v>
      </c>
      <c r="S81" s="3">
        <v>9178.019131321482</v>
      </c>
      <c r="T81" s="3">
        <v>2892.73734655274</v>
      </c>
      <c r="U81" s="4">
        <f>IF(S81=0,0,T81/S81)</f>
        <v>0</v>
      </c>
      <c r="V81" s="3">
        <v>0</v>
      </c>
      <c r="W81" s="3">
        <v>0</v>
      </c>
      <c r="X81" s="4">
        <f>IF(V81=0,0,W81/V81)</f>
        <v>0</v>
      </c>
      <c r="Y81" s="3">
        <v>0</v>
      </c>
      <c r="Z81" s="3">
        <v>0</v>
      </c>
      <c r="AA81" s="4">
        <f>IF(Y81=0,0,Z81/Y81)</f>
        <v>0</v>
      </c>
      <c r="AB81" s="3">
        <v>0</v>
      </c>
      <c r="AC81" s="3">
        <v>0</v>
      </c>
      <c r="AD81" s="4">
        <f>IF(AB81=0,0,AC81/AB81)</f>
        <v>0</v>
      </c>
    </row>
    <row r="83" spans="1:30">
      <c r="A83" s="2" t="s">
        <v>43</v>
      </c>
    </row>
    <row r="84" spans="1:30">
      <c r="B84" t="s">
        <v>28</v>
      </c>
      <c r="C84" s="3">
        <f>C86+C87+C88+C89+C90</f>
        <v>0</v>
      </c>
      <c r="D84" s="3">
        <f>D86+D87+D88+D89+D90</f>
        <v>0</v>
      </c>
      <c r="E84" s="3">
        <f>E86+E87+E88+E89+E90</f>
        <v>0</v>
      </c>
      <c r="F84" s="3">
        <f>F86+F87+F88+F89+F90</f>
        <v>0</v>
      </c>
      <c r="G84" s="3">
        <f>G86+G87+G88+G89+G90</f>
        <v>0</v>
      </c>
      <c r="H84" s="4">
        <f>IF(F84=0,0,G84/F84)</f>
        <v>0</v>
      </c>
      <c r="I84" s="3">
        <f>I86+I87+I88+I89+I90</f>
        <v>0</v>
      </c>
      <c r="J84" s="3">
        <f>J86+J87+J88+J89+J90</f>
        <v>0</v>
      </c>
      <c r="K84" s="4">
        <f>IF(I84=0,0,J84/I84)</f>
        <v>0</v>
      </c>
      <c r="L84" s="3">
        <f>L86+L87+L88+L89+L90</f>
        <v>0</v>
      </c>
      <c r="M84" s="3">
        <f>M86+M87+M88+M89+M90</f>
        <v>0</v>
      </c>
      <c r="N84" s="4">
        <f>IF(L84=0,0,M84/L84)</f>
        <v>0</v>
      </c>
      <c r="O84" s="3">
        <f>O86+O87+O88+O89+O90</f>
        <v>0</v>
      </c>
      <c r="P84" s="3">
        <f>P86+P87+P88+P89+P90</f>
        <v>0</v>
      </c>
      <c r="Q84" s="4">
        <f>IF(O84=0,0,P84/O84)</f>
        <v>0</v>
      </c>
      <c r="S84" s="3">
        <f>S86+S87+S88+S89+S90</f>
        <v>0</v>
      </c>
      <c r="T84" s="3">
        <f>T86+T87+T88+T89+T90</f>
        <v>0</v>
      </c>
      <c r="U84" s="4">
        <f>IF(S84=0,0,T84/S84)</f>
        <v>0</v>
      </c>
      <c r="V84" s="3">
        <f>V86+V87+V88+V89+V90</f>
        <v>0</v>
      </c>
      <c r="W84" s="3">
        <f>W86+W87+W88+W89+W90</f>
        <v>0</v>
      </c>
      <c r="X84" s="4">
        <f>IF(V84=0,0,W84/V84)</f>
        <v>0</v>
      </c>
      <c r="Y84" s="3">
        <f>Y86+Y87+Y88+Y89+Y90</f>
        <v>0</v>
      </c>
      <c r="Z84" s="3">
        <f>Z86+Z87+Z88+Z89+Z90</f>
        <v>0</v>
      </c>
      <c r="AA84" s="4">
        <f>IF(Y84=0,0,Z84/Y84)</f>
        <v>0</v>
      </c>
      <c r="AB84" s="3">
        <f>AB86+AB87+AB88+AB89+AB90</f>
        <v>0</v>
      </c>
      <c r="AC84" s="3">
        <f>AC86+AC87+AC88+AC89+AC90</f>
        <v>0</v>
      </c>
      <c r="AD84" s="4">
        <f>IF(AB84=0,0,AC84/AB84)</f>
        <v>0</v>
      </c>
    </row>
    <row r="85" spans="1:30">
      <c r="A85" s="5" t="s">
        <v>29</v>
      </c>
    </row>
    <row r="86" spans="1:30">
      <c r="B86" t="s">
        <v>30</v>
      </c>
      <c r="C86" s="3">
        <f>J86+M86+G86+P86</f>
        <v>0</v>
      </c>
      <c r="D86" s="3">
        <f>G86</f>
        <v>0</v>
      </c>
      <c r="E86" s="3">
        <f>J86+M86+P86</f>
        <v>0</v>
      </c>
      <c r="F86" s="3">
        <v>412.7408750394843</v>
      </c>
      <c r="G86" s="3">
        <v>270.621528830763</v>
      </c>
      <c r="H86" s="4">
        <f>IF(F86=0,0,G86/F86)</f>
        <v>0</v>
      </c>
      <c r="I86" s="3">
        <v>0</v>
      </c>
      <c r="J86" s="3">
        <v>0</v>
      </c>
      <c r="K86" s="4">
        <f>IF(I86=0,0,J86/I86)</f>
        <v>0</v>
      </c>
      <c r="L86" s="3">
        <v>0</v>
      </c>
      <c r="M86" s="3">
        <v>0</v>
      </c>
      <c r="N86" s="4">
        <f>IF(L86=0,0,M86/L86)</f>
        <v>0</v>
      </c>
      <c r="O86" s="3">
        <v>0</v>
      </c>
      <c r="P86" s="3">
        <v>0</v>
      </c>
      <c r="Q86" s="4">
        <f>IF(O86=0,0,P86/O86)</f>
        <v>0</v>
      </c>
      <c r="S86" s="3">
        <v>12734.95565684622</v>
      </c>
      <c r="T86" s="3">
        <v>8349.919714440704</v>
      </c>
      <c r="U86" s="4">
        <f>IF(S86=0,0,T86/S86)</f>
        <v>0</v>
      </c>
      <c r="V86" s="3">
        <v>0</v>
      </c>
      <c r="W86" s="3">
        <v>0</v>
      </c>
      <c r="X86" s="4">
        <f>IF(V86=0,0,W86/V86)</f>
        <v>0</v>
      </c>
      <c r="Y86" s="3">
        <v>0</v>
      </c>
      <c r="Z86" s="3">
        <v>0</v>
      </c>
      <c r="AA86" s="4">
        <f>IF(Y86=0,0,Z86/Y86)</f>
        <v>0</v>
      </c>
      <c r="AB86" s="3">
        <v>0</v>
      </c>
      <c r="AC86" s="3">
        <v>0</v>
      </c>
      <c r="AD86" s="4">
        <f>IF(AB86=0,0,AC86/AB86)</f>
        <v>0</v>
      </c>
    </row>
    <row r="87" spans="1:30">
      <c r="B87" t="s">
        <v>31</v>
      </c>
      <c r="C87" s="3">
        <f>J87+M87+G87+P87</f>
        <v>0</v>
      </c>
      <c r="D87" s="3">
        <f>G87</f>
        <v>0</v>
      </c>
      <c r="E87" s="3">
        <f>J87+M87+P87</f>
        <v>0</v>
      </c>
      <c r="F87" s="3">
        <v>422.0532339939541</v>
      </c>
      <c r="G87" s="3">
        <v>268.8415075664349</v>
      </c>
      <c r="H87" s="4">
        <f>IF(F87=0,0,G87/F87)</f>
        <v>0</v>
      </c>
      <c r="I87" s="3">
        <v>0</v>
      </c>
      <c r="J87" s="3">
        <v>0</v>
      </c>
      <c r="K87" s="4">
        <f>IF(I87=0,0,J87/I87)</f>
        <v>0</v>
      </c>
      <c r="L87" s="3">
        <v>0</v>
      </c>
      <c r="M87" s="3">
        <v>0</v>
      </c>
      <c r="N87" s="4">
        <f>IF(L87=0,0,M87/L87)</f>
        <v>0</v>
      </c>
      <c r="O87" s="3">
        <v>0</v>
      </c>
      <c r="P87" s="3">
        <v>0</v>
      </c>
      <c r="Q87" s="4">
        <f>IF(O87=0,0,P87/O87)</f>
        <v>0</v>
      </c>
      <c r="S87" s="3">
        <v>13022.28479122008</v>
      </c>
      <c r="T87" s="3">
        <v>8294.997865793428</v>
      </c>
      <c r="U87" s="4">
        <f>IF(S87=0,0,T87/S87)</f>
        <v>0</v>
      </c>
      <c r="V87" s="3">
        <v>0</v>
      </c>
      <c r="W87" s="3">
        <v>0</v>
      </c>
      <c r="X87" s="4">
        <f>IF(V87=0,0,W87/V87)</f>
        <v>0</v>
      </c>
      <c r="Y87" s="3">
        <v>0</v>
      </c>
      <c r="Z87" s="3">
        <v>0</v>
      </c>
      <c r="AA87" s="4">
        <f>IF(Y87=0,0,Z87/Y87)</f>
        <v>0</v>
      </c>
      <c r="AB87" s="3">
        <v>0</v>
      </c>
      <c r="AC87" s="3">
        <v>0</v>
      </c>
      <c r="AD87" s="4">
        <f>IF(AB87=0,0,AC87/AB87)</f>
        <v>0</v>
      </c>
    </row>
    <row r="88" spans="1:30">
      <c r="B88" t="s">
        <v>32</v>
      </c>
      <c r="C88" s="3">
        <f>J88+M88+G88+P88</f>
        <v>0</v>
      </c>
      <c r="D88" s="3">
        <f>G88</f>
        <v>0</v>
      </c>
      <c r="E88" s="3">
        <f>J88+M88+P88</f>
        <v>0</v>
      </c>
      <c r="F88" s="3">
        <v>382.0743136549376</v>
      </c>
      <c r="G88" s="3">
        <v>239.83782878063</v>
      </c>
      <c r="H88" s="4">
        <f>IF(F88=0,0,G88/F88)</f>
        <v>0</v>
      </c>
      <c r="I88" s="3">
        <v>0</v>
      </c>
      <c r="J88" s="3">
        <v>0</v>
      </c>
      <c r="K88" s="4">
        <f>IF(I88=0,0,J88/I88)</f>
        <v>0</v>
      </c>
      <c r="L88" s="3">
        <v>0</v>
      </c>
      <c r="M88" s="3">
        <v>0</v>
      </c>
      <c r="N88" s="4">
        <f>IF(L88=0,0,M88/L88)</f>
        <v>0</v>
      </c>
      <c r="O88" s="3">
        <v>0</v>
      </c>
      <c r="P88" s="3">
        <v>0</v>
      </c>
      <c r="Q88" s="4">
        <f>IF(O88=0,0,P88/O88)</f>
        <v>0</v>
      </c>
      <c r="S88" s="3">
        <v>11788.75109364953</v>
      </c>
      <c r="T88" s="3">
        <v>7400.100884273723</v>
      </c>
      <c r="U88" s="4">
        <f>IF(S88=0,0,T88/S88)</f>
        <v>0</v>
      </c>
      <c r="V88" s="3">
        <v>0</v>
      </c>
      <c r="W88" s="3">
        <v>0</v>
      </c>
      <c r="X88" s="4">
        <f>IF(V88=0,0,W88/V88)</f>
        <v>0</v>
      </c>
      <c r="Y88" s="3">
        <v>0</v>
      </c>
      <c r="Z88" s="3">
        <v>0</v>
      </c>
      <c r="AA88" s="4">
        <f>IF(Y88=0,0,Z88/Y88)</f>
        <v>0</v>
      </c>
      <c r="AB88" s="3">
        <v>0</v>
      </c>
      <c r="AC88" s="3">
        <v>0</v>
      </c>
      <c r="AD88" s="4">
        <f>IF(AB88=0,0,AC88/AB88)</f>
        <v>0</v>
      </c>
    </row>
    <row r="89" spans="1:30">
      <c r="B89" t="s">
        <v>33</v>
      </c>
      <c r="C89" s="3">
        <f>J89+M89+G89+P89</f>
        <v>0</v>
      </c>
      <c r="D89" s="3">
        <f>G89</f>
        <v>0</v>
      </c>
      <c r="E89" s="3">
        <f>J89+M89+P89</f>
        <v>0</v>
      </c>
      <c r="F89" s="3">
        <v>338.6701578384149</v>
      </c>
      <c r="G89" s="3">
        <v>208.6917795068874</v>
      </c>
      <c r="H89" s="4">
        <f>IF(F89=0,0,G89/F89)</f>
        <v>0</v>
      </c>
      <c r="I89" s="3">
        <v>0</v>
      </c>
      <c r="J89" s="3">
        <v>0</v>
      </c>
      <c r="K89" s="4">
        <f>IF(I89=0,0,J89/I89)</f>
        <v>0</v>
      </c>
      <c r="L89" s="3">
        <v>0</v>
      </c>
      <c r="M89" s="3">
        <v>0</v>
      </c>
      <c r="N89" s="4">
        <f>IF(L89=0,0,M89/L89)</f>
        <v>0</v>
      </c>
      <c r="O89" s="3">
        <v>0</v>
      </c>
      <c r="P89" s="3">
        <v>0</v>
      </c>
      <c r="Q89" s="4">
        <f>IF(O89=0,0,P89/O89)</f>
        <v>0</v>
      </c>
      <c r="S89" s="3">
        <v>10449.53311676904</v>
      </c>
      <c r="T89" s="3">
        <v>6439.101912826773</v>
      </c>
      <c r="U89" s="4">
        <f>IF(S89=0,0,T89/S89)</f>
        <v>0</v>
      </c>
      <c r="V89" s="3">
        <v>0</v>
      </c>
      <c r="W89" s="3">
        <v>0</v>
      </c>
      <c r="X89" s="4">
        <f>IF(V89=0,0,W89/V89)</f>
        <v>0</v>
      </c>
      <c r="Y89" s="3">
        <v>0</v>
      </c>
      <c r="Z89" s="3">
        <v>0</v>
      </c>
      <c r="AA89" s="4">
        <f>IF(Y89=0,0,Z89/Y89)</f>
        <v>0</v>
      </c>
      <c r="AB89" s="3">
        <v>0</v>
      </c>
      <c r="AC89" s="3">
        <v>0</v>
      </c>
      <c r="AD89" s="4">
        <f>IF(AB89=0,0,AC89/AB89)</f>
        <v>0</v>
      </c>
    </row>
    <row r="90" spans="1:30">
      <c r="B90" t="s">
        <v>34</v>
      </c>
      <c r="C90" s="3">
        <f>J90+M90+G90+P90</f>
        <v>0</v>
      </c>
      <c r="D90" s="3">
        <f>G90</f>
        <v>0</v>
      </c>
      <c r="E90" s="3">
        <f>J90+M90+P90</f>
        <v>0</v>
      </c>
      <c r="F90" s="3">
        <v>297.4602934996698</v>
      </c>
      <c r="G90" s="3">
        <v>183.4401220978906</v>
      </c>
      <c r="H90" s="4">
        <f>IF(F90=0,0,G90/F90)</f>
        <v>0</v>
      </c>
      <c r="I90" s="3">
        <v>0</v>
      </c>
      <c r="J90" s="3">
        <v>0</v>
      </c>
      <c r="K90" s="4">
        <f>IF(I90=0,0,J90/I90)</f>
        <v>0</v>
      </c>
      <c r="L90" s="3">
        <v>0</v>
      </c>
      <c r="M90" s="3">
        <v>0</v>
      </c>
      <c r="N90" s="4">
        <f>IF(L90=0,0,M90/L90)</f>
        <v>0</v>
      </c>
      <c r="O90" s="3">
        <v>0</v>
      </c>
      <c r="P90" s="3">
        <v>0</v>
      </c>
      <c r="Q90" s="4">
        <f>IF(O90=0,0,P90/O90)</f>
        <v>0</v>
      </c>
      <c r="S90" s="3">
        <v>9178.019131321482</v>
      </c>
      <c r="T90" s="3">
        <v>5659.972059659981</v>
      </c>
      <c r="U90" s="4">
        <f>IF(S90=0,0,T90/S90)</f>
        <v>0</v>
      </c>
      <c r="V90" s="3">
        <v>0</v>
      </c>
      <c r="W90" s="3">
        <v>0</v>
      </c>
      <c r="X90" s="4">
        <f>IF(V90=0,0,W90/V90)</f>
        <v>0</v>
      </c>
      <c r="Y90" s="3">
        <v>0</v>
      </c>
      <c r="Z90" s="3">
        <v>0</v>
      </c>
      <c r="AA90" s="4">
        <f>IF(Y90=0,0,Z90/Y90)</f>
        <v>0</v>
      </c>
      <c r="AB90" s="3">
        <v>0</v>
      </c>
      <c r="AC90" s="3">
        <v>0</v>
      </c>
      <c r="AD90" s="4">
        <f>IF(AB90=0,0,AC90/AB90)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2026-09-29T20:03:41Z</dcterms:created>
  <dcterms:modified xsi:type="dcterms:W3CDTF">2026-09-29T20:03:41Z</dcterms:modified>
</cp:coreProperties>
</file>